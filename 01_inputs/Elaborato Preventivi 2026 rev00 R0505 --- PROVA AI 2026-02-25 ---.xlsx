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R:\Vendite\AI Intelligenza artificiale dati preventivi\PROVA PREVENTIVO AI\"/>
    </mc:Choice>
  </mc:AlternateContent>
  <xr:revisionPtr revIDLastSave="0" documentId="13_ncr:1_{6A78A642-094C-4409-B9A8-16EEED34D40C}" xr6:coauthVersionLast="47" xr6:coauthVersionMax="47" xr10:uidLastSave="{00000000-0000-0000-0000-000000000000}"/>
  <bookViews>
    <workbookView xWindow="-108" yWindow="-108" windowWidth="23256" windowHeight="12576" tabRatio="540" firstSheet="7" activeTab="11" xr2:uid="{00000000-000D-0000-FFFF-FFFF00000000}"/>
  </bookViews>
  <sheets>
    <sheet name="RisorsaVerniciatura" sheetId="2" r:id="rId1"/>
    <sheet name="Spessore" sheetId="3" r:id="rId2"/>
    <sheet name="CostiOraLavorazioni" sheetId="8" r:id="rId3"/>
    <sheet name="DescLavorazioni" sheetId="11" r:id="rId4"/>
    <sheet name="Ricarichi" sheetId="10" r:id="rId5"/>
    <sheet name="Velocità" sheetId="4" r:id="rId6"/>
    <sheet name="Protezioni" sheetId="5" r:id="rId7"/>
    <sheet name="Lotti" sheetId="7" r:id="rId8"/>
    <sheet name="Parametri" sheetId="13" r:id="rId9"/>
    <sheet name="riepilogo prezzi" sheetId="9" r:id="rId10"/>
    <sheet name="%%cONFERME" sheetId="16" r:id="rId11"/>
    <sheet name="RIepilogo Offerte" sheetId="12" r:id="rId12"/>
    <sheet name="ModelloOfferta" sheetId="14" r:id="rId13"/>
    <sheet name="Foglio1" sheetId="15" r:id="rId14"/>
  </sheets>
  <definedNames>
    <definedName name="_xlnm._FilterDatabase" localSheetId="9" hidden="1">'riepilogo prezzi'!$K$1:$AK$159</definedName>
    <definedName name="_xlnm.Print_Area" localSheetId="10">'%%cONFERME'!$A$1:$C$33</definedName>
    <definedName name="_xlnm.Print_Area" localSheetId="8">Tabella1[[#All],[Cliente]:[KgPezzo]]</definedName>
    <definedName name="_xlnm.Print_Area" localSheetId="9">'riepilogo prezzi'!$D$1:$AM$159</definedName>
    <definedName name="CodLavorazioni">RiepilogoCostiOrari[#Headers]</definedName>
    <definedName name="CodLinea">RiepilogoCostiOrari[[#Headers],[L1]:[L3]]</definedName>
    <definedName name="CodLotto">Lotti[CodLotti]</definedName>
    <definedName name="CodProtezione">Protezioni[Tipo Operazione]</definedName>
    <definedName name="CodQuarter">#REF!</definedName>
    <definedName name="CodVariabili">#REF!</definedName>
    <definedName name="CodVeloCatena">VeloCatena[NomeFam]</definedName>
    <definedName name="CostoOraVern">CostiOraLavorazioni!$A$1:$D$4</definedName>
    <definedName name="FamiglieVeloc">VeloCatena[#All]</definedName>
    <definedName name="NrPreventivi">RigheOfferte[Nprev]</definedName>
    <definedName name="Paramentri">Parametri!$1:$1048576</definedName>
    <definedName name="Parametri">Tabella1[]</definedName>
    <definedName name="prezzi">'riepilogo prezzi'!$1:$1048576</definedName>
    <definedName name="QuCostiLav">RiepilogoCostiOrari[NomeRisorsa]</definedName>
    <definedName name="Resa">Spessore!$B$4</definedName>
    <definedName name="RisorseVern">CostiVerniciatura[]</definedName>
    <definedName name="spessore">ReseMQ[]</definedName>
  </definedNames>
  <calcPr calcId="191029"/>
  <pivotCaches>
    <pivotCache cacheId="0" r:id="rId15"/>
    <pivotCache cacheId="1" r:id="rId16"/>
    <pivotCache cacheId="17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C2" i="9"/>
  <c r="C3" i="9"/>
  <c r="Z3" i="9" s="1"/>
  <c r="C4" i="9"/>
  <c r="Z4" i="9" s="1"/>
  <c r="C5" i="9"/>
  <c r="AJ5" i="9" s="1"/>
  <c r="C6" i="9"/>
  <c r="C7" i="9"/>
  <c r="C8" i="9"/>
  <c r="C9" i="9"/>
  <c r="C10" i="9"/>
  <c r="C11" i="9"/>
  <c r="C12" i="9"/>
  <c r="Z12" i="9" s="1"/>
  <c r="C13" i="9"/>
  <c r="C14" i="9"/>
  <c r="C15" i="9"/>
  <c r="C16" i="9"/>
  <c r="C17" i="9"/>
  <c r="C18" i="9"/>
  <c r="C19" i="9"/>
  <c r="C20" i="9"/>
  <c r="Z20" i="9" s="1"/>
  <c r="C21" i="9"/>
  <c r="C22" i="9"/>
  <c r="C23" i="9"/>
  <c r="C24" i="9"/>
  <c r="C25" i="9"/>
  <c r="C26" i="9"/>
  <c r="C27" i="9"/>
  <c r="C28" i="9"/>
  <c r="Z28" i="9" s="1"/>
  <c r="C29" i="9"/>
  <c r="C30" i="9"/>
  <c r="C31" i="9"/>
  <c r="C32" i="9"/>
  <c r="C33" i="9"/>
  <c r="C34" i="9"/>
  <c r="C35" i="9"/>
  <c r="C36" i="9"/>
  <c r="Z36" i="9" s="1"/>
  <c r="C37" i="9"/>
  <c r="C38" i="9"/>
  <c r="C39" i="9"/>
  <c r="C40" i="9"/>
  <c r="C41" i="9"/>
  <c r="C42" i="9"/>
  <c r="C43" i="9"/>
  <c r="C44" i="9"/>
  <c r="Z44" i="9" s="1"/>
  <c r="C45" i="9"/>
  <c r="C46" i="9"/>
  <c r="C47" i="9"/>
  <c r="C48" i="9"/>
  <c r="C49" i="9"/>
  <c r="C50" i="9"/>
  <c r="C51" i="9"/>
  <c r="C52" i="9"/>
  <c r="Z52" i="9" s="1"/>
  <c r="C53" i="9"/>
  <c r="C54" i="9"/>
  <c r="C55" i="9"/>
  <c r="C56" i="9"/>
  <c r="C57" i="9"/>
  <c r="C58" i="9"/>
  <c r="C59" i="9"/>
  <c r="C60" i="9"/>
  <c r="Z60" i="9" s="1"/>
  <c r="C61" i="9"/>
  <c r="C62" i="9"/>
  <c r="C63" i="9"/>
  <c r="C64" i="9"/>
  <c r="C65" i="9"/>
  <c r="C66" i="9"/>
  <c r="C67" i="9"/>
  <c r="C68" i="9"/>
  <c r="Z68" i="9" s="1"/>
  <c r="C69" i="9"/>
  <c r="C70" i="9"/>
  <c r="C71" i="9"/>
  <c r="C72" i="9"/>
  <c r="C73" i="9"/>
  <c r="C74" i="9"/>
  <c r="C75" i="9"/>
  <c r="C76" i="9"/>
  <c r="Z76" i="9" s="1"/>
  <c r="C77" i="9"/>
  <c r="C78" i="9"/>
  <c r="C79" i="9"/>
  <c r="C80" i="9"/>
  <c r="C81" i="9"/>
  <c r="C82" i="9"/>
  <c r="C83" i="9"/>
  <c r="C84" i="9"/>
  <c r="Z84" i="9" s="1"/>
  <c r="C85" i="9"/>
  <c r="C86" i="9"/>
  <c r="C87" i="9"/>
  <c r="C88" i="9"/>
  <c r="C89" i="9"/>
  <c r="C90" i="9"/>
  <c r="C91" i="9"/>
  <c r="C92" i="9"/>
  <c r="Z92" i="9" s="1"/>
  <c r="C93" i="9"/>
  <c r="C94" i="9"/>
  <c r="C95" i="9"/>
  <c r="C96" i="9"/>
  <c r="C97" i="9"/>
  <c r="C98" i="9"/>
  <c r="C99" i="9"/>
  <c r="C100" i="9"/>
  <c r="Z100" i="9" s="1"/>
  <c r="C101" i="9"/>
  <c r="C102" i="9"/>
  <c r="C103" i="9"/>
  <c r="C104" i="9"/>
  <c r="C105" i="9"/>
  <c r="C106" i="9"/>
  <c r="C107" i="9"/>
  <c r="C108" i="9"/>
  <c r="Z108" i="9" s="1"/>
  <c r="C109" i="9"/>
  <c r="C110" i="9"/>
  <c r="C111" i="9"/>
  <c r="C112" i="9"/>
  <c r="C113" i="9"/>
  <c r="C114" i="9"/>
  <c r="C115" i="9"/>
  <c r="C116" i="9"/>
  <c r="Z116" i="9" s="1"/>
  <c r="C117" i="9"/>
  <c r="C118" i="9"/>
  <c r="C119" i="9"/>
  <c r="C120" i="9"/>
  <c r="C121" i="9"/>
  <c r="C122" i="9"/>
  <c r="C123" i="9"/>
  <c r="C124" i="9"/>
  <c r="Z124" i="9" s="1"/>
  <c r="C125" i="9"/>
  <c r="C126" i="9"/>
  <c r="C127" i="9"/>
  <c r="C128" i="9"/>
  <c r="C129" i="9"/>
  <c r="C130" i="9"/>
  <c r="C131" i="9"/>
  <c r="C132" i="9"/>
  <c r="Z132" i="9" s="1"/>
  <c r="C133" i="9"/>
  <c r="C134" i="9"/>
  <c r="C135" i="9"/>
  <c r="C136" i="9"/>
  <c r="C137" i="9"/>
  <c r="C138" i="9"/>
  <c r="C139" i="9"/>
  <c r="C140" i="9"/>
  <c r="Z140" i="9" s="1"/>
  <c r="C141" i="9"/>
  <c r="C142" i="9"/>
  <c r="C143" i="9"/>
  <c r="C144" i="9"/>
  <c r="C145" i="9"/>
  <c r="C146" i="9"/>
  <c r="C147" i="9"/>
  <c r="C148" i="9"/>
  <c r="Z148" i="9" s="1"/>
  <c r="C149" i="9"/>
  <c r="C150" i="9"/>
  <c r="C151" i="9"/>
  <c r="C152" i="9"/>
  <c r="C153" i="9"/>
  <c r="C154" i="9"/>
  <c r="C155" i="9"/>
  <c r="C156" i="9"/>
  <c r="Z156" i="9" s="1"/>
  <c r="C157" i="9"/>
  <c r="C158" i="9"/>
  <c r="C159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P2" i="9"/>
  <c r="P3" i="9"/>
  <c r="V3" i="9" s="1"/>
  <c r="X3" i="9" s="1"/>
  <c r="P4" i="9"/>
  <c r="V4" i="9" s="1"/>
  <c r="P5" i="9"/>
  <c r="V5" i="9" s="1"/>
  <c r="P6" i="9"/>
  <c r="P7" i="9"/>
  <c r="P8" i="9"/>
  <c r="V8" i="9" s="1"/>
  <c r="P9" i="9"/>
  <c r="P10" i="9"/>
  <c r="P11" i="9"/>
  <c r="P12" i="9"/>
  <c r="P13" i="9"/>
  <c r="P14" i="9"/>
  <c r="P15" i="9"/>
  <c r="P16" i="9"/>
  <c r="V16" i="9" s="1"/>
  <c r="P17" i="9"/>
  <c r="P18" i="9"/>
  <c r="P19" i="9"/>
  <c r="P20" i="9"/>
  <c r="P21" i="9"/>
  <c r="P22" i="9"/>
  <c r="P23" i="9"/>
  <c r="P24" i="9"/>
  <c r="V24" i="9" s="1"/>
  <c r="P25" i="9"/>
  <c r="P26" i="9"/>
  <c r="P27" i="9"/>
  <c r="P28" i="9"/>
  <c r="P29" i="9"/>
  <c r="P30" i="9"/>
  <c r="P31" i="9"/>
  <c r="P32" i="9"/>
  <c r="V32" i="9" s="1"/>
  <c r="P33" i="9"/>
  <c r="P34" i="9"/>
  <c r="P35" i="9"/>
  <c r="P36" i="9"/>
  <c r="P37" i="9"/>
  <c r="P38" i="9"/>
  <c r="P39" i="9"/>
  <c r="P40" i="9"/>
  <c r="V40" i="9" s="1"/>
  <c r="P41" i="9"/>
  <c r="P42" i="9"/>
  <c r="P43" i="9"/>
  <c r="P44" i="9"/>
  <c r="P45" i="9"/>
  <c r="P46" i="9"/>
  <c r="P47" i="9"/>
  <c r="P48" i="9"/>
  <c r="V48" i="9" s="1"/>
  <c r="P49" i="9"/>
  <c r="P50" i="9"/>
  <c r="P51" i="9"/>
  <c r="P52" i="9"/>
  <c r="P53" i="9"/>
  <c r="P54" i="9"/>
  <c r="P55" i="9"/>
  <c r="P56" i="9"/>
  <c r="V56" i="9" s="1"/>
  <c r="P57" i="9"/>
  <c r="P58" i="9"/>
  <c r="P59" i="9"/>
  <c r="P60" i="9"/>
  <c r="P61" i="9"/>
  <c r="P62" i="9"/>
  <c r="P63" i="9"/>
  <c r="P64" i="9"/>
  <c r="V64" i="9" s="1"/>
  <c r="P65" i="9"/>
  <c r="P66" i="9"/>
  <c r="P67" i="9"/>
  <c r="P68" i="9"/>
  <c r="P69" i="9"/>
  <c r="P70" i="9"/>
  <c r="P71" i="9"/>
  <c r="P72" i="9"/>
  <c r="V72" i="9" s="1"/>
  <c r="P73" i="9"/>
  <c r="P74" i="9"/>
  <c r="P75" i="9"/>
  <c r="P76" i="9"/>
  <c r="P77" i="9"/>
  <c r="V77" i="9" s="1"/>
  <c r="P78" i="9"/>
  <c r="P79" i="9"/>
  <c r="P80" i="9"/>
  <c r="V80" i="9" s="1"/>
  <c r="P81" i="9"/>
  <c r="P82" i="9"/>
  <c r="P83" i="9"/>
  <c r="P84" i="9"/>
  <c r="P85" i="9"/>
  <c r="P86" i="9"/>
  <c r="P87" i="9"/>
  <c r="P88" i="9"/>
  <c r="V88" i="9" s="1"/>
  <c r="P89" i="9"/>
  <c r="P90" i="9"/>
  <c r="P91" i="9"/>
  <c r="P92" i="9"/>
  <c r="P93" i="9"/>
  <c r="P94" i="9"/>
  <c r="P95" i="9"/>
  <c r="P96" i="9"/>
  <c r="V96" i="9" s="1"/>
  <c r="P97" i="9"/>
  <c r="P98" i="9"/>
  <c r="P99" i="9"/>
  <c r="P100" i="9"/>
  <c r="P101" i="9"/>
  <c r="P102" i="9"/>
  <c r="P103" i="9"/>
  <c r="P104" i="9"/>
  <c r="V104" i="9" s="1"/>
  <c r="P105" i="9"/>
  <c r="P106" i="9"/>
  <c r="P107" i="9"/>
  <c r="P108" i="9"/>
  <c r="P109" i="9"/>
  <c r="P110" i="9"/>
  <c r="P111" i="9"/>
  <c r="P112" i="9"/>
  <c r="V112" i="9" s="1"/>
  <c r="P113" i="9"/>
  <c r="P114" i="9"/>
  <c r="P115" i="9"/>
  <c r="P116" i="9"/>
  <c r="P117" i="9"/>
  <c r="P118" i="9"/>
  <c r="P119" i="9"/>
  <c r="P120" i="9"/>
  <c r="V120" i="9" s="1"/>
  <c r="P121" i="9"/>
  <c r="P122" i="9"/>
  <c r="P123" i="9"/>
  <c r="P124" i="9"/>
  <c r="P125" i="9"/>
  <c r="V125" i="9" s="1"/>
  <c r="P126" i="9"/>
  <c r="P127" i="9"/>
  <c r="P128" i="9"/>
  <c r="V128" i="9" s="1"/>
  <c r="P129" i="9"/>
  <c r="P130" i="9"/>
  <c r="P131" i="9"/>
  <c r="P132" i="9"/>
  <c r="P133" i="9"/>
  <c r="V133" i="9" s="1"/>
  <c r="P134" i="9"/>
  <c r="P135" i="9"/>
  <c r="P136" i="9"/>
  <c r="V136" i="9" s="1"/>
  <c r="P137" i="9"/>
  <c r="P138" i="9"/>
  <c r="P139" i="9"/>
  <c r="P140" i="9"/>
  <c r="P141" i="9"/>
  <c r="V141" i="9" s="1"/>
  <c r="P142" i="9"/>
  <c r="P143" i="9"/>
  <c r="P144" i="9"/>
  <c r="V144" i="9" s="1"/>
  <c r="P145" i="9"/>
  <c r="P146" i="9"/>
  <c r="P147" i="9"/>
  <c r="P148" i="9"/>
  <c r="P149" i="9"/>
  <c r="V149" i="9" s="1"/>
  <c r="P150" i="9"/>
  <c r="P151" i="9"/>
  <c r="P152" i="9"/>
  <c r="V152" i="9" s="1"/>
  <c r="P153" i="9"/>
  <c r="P154" i="9"/>
  <c r="P155" i="9"/>
  <c r="P156" i="9"/>
  <c r="P157" i="9"/>
  <c r="V157" i="9" s="1"/>
  <c r="P158" i="9"/>
  <c r="P159" i="9"/>
  <c r="V2" i="9"/>
  <c r="X2" i="9" s="1"/>
  <c r="AH2" i="9" s="1"/>
  <c r="AI2" i="9" s="1"/>
  <c r="AK2" i="9" s="1"/>
  <c r="AL2" i="9" s="1"/>
  <c r="V6" i="9"/>
  <c r="V7" i="9"/>
  <c r="V9" i="9"/>
  <c r="V10" i="9"/>
  <c r="V11" i="9"/>
  <c r="V12" i="9"/>
  <c r="V13" i="9"/>
  <c r="V14" i="9"/>
  <c r="V15" i="9"/>
  <c r="V17" i="9"/>
  <c r="V18" i="9"/>
  <c r="V19" i="9"/>
  <c r="V20" i="9"/>
  <c r="V21" i="9"/>
  <c r="V22" i="9"/>
  <c r="V23" i="9"/>
  <c r="V25" i="9"/>
  <c r="V26" i="9"/>
  <c r="V27" i="9"/>
  <c r="V28" i="9"/>
  <c r="V29" i="9"/>
  <c r="V30" i="9"/>
  <c r="V31" i="9"/>
  <c r="V33" i="9"/>
  <c r="V34" i="9"/>
  <c r="V35" i="9"/>
  <c r="V36" i="9"/>
  <c r="V37" i="9"/>
  <c r="V38" i="9"/>
  <c r="V39" i="9"/>
  <c r="V41" i="9"/>
  <c r="V42" i="9"/>
  <c r="V43" i="9"/>
  <c r="V44" i="9"/>
  <c r="V45" i="9"/>
  <c r="V46" i="9"/>
  <c r="V47" i="9"/>
  <c r="V49" i="9"/>
  <c r="V50" i="9"/>
  <c r="V51" i="9"/>
  <c r="V52" i="9"/>
  <c r="V53" i="9"/>
  <c r="V54" i="9"/>
  <c r="V55" i="9"/>
  <c r="V57" i="9"/>
  <c r="V58" i="9"/>
  <c r="V59" i="9"/>
  <c r="V60" i="9"/>
  <c r="V61" i="9"/>
  <c r="V62" i="9"/>
  <c r="V63" i="9"/>
  <c r="V65" i="9"/>
  <c r="V66" i="9"/>
  <c r="V67" i="9"/>
  <c r="V68" i="9"/>
  <c r="V69" i="9"/>
  <c r="V70" i="9"/>
  <c r="V71" i="9"/>
  <c r="V73" i="9"/>
  <c r="V74" i="9"/>
  <c r="V75" i="9"/>
  <c r="V76" i="9"/>
  <c r="V78" i="9"/>
  <c r="V79" i="9"/>
  <c r="V81" i="9"/>
  <c r="V82" i="9"/>
  <c r="V83" i="9"/>
  <c r="V84" i="9"/>
  <c r="V85" i="9"/>
  <c r="V86" i="9"/>
  <c r="V87" i="9"/>
  <c r="V89" i="9"/>
  <c r="V90" i="9"/>
  <c r="V91" i="9"/>
  <c r="V92" i="9"/>
  <c r="V93" i="9"/>
  <c r="V94" i="9"/>
  <c r="V95" i="9"/>
  <c r="V97" i="9"/>
  <c r="V98" i="9"/>
  <c r="V99" i="9"/>
  <c r="V100" i="9"/>
  <c r="V101" i="9"/>
  <c r="V102" i="9"/>
  <c r="V103" i="9"/>
  <c r="V105" i="9"/>
  <c r="V106" i="9"/>
  <c r="V107" i="9"/>
  <c r="V108" i="9"/>
  <c r="V109" i="9"/>
  <c r="V110" i="9"/>
  <c r="V111" i="9"/>
  <c r="V113" i="9"/>
  <c r="V114" i="9"/>
  <c r="V115" i="9"/>
  <c r="V116" i="9"/>
  <c r="V117" i="9"/>
  <c r="V118" i="9"/>
  <c r="V119" i="9"/>
  <c r="V121" i="9"/>
  <c r="V122" i="9"/>
  <c r="V123" i="9"/>
  <c r="V124" i="9"/>
  <c r="V126" i="9"/>
  <c r="V127" i="9"/>
  <c r="V129" i="9"/>
  <c r="V130" i="9"/>
  <c r="V131" i="9"/>
  <c r="V132" i="9"/>
  <c r="V134" i="9"/>
  <c r="V135" i="9"/>
  <c r="V137" i="9"/>
  <c r="V138" i="9"/>
  <c r="V139" i="9"/>
  <c r="V140" i="9"/>
  <c r="V142" i="9"/>
  <c r="V143" i="9"/>
  <c r="V145" i="9"/>
  <c r="V146" i="9"/>
  <c r="V147" i="9"/>
  <c r="V148" i="9"/>
  <c r="V150" i="9"/>
  <c r="V151" i="9"/>
  <c r="V153" i="9"/>
  <c r="V154" i="9"/>
  <c r="V155" i="9"/>
  <c r="V156" i="9"/>
  <c r="V158" i="9"/>
  <c r="V159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Y2" i="9"/>
  <c r="Y3" i="9"/>
  <c r="Y4" i="9"/>
  <c r="Y5" i="9"/>
  <c r="Y6" i="9"/>
  <c r="Y7" i="9"/>
  <c r="Y8" i="9"/>
  <c r="Y9" i="9"/>
  <c r="Y10" i="9"/>
  <c r="Y11" i="9"/>
  <c r="Y12" i="9"/>
  <c r="Y13" i="9"/>
  <c r="Y14" i="9"/>
  <c r="AH14" i="9" s="1"/>
  <c r="AI14" i="9" s="1"/>
  <c r="AK14" i="9" s="1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AH30" i="9" s="1"/>
  <c r="AI30" i="9" s="1"/>
  <c r="AK30" i="9" s="1"/>
  <c r="Y31" i="9"/>
  <c r="Y32" i="9"/>
  <c r="Y33" i="9"/>
  <c r="Y34" i="9"/>
  <c r="Y35" i="9"/>
  <c r="Y36" i="9"/>
  <c r="Y37" i="9"/>
  <c r="Y38" i="9"/>
  <c r="AH38" i="9" s="1"/>
  <c r="AI38" i="9" s="1"/>
  <c r="AK38" i="9" s="1"/>
  <c r="Y39" i="9"/>
  <c r="Y40" i="9"/>
  <c r="Y41" i="9"/>
  <c r="Y42" i="9"/>
  <c r="Y43" i="9"/>
  <c r="Y44" i="9"/>
  <c r="Y45" i="9"/>
  <c r="Y46" i="9"/>
  <c r="AH46" i="9" s="1"/>
  <c r="AI46" i="9" s="1"/>
  <c r="AK46" i="9" s="1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AH62" i="9" s="1"/>
  <c r="AI62" i="9" s="1"/>
  <c r="AK62" i="9" s="1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AH78" i="9" s="1"/>
  <c r="AI78" i="9" s="1"/>
  <c r="AK78" i="9" s="1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AH94" i="9" s="1"/>
  <c r="AI94" i="9" s="1"/>
  <c r="AK94" i="9" s="1"/>
  <c r="Y95" i="9"/>
  <c r="Y96" i="9"/>
  <c r="Y97" i="9"/>
  <c r="Y98" i="9"/>
  <c r="Y99" i="9"/>
  <c r="Y100" i="9"/>
  <c r="Y101" i="9"/>
  <c r="Y102" i="9"/>
  <c r="AH102" i="9" s="1"/>
  <c r="AI102" i="9" s="1"/>
  <c r="AK102" i="9" s="1"/>
  <c r="Y103" i="9"/>
  <c r="Y104" i="9"/>
  <c r="Y105" i="9"/>
  <c r="Y106" i="9"/>
  <c r="Y107" i="9"/>
  <c r="Y108" i="9"/>
  <c r="Y109" i="9"/>
  <c r="Y110" i="9"/>
  <c r="AH110" i="9" s="1"/>
  <c r="AI110" i="9" s="1"/>
  <c r="AK110" i="9" s="1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AH126" i="9" s="1"/>
  <c r="AI126" i="9" s="1"/>
  <c r="AK126" i="9" s="1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AH142" i="9" s="1"/>
  <c r="AI142" i="9" s="1"/>
  <c r="AK142" i="9" s="1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AH158" i="9" s="1"/>
  <c r="AI158" i="9" s="1"/>
  <c r="AK158" i="9" s="1"/>
  <c r="Y159" i="9"/>
  <c r="Z2" i="9"/>
  <c r="Z6" i="9"/>
  <c r="Z7" i="9"/>
  <c r="Z8" i="9"/>
  <c r="AH8" i="9" s="1"/>
  <c r="Z9" i="9"/>
  <c r="Z10" i="9"/>
  <c r="Z11" i="9"/>
  <c r="Z13" i="9"/>
  <c r="Z14" i="9"/>
  <c r="Z15" i="9"/>
  <c r="Z16" i="9"/>
  <c r="AH16" i="9" s="1"/>
  <c r="Z17" i="9"/>
  <c r="Z18" i="9"/>
  <c r="Z19" i="9"/>
  <c r="Z21" i="9"/>
  <c r="Z22" i="9"/>
  <c r="Z23" i="9"/>
  <c r="Z24" i="9"/>
  <c r="AH24" i="9" s="1"/>
  <c r="Z25" i="9"/>
  <c r="Z26" i="9"/>
  <c r="Z27" i="9"/>
  <c r="Z29" i="9"/>
  <c r="Z30" i="9"/>
  <c r="Z31" i="9"/>
  <c r="Z32" i="9"/>
  <c r="AH32" i="9" s="1"/>
  <c r="Z33" i="9"/>
  <c r="Z34" i="9"/>
  <c r="Z35" i="9"/>
  <c r="Z37" i="9"/>
  <c r="Z38" i="9"/>
  <c r="Z39" i="9"/>
  <c r="Z40" i="9"/>
  <c r="AH40" i="9" s="1"/>
  <c r="Z41" i="9"/>
  <c r="Z42" i="9"/>
  <c r="Z43" i="9"/>
  <c r="Z45" i="9"/>
  <c r="Z46" i="9"/>
  <c r="Z47" i="9"/>
  <c r="Z48" i="9"/>
  <c r="AH48" i="9" s="1"/>
  <c r="AI48" i="9" s="1"/>
  <c r="AK48" i="9" s="1"/>
  <c r="Z49" i="9"/>
  <c r="Z50" i="9"/>
  <c r="Z51" i="9"/>
  <c r="Z53" i="9"/>
  <c r="Z54" i="9"/>
  <c r="Z55" i="9"/>
  <c r="Z56" i="9"/>
  <c r="AH56" i="9" s="1"/>
  <c r="Z57" i="9"/>
  <c r="Z58" i="9"/>
  <c r="Z59" i="9"/>
  <c r="Z61" i="9"/>
  <c r="Z62" i="9"/>
  <c r="Z63" i="9"/>
  <c r="Z64" i="9"/>
  <c r="AH64" i="9" s="1"/>
  <c r="AI64" i="9" s="1"/>
  <c r="AK64" i="9" s="1"/>
  <c r="Z65" i="9"/>
  <c r="Z66" i="9"/>
  <c r="Z67" i="9"/>
  <c r="Z69" i="9"/>
  <c r="Z70" i="9"/>
  <c r="Z71" i="9"/>
  <c r="Z72" i="9"/>
  <c r="AH72" i="9" s="1"/>
  <c r="Z73" i="9"/>
  <c r="Z74" i="9"/>
  <c r="Z75" i="9"/>
  <c r="Z77" i="9"/>
  <c r="Z78" i="9"/>
  <c r="Z79" i="9"/>
  <c r="Z80" i="9"/>
  <c r="AH80" i="9" s="1"/>
  <c r="Z81" i="9"/>
  <c r="Z82" i="9"/>
  <c r="Z83" i="9"/>
  <c r="Z85" i="9"/>
  <c r="Z86" i="9"/>
  <c r="Z87" i="9"/>
  <c r="Z88" i="9"/>
  <c r="AH88" i="9" s="1"/>
  <c r="Z89" i="9"/>
  <c r="Z90" i="9"/>
  <c r="Z91" i="9"/>
  <c r="Z93" i="9"/>
  <c r="Z94" i="9"/>
  <c r="Z95" i="9"/>
  <c r="Z96" i="9"/>
  <c r="AH96" i="9" s="1"/>
  <c r="Z97" i="9"/>
  <c r="Z98" i="9"/>
  <c r="Z99" i="9"/>
  <c r="Z101" i="9"/>
  <c r="Z102" i="9"/>
  <c r="Z103" i="9"/>
  <c r="Z104" i="9"/>
  <c r="AH104" i="9" s="1"/>
  <c r="Z105" i="9"/>
  <c r="Z106" i="9"/>
  <c r="Z107" i="9"/>
  <c r="Z109" i="9"/>
  <c r="Z110" i="9"/>
  <c r="Z111" i="9"/>
  <c r="Z112" i="9"/>
  <c r="AH112" i="9" s="1"/>
  <c r="AI112" i="9" s="1"/>
  <c r="AK112" i="9" s="1"/>
  <c r="Z113" i="9"/>
  <c r="Z114" i="9"/>
  <c r="Z115" i="9"/>
  <c r="Z117" i="9"/>
  <c r="Z118" i="9"/>
  <c r="Z119" i="9"/>
  <c r="Z120" i="9"/>
  <c r="AH120" i="9" s="1"/>
  <c r="Z121" i="9"/>
  <c r="Z122" i="9"/>
  <c r="Z123" i="9"/>
  <c r="Z125" i="9"/>
  <c r="Z126" i="9"/>
  <c r="Z127" i="9"/>
  <c r="Z128" i="9"/>
  <c r="AH128" i="9" s="1"/>
  <c r="Z129" i="9"/>
  <c r="Z130" i="9"/>
  <c r="Z131" i="9"/>
  <c r="Z133" i="9"/>
  <c r="Z134" i="9"/>
  <c r="Z135" i="9"/>
  <c r="Z136" i="9"/>
  <c r="AH136" i="9" s="1"/>
  <c r="Z137" i="9"/>
  <c r="Z138" i="9"/>
  <c r="Z139" i="9"/>
  <c r="Z141" i="9"/>
  <c r="Z142" i="9"/>
  <c r="Z143" i="9"/>
  <c r="Z144" i="9"/>
  <c r="AH144" i="9" s="1"/>
  <c r="Z145" i="9"/>
  <c r="Z146" i="9"/>
  <c r="Z147" i="9"/>
  <c r="Z149" i="9"/>
  <c r="Z150" i="9"/>
  <c r="Z151" i="9"/>
  <c r="Z152" i="9"/>
  <c r="AH152" i="9" s="1"/>
  <c r="Z153" i="9"/>
  <c r="Z154" i="9"/>
  <c r="Z155" i="9"/>
  <c r="Z157" i="9"/>
  <c r="Z158" i="9"/>
  <c r="Z159" i="9"/>
  <c r="AC2" i="9"/>
  <c r="AC3" i="9"/>
  <c r="AC4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H122" i="9" s="1"/>
  <c r="AI122" i="9" s="1"/>
  <c r="AC123" i="9"/>
  <c r="AC124" i="9"/>
  <c r="AC125" i="9"/>
  <c r="AC126" i="9"/>
  <c r="AC127" i="9"/>
  <c r="AC128" i="9"/>
  <c r="AC129" i="9"/>
  <c r="AC130" i="9"/>
  <c r="AH130" i="9" s="1"/>
  <c r="AI130" i="9" s="1"/>
  <c r="AC131" i="9"/>
  <c r="AC132" i="9"/>
  <c r="AC133" i="9"/>
  <c r="AC134" i="9"/>
  <c r="AC135" i="9"/>
  <c r="AC136" i="9"/>
  <c r="AC137" i="9"/>
  <c r="AC138" i="9"/>
  <c r="AH138" i="9" s="1"/>
  <c r="AI138" i="9" s="1"/>
  <c r="AC139" i="9"/>
  <c r="AC140" i="9"/>
  <c r="AC141" i="9"/>
  <c r="AC142" i="9"/>
  <c r="AC143" i="9"/>
  <c r="AC144" i="9"/>
  <c r="AC145" i="9"/>
  <c r="AC146" i="9"/>
  <c r="AH146" i="9" s="1"/>
  <c r="AI146" i="9" s="1"/>
  <c r="AC147" i="9"/>
  <c r="AC148" i="9"/>
  <c r="AC149" i="9"/>
  <c r="AC150" i="9"/>
  <c r="AC151" i="9"/>
  <c r="AC152" i="9"/>
  <c r="AC153" i="9"/>
  <c r="AC154" i="9"/>
  <c r="AH154" i="9" s="1"/>
  <c r="AI154" i="9" s="1"/>
  <c r="AK154" i="9" s="1"/>
  <c r="AC155" i="9"/>
  <c r="AC156" i="9"/>
  <c r="AC157" i="9"/>
  <c r="AC158" i="9"/>
  <c r="AC159" i="9"/>
  <c r="AF2" i="9"/>
  <c r="AF3" i="9"/>
  <c r="AF4" i="9"/>
  <c r="AF5" i="9"/>
  <c r="AF6" i="9"/>
  <c r="AF7" i="9"/>
  <c r="AF8" i="9"/>
  <c r="AF9" i="9"/>
  <c r="AF10" i="9"/>
  <c r="AH10" i="9" s="1"/>
  <c r="AI10" i="9" s="1"/>
  <c r="AK10" i="9" s="1"/>
  <c r="AL10" i="9" s="1"/>
  <c r="AF11" i="9"/>
  <c r="AF12" i="9"/>
  <c r="AF13" i="9"/>
  <c r="AF14" i="9"/>
  <c r="AF15" i="9"/>
  <c r="AF16" i="9"/>
  <c r="AF17" i="9"/>
  <c r="AF18" i="9"/>
  <c r="AH18" i="9" s="1"/>
  <c r="AI18" i="9" s="1"/>
  <c r="AK18" i="9" s="1"/>
  <c r="AL18" i="9" s="1"/>
  <c r="AF19" i="9"/>
  <c r="AF20" i="9"/>
  <c r="AF21" i="9"/>
  <c r="AF22" i="9"/>
  <c r="AF23" i="9"/>
  <c r="AF24" i="9"/>
  <c r="AF25" i="9"/>
  <c r="AF26" i="9"/>
  <c r="AH26" i="9" s="1"/>
  <c r="AI26" i="9" s="1"/>
  <c r="AK26" i="9" s="1"/>
  <c r="AL26" i="9" s="1"/>
  <c r="AF27" i="9"/>
  <c r="AF28" i="9"/>
  <c r="AF29" i="9"/>
  <c r="AF30" i="9"/>
  <c r="AF31" i="9"/>
  <c r="AF32" i="9"/>
  <c r="AF33" i="9"/>
  <c r="AF34" i="9"/>
  <c r="AH34" i="9" s="1"/>
  <c r="AI34" i="9" s="1"/>
  <c r="AK34" i="9" s="1"/>
  <c r="AL34" i="9" s="1"/>
  <c r="AF35" i="9"/>
  <c r="AF36" i="9"/>
  <c r="AF37" i="9"/>
  <c r="AF38" i="9"/>
  <c r="AF39" i="9"/>
  <c r="AF40" i="9"/>
  <c r="AF41" i="9"/>
  <c r="AF42" i="9"/>
  <c r="AH42" i="9" s="1"/>
  <c r="AI42" i="9" s="1"/>
  <c r="AK42" i="9" s="1"/>
  <c r="AL42" i="9" s="1"/>
  <c r="AF43" i="9"/>
  <c r="AF44" i="9"/>
  <c r="AF45" i="9"/>
  <c r="AF46" i="9"/>
  <c r="AF47" i="9"/>
  <c r="AF48" i="9"/>
  <c r="AF49" i="9"/>
  <c r="AF50" i="9"/>
  <c r="AH50" i="9" s="1"/>
  <c r="AI50" i="9" s="1"/>
  <c r="AK50" i="9" s="1"/>
  <c r="AM50" i="9" s="1"/>
  <c r="AF51" i="9"/>
  <c r="AF52" i="9"/>
  <c r="AF53" i="9"/>
  <c r="AF54" i="9"/>
  <c r="AF55" i="9"/>
  <c r="AF56" i="9"/>
  <c r="AF57" i="9"/>
  <c r="AF58" i="9"/>
  <c r="AH58" i="9" s="1"/>
  <c r="AI58" i="9" s="1"/>
  <c r="AK58" i="9" s="1"/>
  <c r="AL58" i="9" s="1"/>
  <c r="AF59" i="9"/>
  <c r="AF60" i="9"/>
  <c r="AF61" i="9"/>
  <c r="AF62" i="9"/>
  <c r="AF63" i="9"/>
  <c r="AF64" i="9"/>
  <c r="AF65" i="9"/>
  <c r="AF66" i="9"/>
  <c r="AH66" i="9" s="1"/>
  <c r="AI66" i="9" s="1"/>
  <c r="AK66" i="9" s="1"/>
  <c r="AM66" i="9" s="1"/>
  <c r="AF67" i="9"/>
  <c r="AF68" i="9"/>
  <c r="AF69" i="9"/>
  <c r="AF70" i="9"/>
  <c r="AF71" i="9"/>
  <c r="AF72" i="9"/>
  <c r="AF73" i="9"/>
  <c r="AF74" i="9"/>
  <c r="AH74" i="9" s="1"/>
  <c r="AI74" i="9" s="1"/>
  <c r="AK74" i="9" s="1"/>
  <c r="AL74" i="9" s="1"/>
  <c r="AF75" i="9"/>
  <c r="AF76" i="9"/>
  <c r="AF77" i="9"/>
  <c r="AF78" i="9"/>
  <c r="AF79" i="9"/>
  <c r="AF80" i="9"/>
  <c r="AF81" i="9"/>
  <c r="AF82" i="9"/>
  <c r="AH82" i="9" s="1"/>
  <c r="AI82" i="9" s="1"/>
  <c r="AK82" i="9" s="1"/>
  <c r="AM82" i="9" s="1"/>
  <c r="AF83" i="9"/>
  <c r="AF84" i="9"/>
  <c r="AF85" i="9"/>
  <c r="AF86" i="9"/>
  <c r="AF87" i="9"/>
  <c r="AF88" i="9"/>
  <c r="AF89" i="9"/>
  <c r="AF90" i="9"/>
  <c r="AH90" i="9" s="1"/>
  <c r="AI90" i="9" s="1"/>
  <c r="AK90" i="9" s="1"/>
  <c r="AL90" i="9" s="1"/>
  <c r="AF91" i="9"/>
  <c r="AF92" i="9"/>
  <c r="AF93" i="9"/>
  <c r="AF94" i="9"/>
  <c r="AF95" i="9"/>
  <c r="AF96" i="9"/>
  <c r="AF97" i="9"/>
  <c r="AF98" i="9"/>
  <c r="AH98" i="9" s="1"/>
  <c r="AI98" i="9" s="1"/>
  <c r="AK98" i="9" s="1"/>
  <c r="AL98" i="9" s="1"/>
  <c r="AF99" i="9"/>
  <c r="AF100" i="9"/>
  <c r="AF101" i="9"/>
  <c r="AF102" i="9"/>
  <c r="AF103" i="9"/>
  <c r="AF104" i="9"/>
  <c r="AF105" i="9"/>
  <c r="AF106" i="9"/>
  <c r="AH106" i="9" s="1"/>
  <c r="AI106" i="9" s="1"/>
  <c r="AK106" i="9" s="1"/>
  <c r="AM106" i="9" s="1"/>
  <c r="AF107" i="9"/>
  <c r="AF108" i="9"/>
  <c r="AF109" i="9"/>
  <c r="AF110" i="9"/>
  <c r="AF111" i="9"/>
  <c r="AF112" i="9"/>
  <c r="AF113" i="9"/>
  <c r="AF114" i="9"/>
  <c r="AH114" i="9" s="1"/>
  <c r="AI114" i="9" s="1"/>
  <c r="AK114" i="9" s="1"/>
  <c r="AL114" i="9" s="1"/>
  <c r="AF115" i="9"/>
  <c r="AF116" i="9"/>
  <c r="AF117" i="9"/>
  <c r="AF118" i="9"/>
  <c r="AF119" i="9"/>
  <c r="AF120" i="9"/>
  <c r="AF121" i="9"/>
  <c r="AF122" i="9"/>
  <c r="AF123" i="9"/>
  <c r="AF124" i="9"/>
  <c r="AF125" i="9"/>
  <c r="AF126" i="9"/>
  <c r="AF127" i="9"/>
  <c r="AF128" i="9"/>
  <c r="AF129" i="9"/>
  <c r="AF130" i="9"/>
  <c r="AF131" i="9"/>
  <c r="AF132" i="9"/>
  <c r="AF133" i="9"/>
  <c r="AF134" i="9"/>
  <c r="AF135" i="9"/>
  <c r="AF136" i="9"/>
  <c r="AF137" i="9"/>
  <c r="AF138" i="9"/>
  <c r="AF139" i="9"/>
  <c r="AF140" i="9"/>
  <c r="AF141" i="9"/>
  <c r="AF142" i="9"/>
  <c r="AF143" i="9"/>
  <c r="AF144" i="9"/>
  <c r="AF145" i="9"/>
  <c r="AF146" i="9"/>
  <c r="AF147" i="9"/>
  <c r="AF148" i="9"/>
  <c r="AF149" i="9"/>
  <c r="AF150" i="9"/>
  <c r="AF151" i="9"/>
  <c r="AF152" i="9"/>
  <c r="AF153" i="9"/>
  <c r="AF154" i="9"/>
  <c r="AF155" i="9"/>
  <c r="AF156" i="9"/>
  <c r="AF157" i="9"/>
  <c r="AF158" i="9"/>
  <c r="AF159" i="9"/>
  <c r="AH6" i="9"/>
  <c r="AI6" i="9" s="1"/>
  <c r="AK6" i="9" s="1"/>
  <c r="AM6" i="9" s="1"/>
  <c r="AH7" i="9"/>
  <c r="AH9" i="9"/>
  <c r="AH11" i="9"/>
  <c r="AH13" i="9"/>
  <c r="AH15" i="9"/>
  <c r="AH17" i="9"/>
  <c r="AH19" i="9"/>
  <c r="AH21" i="9"/>
  <c r="AH22" i="9"/>
  <c r="AI22" i="9" s="1"/>
  <c r="AK22" i="9" s="1"/>
  <c r="AL22" i="9" s="1"/>
  <c r="AH23" i="9"/>
  <c r="AH25" i="9"/>
  <c r="AH27" i="9"/>
  <c r="AH29" i="9"/>
  <c r="AH31" i="9"/>
  <c r="AH33" i="9"/>
  <c r="AH35" i="9"/>
  <c r="AH37" i="9"/>
  <c r="AH39" i="9"/>
  <c r="AH41" i="9"/>
  <c r="AH43" i="9"/>
  <c r="AH45" i="9"/>
  <c r="AH47" i="9"/>
  <c r="AH49" i="9"/>
  <c r="AH51" i="9"/>
  <c r="AH53" i="9"/>
  <c r="AH54" i="9"/>
  <c r="AI54" i="9" s="1"/>
  <c r="AK54" i="9" s="1"/>
  <c r="AH55" i="9"/>
  <c r="AH57" i="9"/>
  <c r="AH59" i="9"/>
  <c r="AH61" i="9"/>
  <c r="AH63" i="9"/>
  <c r="AH65" i="9"/>
  <c r="AH67" i="9"/>
  <c r="AH69" i="9"/>
  <c r="AH70" i="9"/>
  <c r="AI70" i="9" s="1"/>
  <c r="AK70" i="9" s="1"/>
  <c r="AH71" i="9"/>
  <c r="AH73" i="9"/>
  <c r="AH75" i="9"/>
  <c r="AH77" i="9"/>
  <c r="AH79" i="9"/>
  <c r="AH81" i="9"/>
  <c r="AH83" i="9"/>
  <c r="AH85" i="9"/>
  <c r="AH86" i="9"/>
  <c r="AI86" i="9" s="1"/>
  <c r="AK86" i="9" s="1"/>
  <c r="AH87" i="9"/>
  <c r="AH89" i="9"/>
  <c r="AH91" i="9"/>
  <c r="AH93" i="9"/>
  <c r="AH95" i="9"/>
  <c r="AH97" i="9"/>
  <c r="AH99" i="9"/>
  <c r="AH101" i="9"/>
  <c r="AH103" i="9"/>
  <c r="AH105" i="9"/>
  <c r="AH107" i="9"/>
  <c r="AH109" i="9"/>
  <c r="AH111" i="9"/>
  <c r="AH113" i="9"/>
  <c r="AH115" i="9"/>
  <c r="AH117" i="9"/>
  <c r="AH118" i="9"/>
  <c r="AI118" i="9" s="1"/>
  <c r="AK118" i="9" s="1"/>
  <c r="AH119" i="9"/>
  <c r="AH121" i="9"/>
  <c r="AH123" i="9"/>
  <c r="AI123" i="9" s="1"/>
  <c r="AH125" i="9"/>
  <c r="AH127" i="9"/>
  <c r="AH129" i="9"/>
  <c r="AH131" i="9"/>
  <c r="AI131" i="9" s="1"/>
  <c r="AH133" i="9"/>
  <c r="AH134" i="9"/>
  <c r="AI134" i="9" s="1"/>
  <c r="AK134" i="9" s="1"/>
  <c r="AH135" i="9"/>
  <c r="AH137" i="9"/>
  <c r="AH139" i="9"/>
  <c r="AI139" i="9" s="1"/>
  <c r="AH141" i="9"/>
  <c r="AH143" i="9"/>
  <c r="AH145" i="9"/>
  <c r="AH147" i="9"/>
  <c r="AI147" i="9" s="1"/>
  <c r="AK147" i="9" s="1"/>
  <c r="AH149" i="9"/>
  <c r="AH150" i="9"/>
  <c r="AI150" i="9" s="1"/>
  <c r="AK150" i="9" s="1"/>
  <c r="AH151" i="9"/>
  <c r="AH153" i="9"/>
  <c r="AH155" i="9"/>
  <c r="AI155" i="9" s="1"/>
  <c r="AH157" i="9"/>
  <c r="AH159" i="9"/>
  <c r="AI7" i="9"/>
  <c r="AI8" i="9"/>
  <c r="AK8" i="9" s="1"/>
  <c r="AI9" i="9"/>
  <c r="AI11" i="9"/>
  <c r="AI13" i="9"/>
  <c r="AI15" i="9"/>
  <c r="AI16" i="9"/>
  <c r="AK16" i="9" s="1"/>
  <c r="AI17" i="9"/>
  <c r="AI19" i="9"/>
  <c r="AI21" i="9"/>
  <c r="AI23" i="9"/>
  <c r="AI24" i="9"/>
  <c r="AK24" i="9" s="1"/>
  <c r="AL24" i="9" s="1"/>
  <c r="AI25" i="9"/>
  <c r="AI27" i="9"/>
  <c r="AI29" i="9"/>
  <c r="AI31" i="9"/>
  <c r="AI32" i="9"/>
  <c r="AK32" i="9" s="1"/>
  <c r="AI33" i="9"/>
  <c r="AI35" i="9"/>
  <c r="AI37" i="9"/>
  <c r="AI39" i="9"/>
  <c r="AI40" i="9"/>
  <c r="AK40" i="9" s="1"/>
  <c r="AL40" i="9" s="1"/>
  <c r="AI41" i="9"/>
  <c r="AI43" i="9"/>
  <c r="AI45" i="9"/>
  <c r="AI47" i="9"/>
  <c r="AI49" i="9"/>
  <c r="AI51" i="9"/>
  <c r="AI53" i="9"/>
  <c r="AI55" i="9"/>
  <c r="AI56" i="9"/>
  <c r="AK56" i="9" s="1"/>
  <c r="AI57" i="9"/>
  <c r="AI59" i="9"/>
  <c r="AI61" i="9"/>
  <c r="AI63" i="9"/>
  <c r="AI65" i="9"/>
  <c r="AI67" i="9"/>
  <c r="AI69" i="9"/>
  <c r="AI71" i="9"/>
  <c r="AI72" i="9"/>
  <c r="AK72" i="9" s="1"/>
  <c r="AI73" i="9"/>
  <c r="AI75" i="9"/>
  <c r="AI77" i="9"/>
  <c r="AI79" i="9"/>
  <c r="AI80" i="9"/>
  <c r="AK80" i="9" s="1"/>
  <c r="AI81" i="9"/>
  <c r="AI83" i="9"/>
  <c r="AI85" i="9"/>
  <c r="AI87" i="9"/>
  <c r="AI88" i="9"/>
  <c r="AK88" i="9" s="1"/>
  <c r="AL88" i="9" s="1"/>
  <c r="AI89" i="9"/>
  <c r="AI91" i="9"/>
  <c r="AI93" i="9"/>
  <c r="AI95" i="9"/>
  <c r="AI96" i="9"/>
  <c r="AK96" i="9" s="1"/>
  <c r="AI97" i="9"/>
  <c r="AI99" i="9"/>
  <c r="AI101" i="9"/>
  <c r="AI103" i="9"/>
  <c r="AI104" i="9"/>
  <c r="AK104" i="9" s="1"/>
  <c r="AL104" i="9" s="1"/>
  <c r="AI105" i="9"/>
  <c r="AI107" i="9"/>
  <c r="AI109" i="9"/>
  <c r="AI111" i="9"/>
  <c r="AI113" i="9"/>
  <c r="AI115" i="9"/>
  <c r="AI117" i="9"/>
  <c r="AI119" i="9"/>
  <c r="AI120" i="9"/>
  <c r="AK120" i="9" s="1"/>
  <c r="AI121" i="9"/>
  <c r="AI125" i="9"/>
  <c r="AI127" i="9"/>
  <c r="AI128" i="9"/>
  <c r="AK128" i="9" s="1"/>
  <c r="AL128" i="9" s="1"/>
  <c r="AI129" i="9"/>
  <c r="AI133" i="9"/>
  <c r="AI135" i="9"/>
  <c r="AI136" i="9"/>
  <c r="AK136" i="9" s="1"/>
  <c r="AI137" i="9"/>
  <c r="AI141" i="9"/>
  <c r="AI143" i="9"/>
  <c r="AI144" i="9"/>
  <c r="AK144" i="9" s="1"/>
  <c r="AL144" i="9" s="1"/>
  <c r="AI145" i="9"/>
  <c r="AI149" i="9"/>
  <c r="AI151" i="9"/>
  <c r="AI152" i="9"/>
  <c r="AK152" i="9" s="1"/>
  <c r="AI153" i="9"/>
  <c r="AI157" i="9"/>
  <c r="AI159" i="9"/>
  <c r="AJ2" i="9"/>
  <c r="AJ3" i="9"/>
  <c r="AJ4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K135" i="9" s="1"/>
  <c r="AJ136" i="9"/>
  <c r="AJ137" i="9"/>
  <c r="AJ138" i="9"/>
  <c r="AJ139" i="9"/>
  <c r="AJ140" i="9"/>
  <c r="AJ141" i="9"/>
  <c r="AJ142" i="9"/>
  <c r="AJ143" i="9"/>
  <c r="AJ144" i="9"/>
  <c r="AJ145" i="9"/>
  <c r="AK145" i="9" s="1"/>
  <c r="AJ146" i="9"/>
  <c r="AK146" i="9" s="1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K159" i="9" s="1"/>
  <c r="AK7" i="9"/>
  <c r="AK9" i="9"/>
  <c r="AM9" i="9" s="1"/>
  <c r="AK11" i="9"/>
  <c r="AK13" i="9"/>
  <c r="AK15" i="9"/>
  <c r="AK17" i="9"/>
  <c r="AK19" i="9"/>
  <c r="AM19" i="9" s="1"/>
  <c r="AK21" i="9"/>
  <c r="AL21" i="9" s="1"/>
  <c r="AK23" i="9"/>
  <c r="AK25" i="9"/>
  <c r="AM25" i="9" s="1"/>
  <c r="AK27" i="9"/>
  <c r="AK29" i="9"/>
  <c r="AL29" i="9" s="1"/>
  <c r="AK31" i="9"/>
  <c r="AL31" i="9" s="1"/>
  <c r="AK33" i="9"/>
  <c r="AK35" i="9"/>
  <c r="AM35" i="9" s="1"/>
  <c r="AK37" i="9"/>
  <c r="AM37" i="9" s="1"/>
  <c r="AK39" i="9"/>
  <c r="AK41" i="9"/>
  <c r="AL41" i="9" s="1"/>
  <c r="AK43" i="9"/>
  <c r="AM43" i="9" s="1"/>
  <c r="AK45" i="9"/>
  <c r="AM45" i="9" s="1"/>
  <c r="AK47" i="9"/>
  <c r="AM47" i="9" s="1"/>
  <c r="AK49" i="9"/>
  <c r="AK51" i="9"/>
  <c r="AK53" i="9"/>
  <c r="AM53" i="9" s="1"/>
  <c r="AK55" i="9"/>
  <c r="AM55" i="9" s="1"/>
  <c r="AK57" i="9"/>
  <c r="AK59" i="9"/>
  <c r="AM59" i="9" s="1"/>
  <c r="AK61" i="9"/>
  <c r="AK63" i="9"/>
  <c r="AM63" i="9" s="1"/>
  <c r="AK65" i="9"/>
  <c r="AK67" i="9"/>
  <c r="AM67" i="9" s="1"/>
  <c r="AK69" i="9"/>
  <c r="AM69" i="9" s="1"/>
  <c r="AK71" i="9"/>
  <c r="AK73" i="9"/>
  <c r="AK75" i="9"/>
  <c r="AM75" i="9" s="1"/>
  <c r="AK77" i="9"/>
  <c r="AM77" i="9" s="1"/>
  <c r="AK79" i="9"/>
  <c r="AM79" i="9" s="1"/>
  <c r="AK81" i="9"/>
  <c r="AK83" i="9"/>
  <c r="AK85" i="9"/>
  <c r="AM85" i="9" s="1"/>
  <c r="AK87" i="9"/>
  <c r="AM87" i="9" s="1"/>
  <c r="AK89" i="9"/>
  <c r="AK91" i="9"/>
  <c r="AM91" i="9" s="1"/>
  <c r="AK93" i="9"/>
  <c r="AK95" i="9"/>
  <c r="AM95" i="9" s="1"/>
  <c r="AK97" i="9"/>
  <c r="AK99" i="9"/>
  <c r="AM99" i="9" s="1"/>
  <c r="AK101" i="9"/>
  <c r="AM101" i="9" s="1"/>
  <c r="AK103" i="9"/>
  <c r="AK105" i="9"/>
  <c r="AK107" i="9"/>
  <c r="AM107" i="9" s="1"/>
  <c r="AK109" i="9"/>
  <c r="AM109" i="9" s="1"/>
  <c r="AK111" i="9"/>
  <c r="AM111" i="9" s="1"/>
  <c r="AK113" i="9"/>
  <c r="AK115" i="9"/>
  <c r="AK117" i="9"/>
  <c r="AM117" i="9" s="1"/>
  <c r="AK119" i="9"/>
  <c r="AM119" i="9" s="1"/>
  <c r="AK121" i="9"/>
  <c r="AK123" i="9"/>
  <c r="AM123" i="9" s="1"/>
  <c r="AK125" i="9"/>
  <c r="AK127" i="9"/>
  <c r="AM127" i="9" s="1"/>
  <c r="AK129" i="9"/>
  <c r="AK131" i="9"/>
  <c r="AM131" i="9" s="1"/>
  <c r="AK133" i="9"/>
  <c r="AM133" i="9" s="1"/>
  <c r="AK137" i="9"/>
  <c r="AK138" i="9"/>
  <c r="AL138" i="9" s="1"/>
  <c r="AK139" i="9"/>
  <c r="AK141" i="9"/>
  <c r="AK143" i="9"/>
  <c r="AL143" i="9" s="1"/>
  <c r="AK149" i="9"/>
  <c r="AM149" i="9" s="1"/>
  <c r="AK151" i="9"/>
  <c r="AM151" i="9" s="1"/>
  <c r="AK153" i="9"/>
  <c r="AK155" i="9"/>
  <c r="AK157" i="9"/>
  <c r="AL7" i="9"/>
  <c r="AL8" i="9"/>
  <c r="AL9" i="9"/>
  <c r="AL11" i="9"/>
  <c r="AL13" i="9"/>
  <c r="AL15" i="9"/>
  <c r="AL16" i="9"/>
  <c r="AL17" i="9"/>
  <c r="AL19" i="9"/>
  <c r="AL23" i="9"/>
  <c r="AL25" i="9"/>
  <c r="AL27" i="9"/>
  <c r="AL32" i="9"/>
  <c r="AL33" i="9"/>
  <c r="AL37" i="9"/>
  <c r="AL39" i="9"/>
  <c r="AL49" i="9"/>
  <c r="AL51" i="9"/>
  <c r="AL56" i="9"/>
  <c r="AL57" i="9"/>
  <c r="AL61" i="9"/>
  <c r="AL65" i="9"/>
  <c r="AL71" i="9"/>
  <c r="AL72" i="9"/>
  <c r="AL73" i="9"/>
  <c r="AL80" i="9"/>
  <c r="AL81" i="9"/>
  <c r="AL83" i="9"/>
  <c r="AL89" i="9"/>
  <c r="AL93" i="9"/>
  <c r="AL96" i="9"/>
  <c r="AL97" i="9"/>
  <c r="AL103" i="9"/>
  <c r="AL105" i="9"/>
  <c r="AL113" i="9"/>
  <c r="AL115" i="9"/>
  <c r="AL120" i="9"/>
  <c r="AL121" i="9"/>
  <c r="AL125" i="9"/>
  <c r="AL129" i="9"/>
  <c r="AL136" i="9"/>
  <c r="AL137" i="9"/>
  <c r="AL139" i="9"/>
  <c r="AL141" i="9"/>
  <c r="AL152" i="9"/>
  <c r="AL153" i="9"/>
  <c r="AL155" i="9"/>
  <c r="AL157" i="9"/>
  <c r="AM7" i="9"/>
  <c r="AM8" i="9"/>
  <c r="AM11" i="9"/>
  <c r="AM13" i="9"/>
  <c r="AM15" i="9"/>
  <c r="AM16" i="9"/>
  <c r="AM17" i="9"/>
  <c r="AM22" i="9"/>
  <c r="AM23" i="9"/>
  <c r="AM24" i="9"/>
  <c r="AM27" i="9"/>
  <c r="AM29" i="9"/>
  <c r="AM32" i="9"/>
  <c r="AM33" i="9"/>
  <c r="AM39" i="9"/>
  <c r="AM40" i="9"/>
  <c r="AM41" i="9"/>
  <c r="AM49" i="9"/>
  <c r="AM51" i="9"/>
  <c r="AM56" i="9"/>
  <c r="AM57" i="9"/>
  <c r="AM61" i="9"/>
  <c r="AM65" i="9"/>
  <c r="AM71" i="9"/>
  <c r="AM72" i="9"/>
  <c r="AM73" i="9"/>
  <c r="AM80" i="9"/>
  <c r="AM81" i="9"/>
  <c r="AM83" i="9"/>
  <c r="AM88" i="9"/>
  <c r="AM89" i="9"/>
  <c r="AM93" i="9"/>
  <c r="AM96" i="9"/>
  <c r="AM97" i="9"/>
  <c r="AM103" i="9"/>
  <c r="AM104" i="9"/>
  <c r="AM105" i="9"/>
  <c r="AM113" i="9"/>
  <c r="AM115" i="9"/>
  <c r="AM120" i="9"/>
  <c r="AM121" i="9"/>
  <c r="AM125" i="9"/>
  <c r="AM128" i="9"/>
  <c r="AM129" i="9"/>
  <c r="AM136" i="9"/>
  <c r="AM137" i="9"/>
  <c r="AM139" i="9"/>
  <c r="AM141" i="9"/>
  <c r="AM143" i="9"/>
  <c r="AM144" i="9"/>
  <c r="AM152" i="9"/>
  <c r="AM153" i="9"/>
  <c r="AM155" i="9"/>
  <c r="AM157" i="9"/>
  <c r="Z5" i="9" l="1"/>
  <c r="AH5" i="9" s="1"/>
  <c r="AI5" i="9" s="1"/>
  <c r="AK5" i="9" s="1"/>
  <c r="AL5" i="9" s="1"/>
  <c r="AH3" i="9"/>
  <c r="AI3" i="9" s="1"/>
  <c r="AK3" i="9" s="1"/>
  <c r="AM112" i="9"/>
  <c r="AL112" i="9"/>
  <c r="AM146" i="9"/>
  <c r="AL146" i="9"/>
  <c r="AM150" i="9"/>
  <c r="AL150" i="9"/>
  <c r="AL64" i="9"/>
  <c r="AM64" i="9"/>
  <c r="AM110" i="9"/>
  <c r="AL110" i="9"/>
  <c r="AL94" i="9"/>
  <c r="AM94" i="9"/>
  <c r="AM78" i="9"/>
  <c r="AL78" i="9"/>
  <c r="AM38" i="9"/>
  <c r="AL38" i="9"/>
  <c r="AM30" i="9"/>
  <c r="AL30" i="9"/>
  <c r="AL14" i="9"/>
  <c r="AM14" i="9"/>
  <c r="AL145" i="9"/>
  <c r="AM145" i="9"/>
  <c r="AM134" i="9"/>
  <c r="AL134" i="9"/>
  <c r="AL158" i="9"/>
  <c r="AM158" i="9"/>
  <c r="AL62" i="9"/>
  <c r="AM62" i="9"/>
  <c r="AM147" i="9"/>
  <c r="AL147" i="9"/>
  <c r="AM118" i="9"/>
  <c r="AL118" i="9"/>
  <c r="AL142" i="9"/>
  <c r="AM142" i="9"/>
  <c r="AL46" i="9"/>
  <c r="AM46" i="9"/>
  <c r="AM159" i="9"/>
  <c r="AL159" i="9"/>
  <c r="AM135" i="9"/>
  <c r="AL135" i="9"/>
  <c r="AM86" i="9"/>
  <c r="AL86" i="9"/>
  <c r="AL126" i="9"/>
  <c r="AM126" i="9"/>
  <c r="AM102" i="9"/>
  <c r="AL102" i="9"/>
  <c r="AM70" i="9"/>
  <c r="AL70" i="9"/>
  <c r="AM48" i="9"/>
  <c r="AL48" i="9"/>
  <c r="AM54" i="9"/>
  <c r="AL54" i="9"/>
  <c r="AL154" i="9"/>
  <c r="AM154" i="9"/>
  <c r="AM138" i="9"/>
  <c r="AM114" i="9"/>
  <c r="AM98" i="9"/>
  <c r="AM90" i="9"/>
  <c r="AM74" i="9"/>
  <c r="AM58" i="9"/>
  <c r="AM42" i="9"/>
  <c r="AM26" i="9"/>
  <c r="AM10" i="9"/>
  <c r="AL151" i="9"/>
  <c r="AL127" i="9"/>
  <c r="AL119" i="9"/>
  <c r="AL111" i="9"/>
  <c r="AL95" i="9"/>
  <c r="AL87" i="9"/>
  <c r="AL79" i="9"/>
  <c r="AL63" i="9"/>
  <c r="AL55" i="9"/>
  <c r="AL47" i="9"/>
  <c r="AM31" i="9"/>
  <c r="AL149" i="9"/>
  <c r="AL133" i="9"/>
  <c r="AL117" i="9"/>
  <c r="AL109" i="9"/>
  <c r="AL101" i="9"/>
  <c r="AL85" i="9"/>
  <c r="AL77" i="9"/>
  <c r="AL69" i="9"/>
  <c r="AL53" i="9"/>
  <c r="AL45" i="9"/>
  <c r="AH156" i="9"/>
  <c r="AI156" i="9" s="1"/>
  <c r="AK156" i="9" s="1"/>
  <c r="AH148" i="9"/>
  <c r="AI148" i="9" s="1"/>
  <c r="AK148" i="9" s="1"/>
  <c r="AH140" i="9"/>
  <c r="AI140" i="9" s="1"/>
  <c r="AK140" i="9" s="1"/>
  <c r="AH132" i="9"/>
  <c r="AI132" i="9" s="1"/>
  <c r="AK132" i="9" s="1"/>
  <c r="AH124" i="9"/>
  <c r="AI124" i="9" s="1"/>
  <c r="AK124" i="9" s="1"/>
  <c r="AH116" i="9"/>
  <c r="AI116" i="9" s="1"/>
  <c r="AK116" i="9" s="1"/>
  <c r="AH108" i="9"/>
  <c r="AI108" i="9" s="1"/>
  <c r="AK108" i="9" s="1"/>
  <c r="AH100" i="9"/>
  <c r="AI100" i="9" s="1"/>
  <c r="AK100" i="9" s="1"/>
  <c r="AH92" i="9"/>
  <c r="AI92" i="9" s="1"/>
  <c r="AK92" i="9" s="1"/>
  <c r="AH84" i="9"/>
  <c r="AI84" i="9" s="1"/>
  <c r="AK84" i="9" s="1"/>
  <c r="AH76" i="9"/>
  <c r="AI76" i="9" s="1"/>
  <c r="AK76" i="9" s="1"/>
  <c r="AH68" i="9"/>
  <c r="AI68" i="9" s="1"/>
  <c r="AK68" i="9" s="1"/>
  <c r="AH60" i="9"/>
  <c r="AI60" i="9" s="1"/>
  <c r="AK60" i="9" s="1"/>
  <c r="AH52" i="9"/>
  <c r="AI52" i="9" s="1"/>
  <c r="AK52" i="9" s="1"/>
  <c r="AH44" i="9"/>
  <c r="AI44" i="9" s="1"/>
  <c r="AK44" i="9" s="1"/>
  <c r="AH36" i="9"/>
  <c r="AI36" i="9" s="1"/>
  <c r="AK36" i="9" s="1"/>
  <c r="AH28" i="9"/>
  <c r="AI28" i="9" s="1"/>
  <c r="AK28" i="9" s="1"/>
  <c r="AH20" i="9"/>
  <c r="AI20" i="9" s="1"/>
  <c r="AK20" i="9" s="1"/>
  <c r="AH12" i="9"/>
  <c r="AI12" i="9" s="1"/>
  <c r="AK12" i="9" s="1"/>
  <c r="AH4" i="9"/>
  <c r="AI4" i="9" s="1"/>
  <c r="AK4" i="9" s="1"/>
  <c r="AL35" i="9"/>
  <c r="AL123" i="9"/>
  <c r="AL107" i="9"/>
  <c r="AL91" i="9"/>
  <c r="AL75" i="9"/>
  <c r="AL59" i="9"/>
  <c r="AL43" i="9"/>
  <c r="AM21" i="9"/>
  <c r="AL131" i="9"/>
  <c r="AL99" i="9"/>
  <c r="AL67" i="9"/>
  <c r="AL6" i="9"/>
  <c r="AL106" i="9"/>
  <c r="AL82" i="9"/>
  <c r="AL66" i="9"/>
  <c r="AL50" i="9"/>
  <c r="AM34" i="9"/>
  <c r="AM18" i="9"/>
  <c r="AM2" i="9"/>
  <c r="AK130" i="9"/>
  <c r="AK122" i="9"/>
  <c r="H9" i="2"/>
  <c r="H10" i="2"/>
  <c r="H11" i="2"/>
  <c r="H12" i="2"/>
  <c r="H13" i="2"/>
  <c r="H14" i="2"/>
  <c r="H15" i="2"/>
  <c r="H2" i="2"/>
  <c r="H3" i="2"/>
  <c r="H4" i="2"/>
  <c r="H5" i="2"/>
  <c r="H6" i="2"/>
  <c r="H7" i="2"/>
  <c r="H8" i="2"/>
  <c r="H16" i="2"/>
  <c r="H17" i="2"/>
  <c r="H18" i="2"/>
  <c r="H19" i="2"/>
  <c r="H20" i="2"/>
  <c r="H21" i="2"/>
  <c r="H22" i="2"/>
  <c r="J8" i="2"/>
  <c r="AM5" i="9" l="1"/>
  <c r="AL3" i="9"/>
  <c r="AM3" i="9"/>
  <c r="AL4" i="9"/>
  <c r="AM4" i="9"/>
  <c r="AM68" i="9"/>
  <c r="AL68" i="9"/>
  <c r="AM132" i="9"/>
  <c r="AL132" i="9"/>
  <c r="AM148" i="9"/>
  <c r="AL148" i="9"/>
  <c r="AM20" i="9"/>
  <c r="AL20" i="9"/>
  <c r="AL130" i="9"/>
  <c r="AM130" i="9"/>
  <c r="AM92" i="9"/>
  <c r="AL92" i="9"/>
  <c r="AM156" i="9"/>
  <c r="AL156" i="9"/>
  <c r="AM12" i="9"/>
  <c r="AL12" i="9"/>
  <c r="AM84" i="9"/>
  <c r="AL84" i="9"/>
  <c r="AM36" i="9"/>
  <c r="AL36" i="9"/>
  <c r="AL100" i="9"/>
  <c r="AM100" i="9"/>
  <c r="AM76" i="9"/>
  <c r="AL76" i="9"/>
  <c r="AM122" i="9"/>
  <c r="AL122" i="9"/>
  <c r="AL28" i="9"/>
  <c r="AM28" i="9"/>
  <c r="AM44" i="9"/>
  <c r="AL44" i="9"/>
  <c r="AL108" i="9"/>
  <c r="AM108" i="9"/>
  <c r="AM116" i="9"/>
  <c r="AL116" i="9"/>
  <c r="AL140" i="9"/>
  <c r="AM140" i="9"/>
  <c r="AL52" i="9"/>
  <c r="AM52" i="9"/>
  <c r="AL60" i="9"/>
  <c r="AM60" i="9"/>
  <c r="AM124" i="9"/>
  <c r="AL124" i="9"/>
  <c r="N1174" i="13"/>
  <c r="N1175" i="13"/>
  <c r="N1176" i="13"/>
  <c r="J1178" i="13"/>
  <c r="N1179" i="13"/>
  <c r="J1180" i="13"/>
  <c r="N1181" i="13"/>
  <c r="N1182" i="13"/>
  <c r="N1183" i="13"/>
  <c r="N1184" i="13"/>
  <c r="N1162" i="13"/>
  <c r="N1164" i="13"/>
  <c r="J1165" i="13"/>
  <c r="N1166" i="13"/>
  <c r="N1167" i="13"/>
  <c r="N1168" i="13"/>
  <c r="N1169" i="13"/>
  <c r="J1170" i="13"/>
  <c r="J1171" i="13"/>
  <c r="J1172" i="13"/>
  <c r="J1173" i="13"/>
  <c r="N1161" i="13"/>
  <c r="N1160" i="13"/>
  <c r="A1232" i="13"/>
  <c r="A1233" i="13"/>
  <c r="A1234" i="13"/>
  <c r="A1235" i="13"/>
  <c r="A1236" i="13"/>
  <c r="A1237" i="13"/>
  <c r="A1238" i="13"/>
  <c r="A1239" i="13"/>
  <c r="A1240" i="13"/>
  <c r="A1241" i="13"/>
  <c r="A1242" i="13"/>
  <c r="B1232" i="13"/>
  <c r="B1233" i="13"/>
  <c r="B1234" i="13"/>
  <c r="B1235" i="13"/>
  <c r="B1236" i="13"/>
  <c r="B1237" i="13"/>
  <c r="B1238" i="13"/>
  <c r="B1239" i="13"/>
  <c r="B1240" i="13"/>
  <c r="B1241" i="13"/>
  <c r="B1242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D1232" i="13"/>
  <c r="D1233" i="13"/>
  <c r="D1234" i="13"/>
  <c r="D1235" i="13"/>
  <c r="D1236" i="13"/>
  <c r="D1237" i="13"/>
  <c r="D1238" i="13"/>
  <c r="D1239" i="13"/>
  <c r="D1240" i="13"/>
  <c r="D1241" i="13"/>
  <c r="D1242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G1232" i="13"/>
  <c r="G1233" i="13"/>
  <c r="G1234" i="13"/>
  <c r="G1235" i="13"/>
  <c r="G1236" i="13"/>
  <c r="G1237" i="13"/>
  <c r="G1238" i="13"/>
  <c r="G1239" i="13"/>
  <c r="G1240" i="13"/>
  <c r="G1241" i="13"/>
  <c r="G1242" i="13"/>
  <c r="H1232" i="13"/>
  <c r="H1233" i="13"/>
  <c r="H1234" i="13"/>
  <c r="H1235" i="13"/>
  <c r="H1236" i="13"/>
  <c r="H1237" i="13"/>
  <c r="H1238" i="13"/>
  <c r="H1239" i="13"/>
  <c r="H1240" i="13"/>
  <c r="H1241" i="13"/>
  <c r="H1242" i="13"/>
  <c r="I1232" i="13"/>
  <c r="I1233" i="13"/>
  <c r="I1234" i="13"/>
  <c r="I1235" i="13"/>
  <c r="I1236" i="13"/>
  <c r="I1237" i="13"/>
  <c r="I1238" i="13"/>
  <c r="I1239" i="13"/>
  <c r="I1240" i="13"/>
  <c r="I1241" i="13"/>
  <c r="I1242" i="13"/>
  <c r="J1232" i="13"/>
  <c r="J1233" i="13"/>
  <c r="J1234" i="13"/>
  <c r="J1235" i="13"/>
  <c r="J1236" i="13"/>
  <c r="J1237" i="13"/>
  <c r="J1238" i="13"/>
  <c r="J1239" i="13"/>
  <c r="J1240" i="13"/>
  <c r="J1241" i="13"/>
  <c r="J1242" i="13"/>
  <c r="K1232" i="13"/>
  <c r="O1232" i="13" s="1"/>
  <c r="K1233" i="13"/>
  <c r="O1233" i="13" s="1"/>
  <c r="K1234" i="13"/>
  <c r="O1234" i="13" s="1"/>
  <c r="K1235" i="13"/>
  <c r="O1235" i="13" s="1"/>
  <c r="K1236" i="13"/>
  <c r="O1236" i="13" s="1"/>
  <c r="K1237" i="13"/>
  <c r="O1237" i="13" s="1"/>
  <c r="K1238" i="13"/>
  <c r="O1238" i="13" s="1"/>
  <c r="K1239" i="13"/>
  <c r="O1239" i="13" s="1"/>
  <c r="K1240" i="13"/>
  <c r="O1240" i="13" s="1"/>
  <c r="K1241" i="13"/>
  <c r="O1241" i="13" s="1"/>
  <c r="K1242" i="13"/>
  <c r="O1242" i="13" s="1"/>
  <c r="L1232" i="13"/>
  <c r="L1233" i="13"/>
  <c r="L1234" i="13"/>
  <c r="L1235" i="13"/>
  <c r="L1236" i="13"/>
  <c r="L1237" i="13"/>
  <c r="L1238" i="13"/>
  <c r="L1239" i="13"/>
  <c r="L1240" i="13"/>
  <c r="L1241" i="13"/>
  <c r="L1242" i="13"/>
  <c r="M1232" i="13"/>
  <c r="M1233" i="13"/>
  <c r="M1234" i="13"/>
  <c r="M1235" i="13"/>
  <c r="M1236" i="13"/>
  <c r="M1237" i="13"/>
  <c r="M1238" i="13"/>
  <c r="M1239" i="13"/>
  <c r="M1240" i="13"/>
  <c r="M1241" i="13"/>
  <c r="M1242" i="13"/>
  <c r="N1232" i="13"/>
  <c r="N1233" i="13"/>
  <c r="N1234" i="13"/>
  <c r="N1235" i="13"/>
  <c r="N1236" i="13"/>
  <c r="N1237" i="13"/>
  <c r="N1238" i="13"/>
  <c r="N1239" i="13"/>
  <c r="N1240" i="13"/>
  <c r="N1241" i="13"/>
  <c r="N1242" i="13"/>
  <c r="Q1232" i="13"/>
  <c r="Q1233" i="13"/>
  <c r="Q1234" i="13"/>
  <c r="Q1235" i="13"/>
  <c r="Q1236" i="13"/>
  <c r="Q1237" i="13"/>
  <c r="Q1238" i="13"/>
  <c r="Q1239" i="13"/>
  <c r="Q1240" i="13"/>
  <c r="Q1241" i="13"/>
  <c r="Q1242" i="13"/>
  <c r="R1232" i="13"/>
  <c r="R1233" i="13"/>
  <c r="R1234" i="13"/>
  <c r="R1235" i="13"/>
  <c r="R1236" i="13"/>
  <c r="R1237" i="13"/>
  <c r="R1238" i="13"/>
  <c r="R1239" i="13"/>
  <c r="R1240" i="13"/>
  <c r="R1241" i="13"/>
  <c r="R1242" i="13"/>
  <c r="A1222" i="13"/>
  <c r="A1223" i="13"/>
  <c r="A1224" i="13"/>
  <c r="A1225" i="13"/>
  <c r="A1226" i="13"/>
  <c r="A1227" i="13"/>
  <c r="A1228" i="13"/>
  <c r="A1229" i="13"/>
  <c r="A1230" i="13"/>
  <c r="A1231" i="13"/>
  <c r="B1222" i="13"/>
  <c r="B1223" i="13"/>
  <c r="B1224" i="13"/>
  <c r="B1225" i="13"/>
  <c r="B1226" i="13"/>
  <c r="B1227" i="13"/>
  <c r="B1228" i="13"/>
  <c r="B1229" i="13"/>
  <c r="B1230" i="13"/>
  <c r="B1231" i="13"/>
  <c r="C1222" i="13"/>
  <c r="C1223" i="13"/>
  <c r="C1224" i="13"/>
  <c r="C1225" i="13"/>
  <c r="C1226" i="13"/>
  <c r="C1227" i="13"/>
  <c r="C1228" i="13"/>
  <c r="C1229" i="13"/>
  <c r="C1230" i="13"/>
  <c r="C1231" i="13"/>
  <c r="D1222" i="13"/>
  <c r="D1223" i="13"/>
  <c r="D1224" i="13"/>
  <c r="D1225" i="13"/>
  <c r="D1226" i="13"/>
  <c r="D1227" i="13"/>
  <c r="D1228" i="13"/>
  <c r="D1229" i="13"/>
  <c r="D1230" i="13"/>
  <c r="D1231" i="13"/>
  <c r="E1222" i="13"/>
  <c r="E1223" i="13"/>
  <c r="E1224" i="13"/>
  <c r="E1225" i="13"/>
  <c r="E1226" i="13"/>
  <c r="E1227" i="13"/>
  <c r="E1228" i="13"/>
  <c r="E1229" i="13"/>
  <c r="E1230" i="13"/>
  <c r="E1231" i="13"/>
  <c r="F1222" i="13"/>
  <c r="F1223" i="13"/>
  <c r="F1224" i="13"/>
  <c r="F1225" i="13"/>
  <c r="F1226" i="13"/>
  <c r="F1227" i="13"/>
  <c r="F1228" i="13"/>
  <c r="F1229" i="13"/>
  <c r="F1230" i="13"/>
  <c r="F1231" i="13"/>
  <c r="G1222" i="13"/>
  <c r="G1223" i="13"/>
  <c r="G1224" i="13"/>
  <c r="G1225" i="13"/>
  <c r="G1226" i="13"/>
  <c r="G1227" i="13"/>
  <c r="G1228" i="13"/>
  <c r="G1229" i="13"/>
  <c r="G1230" i="13"/>
  <c r="G1231" i="13"/>
  <c r="H1222" i="13"/>
  <c r="H1223" i="13"/>
  <c r="H1224" i="13"/>
  <c r="H1225" i="13"/>
  <c r="H1226" i="13"/>
  <c r="H1227" i="13"/>
  <c r="H1228" i="13"/>
  <c r="H1229" i="13"/>
  <c r="H1230" i="13"/>
  <c r="H1231" i="13"/>
  <c r="I1222" i="13"/>
  <c r="I1223" i="13"/>
  <c r="I1224" i="13"/>
  <c r="I1225" i="13"/>
  <c r="I1226" i="13"/>
  <c r="I1227" i="13"/>
  <c r="I1228" i="13"/>
  <c r="I1229" i="13"/>
  <c r="I1230" i="13"/>
  <c r="I1231" i="13"/>
  <c r="J1222" i="13"/>
  <c r="J1223" i="13"/>
  <c r="J1224" i="13"/>
  <c r="J1225" i="13"/>
  <c r="J1226" i="13"/>
  <c r="J1227" i="13"/>
  <c r="J1228" i="13"/>
  <c r="J1229" i="13"/>
  <c r="J1230" i="13"/>
  <c r="J1231" i="13"/>
  <c r="K1222" i="13"/>
  <c r="K1223" i="13"/>
  <c r="K1224" i="13"/>
  <c r="K1225" i="13"/>
  <c r="K1226" i="13"/>
  <c r="O1226" i="13" s="1"/>
  <c r="P1226" i="13" s="1"/>
  <c r="K1227" i="13"/>
  <c r="O1227" i="13" s="1"/>
  <c r="P1227" i="13" s="1"/>
  <c r="K1228" i="13"/>
  <c r="O1228" i="13" s="1"/>
  <c r="K1229" i="13"/>
  <c r="O1229" i="13" s="1"/>
  <c r="P1229" i="13" s="1"/>
  <c r="K1230" i="13"/>
  <c r="O1230" i="13" s="1"/>
  <c r="P1230" i="13" s="1"/>
  <c r="K1231" i="13"/>
  <c r="O1231" i="13" s="1"/>
  <c r="P1231" i="13" s="1"/>
  <c r="L1222" i="13"/>
  <c r="L1223" i="13"/>
  <c r="L1224" i="13"/>
  <c r="L1225" i="13"/>
  <c r="L1226" i="13"/>
  <c r="L1227" i="13"/>
  <c r="L1228" i="13"/>
  <c r="L1229" i="13"/>
  <c r="L1230" i="13"/>
  <c r="L1231" i="13"/>
  <c r="M1222" i="13"/>
  <c r="M1223" i="13"/>
  <c r="M1224" i="13"/>
  <c r="M1225" i="13"/>
  <c r="M1226" i="13"/>
  <c r="M1227" i="13"/>
  <c r="M1228" i="13"/>
  <c r="M1229" i="13"/>
  <c r="M1230" i="13"/>
  <c r="M1231" i="13"/>
  <c r="N1222" i="13"/>
  <c r="N1223" i="13"/>
  <c r="N1224" i="13"/>
  <c r="N1225" i="13"/>
  <c r="N1226" i="13"/>
  <c r="N1227" i="13"/>
  <c r="N1228" i="13"/>
  <c r="N1229" i="13"/>
  <c r="N1230" i="13"/>
  <c r="N1231" i="13"/>
  <c r="O1222" i="13"/>
  <c r="O1223" i="13"/>
  <c r="P1223" i="13" s="1"/>
  <c r="O1224" i="13"/>
  <c r="P1224" i="13" s="1"/>
  <c r="O1225" i="13"/>
  <c r="P1225" i="13" s="1"/>
  <c r="Q1222" i="13"/>
  <c r="Q1223" i="13"/>
  <c r="Q1224" i="13"/>
  <c r="Q1225" i="13"/>
  <c r="Q1226" i="13"/>
  <c r="Q1227" i="13"/>
  <c r="Q1228" i="13"/>
  <c r="Q1229" i="13"/>
  <c r="Q1230" i="13"/>
  <c r="Q1231" i="13"/>
  <c r="R1222" i="13"/>
  <c r="R1223" i="13"/>
  <c r="R1224" i="13"/>
  <c r="R1225" i="13"/>
  <c r="R1226" i="13"/>
  <c r="R1227" i="13"/>
  <c r="R1228" i="13"/>
  <c r="R1229" i="13"/>
  <c r="R1230" i="13"/>
  <c r="R1231" i="13"/>
  <c r="A1211" i="13"/>
  <c r="A1212" i="13"/>
  <c r="A1213" i="13"/>
  <c r="A1214" i="13"/>
  <c r="A1215" i="13"/>
  <c r="A1216" i="13"/>
  <c r="A1217" i="13"/>
  <c r="A1218" i="13"/>
  <c r="A1219" i="13"/>
  <c r="A1220" i="13"/>
  <c r="A1221" i="13"/>
  <c r="B1211" i="13"/>
  <c r="B1212" i="13"/>
  <c r="B1213" i="13"/>
  <c r="B1214" i="13"/>
  <c r="B1215" i="13"/>
  <c r="B1216" i="13"/>
  <c r="B1217" i="13"/>
  <c r="B1218" i="13"/>
  <c r="B1219" i="13"/>
  <c r="B1220" i="13"/>
  <c r="B1221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D1211" i="13"/>
  <c r="D1212" i="13"/>
  <c r="D1213" i="13"/>
  <c r="D1214" i="13"/>
  <c r="D1215" i="13"/>
  <c r="D1216" i="13"/>
  <c r="D1217" i="13"/>
  <c r="D1218" i="13"/>
  <c r="D1219" i="13"/>
  <c r="D1220" i="13"/>
  <c r="D1221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G1211" i="13"/>
  <c r="G1212" i="13"/>
  <c r="G1213" i="13"/>
  <c r="G1214" i="13"/>
  <c r="G1215" i="13"/>
  <c r="G1216" i="13"/>
  <c r="G1217" i="13"/>
  <c r="G1218" i="13"/>
  <c r="G1219" i="13"/>
  <c r="G1220" i="13"/>
  <c r="G1221" i="13"/>
  <c r="H1211" i="13"/>
  <c r="H1212" i="13"/>
  <c r="H1213" i="13"/>
  <c r="H1214" i="13"/>
  <c r="H1215" i="13"/>
  <c r="H1216" i="13"/>
  <c r="H1217" i="13"/>
  <c r="H1218" i="13"/>
  <c r="H1219" i="13"/>
  <c r="H1220" i="13"/>
  <c r="H1221" i="13"/>
  <c r="I1211" i="13"/>
  <c r="I1212" i="13"/>
  <c r="I1213" i="13"/>
  <c r="I1214" i="13"/>
  <c r="I1215" i="13"/>
  <c r="I1216" i="13"/>
  <c r="I1217" i="13"/>
  <c r="I1218" i="13"/>
  <c r="I1219" i="13"/>
  <c r="I1220" i="13"/>
  <c r="I1221" i="13"/>
  <c r="J1211" i="13"/>
  <c r="J1212" i="13"/>
  <c r="J1213" i="13"/>
  <c r="J1214" i="13"/>
  <c r="J1215" i="13"/>
  <c r="J1216" i="13"/>
  <c r="J1217" i="13"/>
  <c r="J1218" i="13"/>
  <c r="J1219" i="13"/>
  <c r="J1220" i="13"/>
  <c r="J1221" i="13"/>
  <c r="K1211" i="13"/>
  <c r="O1211" i="13" s="1"/>
  <c r="K1212" i="13"/>
  <c r="O1212" i="13" s="1"/>
  <c r="K1213" i="13"/>
  <c r="O1213" i="13" s="1"/>
  <c r="K1214" i="13"/>
  <c r="O1214" i="13" s="1"/>
  <c r="K1215" i="13"/>
  <c r="O1215" i="13" s="1"/>
  <c r="K1216" i="13"/>
  <c r="O1216" i="13" s="1"/>
  <c r="K1217" i="13"/>
  <c r="O1217" i="13" s="1"/>
  <c r="K1218" i="13"/>
  <c r="O1218" i="13" s="1"/>
  <c r="K1219" i="13"/>
  <c r="O1219" i="13" s="1"/>
  <c r="K1220" i="13"/>
  <c r="O1220" i="13" s="1"/>
  <c r="K1221" i="13"/>
  <c r="O1221" i="13" s="1"/>
  <c r="L1211" i="13"/>
  <c r="L1212" i="13"/>
  <c r="L1213" i="13"/>
  <c r="L1214" i="13"/>
  <c r="L1215" i="13"/>
  <c r="L1216" i="13"/>
  <c r="L1217" i="13"/>
  <c r="L1218" i="13"/>
  <c r="L1219" i="13"/>
  <c r="L1220" i="13"/>
  <c r="L1221" i="13"/>
  <c r="M1211" i="13"/>
  <c r="M1212" i="13"/>
  <c r="M1213" i="13"/>
  <c r="M1214" i="13"/>
  <c r="M1215" i="13"/>
  <c r="M1216" i="13"/>
  <c r="M1217" i="13"/>
  <c r="M1218" i="13"/>
  <c r="M1219" i="13"/>
  <c r="M1220" i="13"/>
  <c r="M1221" i="13"/>
  <c r="N1211" i="13"/>
  <c r="N1212" i="13"/>
  <c r="N1213" i="13"/>
  <c r="N1214" i="13"/>
  <c r="N1215" i="13"/>
  <c r="N1216" i="13"/>
  <c r="N1217" i="13"/>
  <c r="N1218" i="13"/>
  <c r="N1219" i="13"/>
  <c r="N1220" i="13"/>
  <c r="N1221" i="13"/>
  <c r="Q1211" i="13"/>
  <c r="Q1212" i="13"/>
  <c r="Q1213" i="13"/>
  <c r="Q1214" i="13"/>
  <c r="Q1215" i="13"/>
  <c r="Q1216" i="13"/>
  <c r="Q1217" i="13"/>
  <c r="Q1218" i="13"/>
  <c r="Q1219" i="13"/>
  <c r="Q1220" i="13"/>
  <c r="Q1221" i="13"/>
  <c r="R1211" i="13"/>
  <c r="R1212" i="13"/>
  <c r="R1213" i="13"/>
  <c r="R1214" i="13"/>
  <c r="R1215" i="13"/>
  <c r="R1216" i="13"/>
  <c r="R1217" i="13"/>
  <c r="R1218" i="13"/>
  <c r="R1219" i="13"/>
  <c r="R1220" i="13"/>
  <c r="R1221" i="13"/>
  <c r="A1200" i="13"/>
  <c r="A1201" i="13"/>
  <c r="A1202" i="13"/>
  <c r="A1203" i="13"/>
  <c r="A1204" i="13"/>
  <c r="A1205" i="13"/>
  <c r="A1206" i="13"/>
  <c r="A1207" i="13"/>
  <c r="A1208" i="13"/>
  <c r="A1209" i="13"/>
  <c r="A1210" i="13"/>
  <c r="B1200" i="13"/>
  <c r="B1201" i="13"/>
  <c r="B1202" i="13"/>
  <c r="B1203" i="13"/>
  <c r="B1204" i="13"/>
  <c r="B1205" i="13"/>
  <c r="B1206" i="13"/>
  <c r="B1207" i="13"/>
  <c r="B1208" i="13"/>
  <c r="B1209" i="13"/>
  <c r="B1210" i="13"/>
  <c r="C1200" i="13"/>
  <c r="C1201" i="13"/>
  <c r="C1202" i="13"/>
  <c r="C1203" i="13"/>
  <c r="C1204" i="13"/>
  <c r="C1205" i="13"/>
  <c r="C1206" i="13"/>
  <c r="C1207" i="13"/>
  <c r="C1208" i="13"/>
  <c r="C1209" i="13"/>
  <c r="C1210" i="13"/>
  <c r="D1200" i="13"/>
  <c r="D1201" i="13"/>
  <c r="D1202" i="13"/>
  <c r="D1203" i="13"/>
  <c r="D1204" i="13"/>
  <c r="D1205" i="13"/>
  <c r="D1206" i="13"/>
  <c r="D1207" i="13"/>
  <c r="D1208" i="13"/>
  <c r="D1209" i="13"/>
  <c r="D1210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G1200" i="13"/>
  <c r="G1201" i="13"/>
  <c r="G1202" i="13"/>
  <c r="G1203" i="13"/>
  <c r="G1204" i="13"/>
  <c r="G1205" i="13"/>
  <c r="G1206" i="13"/>
  <c r="G1207" i="13"/>
  <c r="G1208" i="13"/>
  <c r="G1209" i="13"/>
  <c r="G1210" i="13"/>
  <c r="H1200" i="13"/>
  <c r="H1201" i="13"/>
  <c r="H1202" i="13"/>
  <c r="H1203" i="13"/>
  <c r="H1204" i="13"/>
  <c r="H1205" i="13"/>
  <c r="H1206" i="13"/>
  <c r="H1207" i="13"/>
  <c r="H1208" i="13"/>
  <c r="H1209" i="13"/>
  <c r="H1210" i="13"/>
  <c r="I1200" i="13"/>
  <c r="I1201" i="13"/>
  <c r="I1202" i="13"/>
  <c r="I1203" i="13"/>
  <c r="I1204" i="13"/>
  <c r="I1205" i="13"/>
  <c r="I1206" i="13"/>
  <c r="I1207" i="13"/>
  <c r="I1208" i="13"/>
  <c r="I1209" i="13"/>
  <c r="I1210" i="13"/>
  <c r="J1200" i="13"/>
  <c r="J1201" i="13"/>
  <c r="J1202" i="13"/>
  <c r="J1203" i="13"/>
  <c r="J1204" i="13"/>
  <c r="J1205" i="13"/>
  <c r="J1206" i="13"/>
  <c r="J1207" i="13"/>
  <c r="J1208" i="13"/>
  <c r="J1209" i="13"/>
  <c r="J1210" i="13"/>
  <c r="K1200" i="13"/>
  <c r="O1200" i="13" s="1"/>
  <c r="K1201" i="13"/>
  <c r="O1201" i="13" s="1"/>
  <c r="K1202" i="13"/>
  <c r="O1202" i="13" s="1"/>
  <c r="K1203" i="13"/>
  <c r="O1203" i="13" s="1"/>
  <c r="K1204" i="13"/>
  <c r="O1204" i="13" s="1"/>
  <c r="K1205" i="13"/>
  <c r="O1205" i="13" s="1"/>
  <c r="K1206" i="13"/>
  <c r="O1206" i="13" s="1"/>
  <c r="K1207" i="13"/>
  <c r="O1207" i="13" s="1"/>
  <c r="K1208" i="13"/>
  <c r="O1208" i="13" s="1"/>
  <c r="K1209" i="13"/>
  <c r="O1209" i="13" s="1"/>
  <c r="K1210" i="13"/>
  <c r="O1210" i="13" s="1"/>
  <c r="L1200" i="13"/>
  <c r="L1201" i="13"/>
  <c r="L1202" i="13"/>
  <c r="L1203" i="13"/>
  <c r="L1204" i="13"/>
  <c r="L1205" i="13"/>
  <c r="L1206" i="13"/>
  <c r="L1207" i="13"/>
  <c r="L1208" i="13"/>
  <c r="L1209" i="13"/>
  <c r="L1210" i="13"/>
  <c r="M1200" i="13"/>
  <c r="M1201" i="13"/>
  <c r="M1202" i="13"/>
  <c r="M1203" i="13"/>
  <c r="M1204" i="13"/>
  <c r="M1205" i="13"/>
  <c r="M1206" i="13"/>
  <c r="M1207" i="13"/>
  <c r="M1208" i="13"/>
  <c r="M1209" i="13"/>
  <c r="M1210" i="13"/>
  <c r="N1200" i="13"/>
  <c r="N1201" i="13"/>
  <c r="N1202" i="13"/>
  <c r="N1203" i="13"/>
  <c r="N1204" i="13"/>
  <c r="N1205" i="13"/>
  <c r="N1206" i="13"/>
  <c r="N1207" i="13"/>
  <c r="N1208" i="13"/>
  <c r="N1209" i="13"/>
  <c r="N1210" i="13"/>
  <c r="Q1200" i="13"/>
  <c r="Q1201" i="13"/>
  <c r="Q1202" i="13"/>
  <c r="Q1203" i="13"/>
  <c r="Q1204" i="13"/>
  <c r="Q1205" i="13"/>
  <c r="Q1206" i="13"/>
  <c r="Q1207" i="13"/>
  <c r="Q1208" i="13"/>
  <c r="Q1209" i="13"/>
  <c r="Q1210" i="13"/>
  <c r="R1200" i="13"/>
  <c r="R1201" i="13"/>
  <c r="R1202" i="13"/>
  <c r="R1203" i="13"/>
  <c r="R1204" i="13"/>
  <c r="R1205" i="13"/>
  <c r="R1206" i="13"/>
  <c r="R1207" i="13"/>
  <c r="R1208" i="13"/>
  <c r="R1209" i="13"/>
  <c r="R1210" i="13"/>
  <c r="A1198" i="13"/>
  <c r="A1199" i="13"/>
  <c r="B1198" i="13"/>
  <c r="B1199" i="13"/>
  <c r="C1198" i="13"/>
  <c r="C1199" i="13"/>
  <c r="D1198" i="13"/>
  <c r="D1199" i="13"/>
  <c r="E1198" i="13"/>
  <c r="E1199" i="13"/>
  <c r="F1198" i="13"/>
  <c r="F1199" i="13"/>
  <c r="G1198" i="13"/>
  <c r="G1199" i="13"/>
  <c r="H1198" i="13"/>
  <c r="H1199" i="13"/>
  <c r="I1198" i="13"/>
  <c r="I1199" i="13"/>
  <c r="J1198" i="13"/>
  <c r="J1199" i="13"/>
  <c r="K1198" i="13"/>
  <c r="O1198" i="13" s="1"/>
  <c r="K1199" i="13"/>
  <c r="O1199" i="13" s="1"/>
  <c r="P1199" i="13" s="1"/>
  <c r="L1198" i="13"/>
  <c r="L1199" i="13"/>
  <c r="M1198" i="13"/>
  <c r="M1199" i="13"/>
  <c r="N1198" i="13"/>
  <c r="N1199" i="13"/>
  <c r="Q1198" i="13"/>
  <c r="Q1199" i="13"/>
  <c r="R1198" i="13"/>
  <c r="R1199" i="13"/>
  <c r="J1159" i="13"/>
  <c r="N1158" i="13"/>
  <c r="J1156" i="13"/>
  <c r="J1155" i="13"/>
  <c r="A1135" i="13"/>
  <c r="B1135" i="13"/>
  <c r="C1135" i="13"/>
  <c r="D1135" i="13"/>
  <c r="E1135" i="13"/>
  <c r="F1135" i="13"/>
  <c r="G1135" i="13"/>
  <c r="H1135" i="13"/>
  <c r="I1135" i="13"/>
  <c r="K1135" i="13"/>
  <c r="O1135" i="13" s="1"/>
  <c r="L1135" i="13"/>
  <c r="M1135" i="13"/>
  <c r="Q1135" i="13"/>
  <c r="R1135" i="13"/>
  <c r="A1136" i="13"/>
  <c r="B1136" i="13"/>
  <c r="C1136" i="13"/>
  <c r="D1136" i="13"/>
  <c r="E1136" i="13"/>
  <c r="F1136" i="13"/>
  <c r="G1136" i="13"/>
  <c r="H1136" i="13"/>
  <c r="I1136" i="13"/>
  <c r="K1136" i="13"/>
  <c r="O1136" i="13" s="1"/>
  <c r="L1136" i="13"/>
  <c r="M1136" i="13"/>
  <c r="Q1136" i="13"/>
  <c r="R1136" i="13"/>
  <c r="A1137" i="13"/>
  <c r="B1137" i="13"/>
  <c r="C1137" i="13"/>
  <c r="D1137" i="13"/>
  <c r="E1137" i="13"/>
  <c r="F1137" i="13"/>
  <c r="G1137" i="13"/>
  <c r="H1137" i="13"/>
  <c r="I1137" i="13"/>
  <c r="K1137" i="13"/>
  <c r="O1137" i="13" s="1"/>
  <c r="L1137" i="13"/>
  <c r="M1137" i="13"/>
  <c r="Q1137" i="13"/>
  <c r="R1137" i="13"/>
  <c r="A1138" i="13"/>
  <c r="B1138" i="13"/>
  <c r="C1138" i="13"/>
  <c r="D1138" i="13"/>
  <c r="E1138" i="13"/>
  <c r="F1138" i="13"/>
  <c r="G1138" i="13"/>
  <c r="H1138" i="13"/>
  <c r="I1138" i="13"/>
  <c r="K1138" i="13"/>
  <c r="O1138" i="13" s="1"/>
  <c r="L1138" i="13"/>
  <c r="M1138" i="13"/>
  <c r="Q1138" i="13"/>
  <c r="R1138" i="13"/>
  <c r="A1139" i="13"/>
  <c r="B1139" i="13"/>
  <c r="C1139" i="13"/>
  <c r="D1139" i="13"/>
  <c r="E1139" i="13"/>
  <c r="F1139" i="13"/>
  <c r="G1139" i="13"/>
  <c r="H1139" i="13"/>
  <c r="I1139" i="13"/>
  <c r="K1139" i="13"/>
  <c r="O1139" i="13" s="1"/>
  <c r="L1139" i="13"/>
  <c r="M1139" i="13"/>
  <c r="Q1139" i="13"/>
  <c r="R1139" i="13"/>
  <c r="A1140" i="13"/>
  <c r="B1140" i="13"/>
  <c r="C1140" i="13"/>
  <c r="D1140" i="13"/>
  <c r="E1140" i="13"/>
  <c r="F1140" i="13"/>
  <c r="G1140" i="13"/>
  <c r="H1140" i="13"/>
  <c r="I1140" i="13"/>
  <c r="K1140" i="13"/>
  <c r="O1140" i="13" s="1"/>
  <c r="L1140" i="13"/>
  <c r="M1140" i="13"/>
  <c r="Q1140" i="13"/>
  <c r="R1140" i="13"/>
  <c r="A1141" i="13"/>
  <c r="B1141" i="13"/>
  <c r="C1141" i="13"/>
  <c r="D1141" i="13"/>
  <c r="E1141" i="13"/>
  <c r="F1141" i="13"/>
  <c r="G1141" i="13"/>
  <c r="H1141" i="13"/>
  <c r="I1141" i="13"/>
  <c r="K1141" i="13"/>
  <c r="O1141" i="13" s="1"/>
  <c r="L1141" i="13"/>
  <c r="M1141" i="13"/>
  <c r="Q1141" i="13"/>
  <c r="R1141" i="13"/>
  <c r="A1142" i="13"/>
  <c r="B1142" i="13"/>
  <c r="C1142" i="13"/>
  <c r="D1142" i="13"/>
  <c r="E1142" i="13"/>
  <c r="F1142" i="13"/>
  <c r="G1142" i="13"/>
  <c r="H1142" i="13"/>
  <c r="I1142" i="13"/>
  <c r="K1142" i="13"/>
  <c r="O1142" i="13" s="1"/>
  <c r="L1142" i="13"/>
  <c r="M1142" i="13"/>
  <c r="Q1142" i="13"/>
  <c r="R1142" i="13"/>
  <c r="A1143" i="13"/>
  <c r="B1143" i="13"/>
  <c r="C1143" i="13"/>
  <c r="D1143" i="13"/>
  <c r="E1143" i="13"/>
  <c r="F1143" i="13"/>
  <c r="G1143" i="13"/>
  <c r="H1143" i="13"/>
  <c r="I1143" i="13"/>
  <c r="K1143" i="13"/>
  <c r="O1143" i="13" s="1"/>
  <c r="L1143" i="13"/>
  <c r="M1143" i="13"/>
  <c r="Q1143" i="13"/>
  <c r="R1143" i="13"/>
  <c r="A1144" i="13"/>
  <c r="B1144" i="13"/>
  <c r="C1144" i="13"/>
  <c r="D1144" i="13"/>
  <c r="E1144" i="13"/>
  <c r="F1144" i="13"/>
  <c r="G1144" i="13"/>
  <c r="H1144" i="13"/>
  <c r="I1144" i="13"/>
  <c r="K1144" i="13"/>
  <c r="O1144" i="13" s="1"/>
  <c r="L1144" i="13"/>
  <c r="M1144" i="13"/>
  <c r="Q1144" i="13"/>
  <c r="R1144" i="13"/>
  <c r="A1145" i="13"/>
  <c r="B1145" i="13"/>
  <c r="C1145" i="13"/>
  <c r="D1145" i="13"/>
  <c r="E1145" i="13"/>
  <c r="F1145" i="13"/>
  <c r="G1145" i="13"/>
  <c r="H1145" i="13"/>
  <c r="I1145" i="13"/>
  <c r="K1145" i="13"/>
  <c r="O1145" i="13" s="1"/>
  <c r="L1145" i="13"/>
  <c r="M1145" i="13"/>
  <c r="Q1145" i="13"/>
  <c r="R1145" i="13"/>
  <c r="A1146" i="13"/>
  <c r="B1146" i="13"/>
  <c r="C1146" i="13"/>
  <c r="D1146" i="13"/>
  <c r="E1146" i="13"/>
  <c r="F1146" i="13"/>
  <c r="G1146" i="13"/>
  <c r="H1146" i="13"/>
  <c r="I1146" i="13"/>
  <c r="K1146" i="13"/>
  <c r="O1146" i="13" s="1"/>
  <c r="L1146" i="13"/>
  <c r="M1146" i="13"/>
  <c r="Q1146" i="13"/>
  <c r="R1146" i="13"/>
  <c r="A1147" i="13"/>
  <c r="B1147" i="13"/>
  <c r="C1147" i="13"/>
  <c r="D1147" i="13"/>
  <c r="E1147" i="13"/>
  <c r="F1147" i="13"/>
  <c r="G1147" i="13"/>
  <c r="H1147" i="13"/>
  <c r="I1147" i="13"/>
  <c r="K1147" i="13"/>
  <c r="O1147" i="13" s="1"/>
  <c r="L1147" i="13"/>
  <c r="M1147" i="13"/>
  <c r="Q1147" i="13"/>
  <c r="R1147" i="13"/>
  <c r="A1148" i="13"/>
  <c r="B1148" i="13"/>
  <c r="C1148" i="13"/>
  <c r="D1148" i="13"/>
  <c r="E1148" i="13"/>
  <c r="F1148" i="13"/>
  <c r="G1148" i="13"/>
  <c r="H1148" i="13"/>
  <c r="I1148" i="13"/>
  <c r="K1148" i="13"/>
  <c r="O1148" i="13" s="1"/>
  <c r="L1148" i="13"/>
  <c r="M1148" i="13"/>
  <c r="Q1148" i="13"/>
  <c r="R1148" i="13"/>
  <c r="A1149" i="13"/>
  <c r="B1149" i="13"/>
  <c r="C1149" i="13"/>
  <c r="D1149" i="13"/>
  <c r="E1149" i="13"/>
  <c r="F1149" i="13"/>
  <c r="G1149" i="13"/>
  <c r="H1149" i="13"/>
  <c r="I1149" i="13"/>
  <c r="K1149" i="13"/>
  <c r="O1149" i="13" s="1"/>
  <c r="L1149" i="13"/>
  <c r="M1149" i="13"/>
  <c r="Q1149" i="13"/>
  <c r="R1149" i="13"/>
  <c r="A1150" i="13"/>
  <c r="B1150" i="13"/>
  <c r="C1150" i="13"/>
  <c r="D1150" i="13"/>
  <c r="E1150" i="13"/>
  <c r="F1150" i="13"/>
  <c r="G1150" i="13"/>
  <c r="H1150" i="13"/>
  <c r="I1150" i="13"/>
  <c r="K1150" i="13"/>
  <c r="O1150" i="13" s="1"/>
  <c r="L1150" i="13"/>
  <c r="M1150" i="13"/>
  <c r="Q1150" i="13"/>
  <c r="R1150" i="13"/>
  <c r="A1151" i="13"/>
  <c r="B1151" i="13"/>
  <c r="C1151" i="13"/>
  <c r="D1151" i="13"/>
  <c r="E1151" i="13"/>
  <c r="F1151" i="13"/>
  <c r="G1151" i="13"/>
  <c r="H1151" i="13"/>
  <c r="I1151" i="13"/>
  <c r="K1151" i="13"/>
  <c r="O1151" i="13" s="1"/>
  <c r="L1151" i="13"/>
  <c r="M1151" i="13"/>
  <c r="Q1151" i="13"/>
  <c r="R1151" i="13"/>
  <c r="A1152" i="13"/>
  <c r="B1152" i="13"/>
  <c r="C1152" i="13"/>
  <c r="D1152" i="13"/>
  <c r="E1152" i="13"/>
  <c r="F1152" i="13"/>
  <c r="G1152" i="13"/>
  <c r="H1152" i="13"/>
  <c r="I1152" i="13"/>
  <c r="K1152" i="13"/>
  <c r="O1152" i="13" s="1"/>
  <c r="L1152" i="13"/>
  <c r="M1152" i="13"/>
  <c r="Q1152" i="13"/>
  <c r="R1152" i="13"/>
  <c r="A1153" i="13"/>
  <c r="B1153" i="13"/>
  <c r="C1153" i="13"/>
  <c r="D1153" i="13"/>
  <c r="E1153" i="13"/>
  <c r="F1153" i="13"/>
  <c r="G1153" i="13"/>
  <c r="H1153" i="13"/>
  <c r="I1153" i="13"/>
  <c r="K1153" i="13"/>
  <c r="O1153" i="13" s="1"/>
  <c r="L1153" i="13"/>
  <c r="M1153" i="13"/>
  <c r="Q1153" i="13"/>
  <c r="R1153" i="13"/>
  <c r="A1154" i="13"/>
  <c r="B1154" i="13"/>
  <c r="C1154" i="13"/>
  <c r="D1154" i="13"/>
  <c r="E1154" i="13"/>
  <c r="F1154" i="13"/>
  <c r="G1154" i="13"/>
  <c r="H1154" i="13"/>
  <c r="I1154" i="13"/>
  <c r="K1154" i="13"/>
  <c r="O1154" i="13" s="1"/>
  <c r="L1154" i="13"/>
  <c r="M1154" i="13"/>
  <c r="Q1154" i="13"/>
  <c r="R1154" i="13"/>
  <c r="A1155" i="13"/>
  <c r="B1155" i="13"/>
  <c r="C1155" i="13"/>
  <c r="D1155" i="13"/>
  <c r="E1155" i="13"/>
  <c r="F1155" i="13"/>
  <c r="G1155" i="13"/>
  <c r="H1155" i="13"/>
  <c r="I1155" i="13"/>
  <c r="K1155" i="13"/>
  <c r="O1155" i="13" s="1"/>
  <c r="L1155" i="13"/>
  <c r="M1155" i="13"/>
  <c r="Q1155" i="13"/>
  <c r="R1155" i="13"/>
  <c r="A1156" i="13"/>
  <c r="B1156" i="13"/>
  <c r="C1156" i="13"/>
  <c r="D1156" i="13"/>
  <c r="E1156" i="13"/>
  <c r="F1156" i="13"/>
  <c r="G1156" i="13"/>
  <c r="H1156" i="13"/>
  <c r="I1156" i="13"/>
  <c r="K1156" i="13"/>
  <c r="O1156" i="13" s="1"/>
  <c r="L1156" i="13"/>
  <c r="M1156" i="13"/>
  <c r="Q1156" i="13"/>
  <c r="R1156" i="13"/>
  <c r="A1157" i="13"/>
  <c r="B1157" i="13"/>
  <c r="C1157" i="13"/>
  <c r="D1157" i="13"/>
  <c r="E1157" i="13"/>
  <c r="F1157" i="13"/>
  <c r="G1157" i="13"/>
  <c r="H1157" i="13"/>
  <c r="I1157" i="13"/>
  <c r="K1157" i="13"/>
  <c r="O1157" i="13" s="1"/>
  <c r="L1157" i="13"/>
  <c r="M1157" i="13"/>
  <c r="Q1157" i="13"/>
  <c r="R1157" i="13"/>
  <c r="A1158" i="13"/>
  <c r="B1158" i="13"/>
  <c r="C1158" i="13"/>
  <c r="D1158" i="13"/>
  <c r="E1158" i="13"/>
  <c r="F1158" i="13"/>
  <c r="G1158" i="13"/>
  <c r="H1158" i="13"/>
  <c r="I1158" i="13"/>
  <c r="K1158" i="13"/>
  <c r="O1158" i="13" s="1"/>
  <c r="L1158" i="13"/>
  <c r="M1158" i="13"/>
  <c r="Q1158" i="13"/>
  <c r="R1158" i="13"/>
  <c r="A1159" i="13"/>
  <c r="B1159" i="13"/>
  <c r="C1159" i="13"/>
  <c r="D1159" i="13"/>
  <c r="E1159" i="13"/>
  <c r="F1159" i="13"/>
  <c r="G1159" i="13"/>
  <c r="H1159" i="13"/>
  <c r="I1159" i="13"/>
  <c r="K1159" i="13"/>
  <c r="O1159" i="13" s="1"/>
  <c r="L1159" i="13"/>
  <c r="M1159" i="13"/>
  <c r="Q1159" i="13"/>
  <c r="R1159" i="13"/>
  <c r="A1160" i="13"/>
  <c r="B1160" i="13"/>
  <c r="C1160" i="13"/>
  <c r="D1160" i="13"/>
  <c r="E1160" i="13"/>
  <c r="F1160" i="13"/>
  <c r="G1160" i="13"/>
  <c r="H1160" i="13"/>
  <c r="I1160" i="13"/>
  <c r="K1160" i="13"/>
  <c r="O1160" i="13" s="1"/>
  <c r="L1160" i="13"/>
  <c r="M1160" i="13"/>
  <c r="Q1160" i="13"/>
  <c r="R1160" i="13"/>
  <c r="A1161" i="13"/>
  <c r="B1161" i="13"/>
  <c r="C1161" i="13"/>
  <c r="D1161" i="13"/>
  <c r="E1161" i="13"/>
  <c r="F1161" i="13"/>
  <c r="G1161" i="13"/>
  <c r="H1161" i="13"/>
  <c r="I1161" i="13"/>
  <c r="K1161" i="13"/>
  <c r="O1161" i="13" s="1"/>
  <c r="L1161" i="13"/>
  <c r="M1161" i="13"/>
  <c r="Q1161" i="13"/>
  <c r="R1161" i="13"/>
  <c r="A1162" i="13"/>
  <c r="B1162" i="13"/>
  <c r="C1162" i="13"/>
  <c r="D1162" i="13"/>
  <c r="E1162" i="13"/>
  <c r="F1162" i="13"/>
  <c r="G1162" i="13"/>
  <c r="H1162" i="13"/>
  <c r="I1162" i="13"/>
  <c r="K1162" i="13"/>
  <c r="O1162" i="13" s="1"/>
  <c r="L1162" i="13"/>
  <c r="M1162" i="13"/>
  <c r="Q1162" i="13"/>
  <c r="R1162" i="13"/>
  <c r="A1163" i="13"/>
  <c r="B1163" i="13"/>
  <c r="C1163" i="13"/>
  <c r="D1163" i="13"/>
  <c r="E1163" i="13"/>
  <c r="F1163" i="13"/>
  <c r="G1163" i="13"/>
  <c r="H1163" i="13"/>
  <c r="I1163" i="13"/>
  <c r="K1163" i="13"/>
  <c r="O1163" i="13" s="1"/>
  <c r="L1163" i="13"/>
  <c r="M1163" i="13"/>
  <c r="Q1163" i="13"/>
  <c r="R1163" i="13"/>
  <c r="A1164" i="13"/>
  <c r="B1164" i="13"/>
  <c r="C1164" i="13"/>
  <c r="D1164" i="13"/>
  <c r="E1164" i="13"/>
  <c r="F1164" i="13"/>
  <c r="G1164" i="13"/>
  <c r="H1164" i="13"/>
  <c r="I1164" i="13"/>
  <c r="K1164" i="13"/>
  <c r="O1164" i="13" s="1"/>
  <c r="L1164" i="13"/>
  <c r="M1164" i="13"/>
  <c r="Q1164" i="13"/>
  <c r="R1164" i="13"/>
  <c r="A1165" i="13"/>
  <c r="B1165" i="13"/>
  <c r="C1165" i="13"/>
  <c r="D1165" i="13"/>
  <c r="E1165" i="13"/>
  <c r="F1165" i="13"/>
  <c r="G1165" i="13"/>
  <c r="H1165" i="13"/>
  <c r="I1165" i="13"/>
  <c r="K1165" i="13"/>
  <c r="O1165" i="13" s="1"/>
  <c r="L1165" i="13"/>
  <c r="M1165" i="13"/>
  <c r="Q1165" i="13"/>
  <c r="R1165" i="13"/>
  <c r="A1166" i="13"/>
  <c r="B1166" i="13"/>
  <c r="C1166" i="13"/>
  <c r="D1166" i="13"/>
  <c r="E1166" i="13"/>
  <c r="F1166" i="13"/>
  <c r="G1166" i="13"/>
  <c r="H1166" i="13"/>
  <c r="I1166" i="13"/>
  <c r="K1166" i="13"/>
  <c r="O1166" i="13" s="1"/>
  <c r="L1166" i="13"/>
  <c r="M1166" i="13"/>
  <c r="Q1166" i="13"/>
  <c r="R1166" i="13"/>
  <c r="A1167" i="13"/>
  <c r="B1167" i="13"/>
  <c r="C1167" i="13"/>
  <c r="D1167" i="13"/>
  <c r="E1167" i="13"/>
  <c r="F1167" i="13"/>
  <c r="G1167" i="13"/>
  <c r="H1167" i="13"/>
  <c r="I1167" i="13"/>
  <c r="K1167" i="13"/>
  <c r="O1167" i="13" s="1"/>
  <c r="L1167" i="13"/>
  <c r="M1167" i="13"/>
  <c r="Q1167" i="13"/>
  <c r="R1167" i="13"/>
  <c r="A1168" i="13"/>
  <c r="B1168" i="13"/>
  <c r="C1168" i="13"/>
  <c r="D1168" i="13"/>
  <c r="E1168" i="13"/>
  <c r="F1168" i="13"/>
  <c r="G1168" i="13"/>
  <c r="H1168" i="13"/>
  <c r="I1168" i="13"/>
  <c r="K1168" i="13"/>
  <c r="O1168" i="13" s="1"/>
  <c r="L1168" i="13"/>
  <c r="M1168" i="13"/>
  <c r="Q1168" i="13"/>
  <c r="R1168" i="13"/>
  <c r="A1169" i="13"/>
  <c r="B1169" i="13"/>
  <c r="C1169" i="13"/>
  <c r="D1169" i="13"/>
  <c r="E1169" i="13"/>
  <c r="F1169" i="13"/>
  <c r="G1169" i="13"/>
  <c r="H1169" i="13"/>
  <c r="I1169" i="13"/>
  <c r="K1169" i="13"/>
  <c r="O1169" i="13" s="1"/>
  <c r="L1169" i="13"/>
  <c r="M1169" i="13"/>
  <c r="Q1169" i="13"/>
  <c r="R1169" i="13"/>
  <c r="A1170" i="13"/>
  <c r="B1170" i="13"/>
  <c r="C1170" i="13"/>
  <c r="D1170" i="13"/>
  <c r="E1170" i="13"/>
  <c r="F1170" i="13"/>
  <c r="G1170" i="13"/>
  <c r="H1170" i="13"/>
  <c r="I1170" i="13"/>
  <c r="K1170" i="13"/>
  <c r="O1170" i="13" s="1"/>
  <c r="L1170" i="13"/>
  <c r="M1170" i="13"/>
  <c r="Q1170" i="13"/>
  <c r="R1170" i="13"/>
  <c r="A1171" i="13"/>
  <c r="B1171" i="13"/>
  <c r="C1171" i="13"/>
  <c r="D1171" i="13"/>
  <c r="E1171" i="13"/>
  <c r="F1171" i="13"/>
  <c r="G1171" i="13"/>
  <c r="H1171" i="13"/>
  <c r="I1171" i="13"/>
  <c r="K1171" i="13"/>
  <c r="O1171" i="13" s="1"/>
  <c r="L1171" i="13"/>
  <c r="M1171" i="13"/>
  <c r="Q1171" i="13"/>
  <c r="R1171" i="13"/>
  <c r="A1172" i="13"/>
  <c r="B1172" i="13"/>
  <c r="C1172" i="13"/>
  <c r="D1172" i="13"/>
  <c r="E1172" i="13"/>
  <c r="F1172" i="13"/>
  <c r="G1172" i="13"/>
  <c r="H1172" i="13"/>
  <c r="I1172" i="13"/>
  <c r="K1172" i="13"/>
  <c r="O1172" i="13" s="1"/>
  <c r="L1172" i="13"/>
  <c r="M1172" i="13"/>
  <c r="Q1172" i="13"/>
  <c r="R1172" i="13"/>
  <c r="A1173" i="13"/>
  <c r="B1173" i="13"/>
  <c r="C1173" i="13"/>
  <c r="D1173" i="13"/>
  <c r="E1173" i="13"/>
  <c r="F1173" i="13"/>
  <c r="G1173" i="13"/>
  <c r="H1173" i="13"/>
  <c r="I1173" i="13"/>
  <c r="K1173" i="13"/>
  <c r="O1173" i="13" s="1"/>
  <c r="L1173" i="13"/>
  <c r="M1173" i="13"/>
  <c r="Q1173" i="13"/>
  <c r="R1173" i="13"/>
  <c r="A1174" i="13"/>
  <c r="B1174" i="13"/>
  <c r="C1174" i="13"/>
  <c r="D1174" i="13"/>
  <c r="E1174" i="13"/>
  <c r="F1174" i="13"/>
  <c r="G1174" i="13"/>
  <c r="H1174" i="13"/>
  <c r="I1174" i="13"/>
  <c r="K1174" i="13"/>
  <c r="O1174" i="13" s="1"/>
  <c r="L1174" i="13"/>
  <c r="M1174" i="13"/>
  <c r="Q1174" i="13"/>
  <c r="R1174" i="13"/>
  <c r="A1175" i="13"/>
  <c r="B1175" i="13"/>
  <c r="C1175" i="13"/>
  <c r="D1175" i="13"/>
  <c r="E1175" i="13"/>
  <c r="F1175" i="13"/>
  <c r="G1175" i="13"/>
  <c r="H1175" i="13"/>
  <c r="I1175" i="13"/>
  <c r="K1175" i="13"/>
  <c r="O1175" i="13" s="1"/>
  <c r="L1175" i="13"/>
  <c r="M1175" i="13"/>
  <c r="Q1175" i="13"/>
  <c r="R1175" i="13"/>
  <c r="A1176" i="13"/>
  <c r="B1176" i="13"/>
  <c r="C1176" i="13"/>
  <c r="D1176" i="13"/>
  <c r="E1176" i="13"/>
  <c r="F1176" i="13"/>
  <c r="G1176" i="13"/>
  <c r="H1176" i="13"/>
  <c r="I1176" i="13"/>
  <c r="K1176" i="13"/>
  <c r="O1176" i="13" s="1"/>
  <c r="L1176" i="13"/>
  <c r="M1176" i="13"/>
  <c r="Q1176" i="13"/>
  <c r="R1176" i="13"/>
  <c r="A1177" i="13"/>
  <c r="B1177" i="13"/>
  <c r="C1177" i="13"/>
  <c r="D1177" i="13"/>
  <c r="E1177" i="13"/>
  <c r="F1177" i="13"/>
  <c r="G1177" i="13"/>
  <c r="H1177" i="13"/>
  <c r="I1177" i="13"/>
  <c r="K1177" i="13"/>
  <c r="O1177" i="13" s="1"/>
  <c r="L1177" i="13"/>
  <c r="M1177" i="13"/>
  <c r="Q1177" i="13"/>
  <c r="R1177" i="13"/>
  <c r="A1178" i="13"/>
  <c r="B1178" i="13"/>
  <c r="C1178" i="13"/>
  <c r="D1178" i="13"/>
  <c r="E1178" i="13"/>
  <c r="F1178" i="13"/>
  <c r="G1178" i="13"/>
  <c r="H1178" i="13"/>
  <c r="I1178" i="13"/>
  <c r="K1178" i="13"/>
  <c r="O1178" i="13" s="1"/>
  <c r="L1178" i="13"/>
  <c r="M1178" i="13"/>
  <c r="Q1178" i="13"/>
  <c r="R1178" i="13"/>
  <c r="A1179" i="13"/>
  <c r="B1179" i="13"/>
  <c r="C1179" i="13"/>
  <c r="D1179" i="13"/>
  <c r="E1179" i="13"/>
  <c r="F1179" i="13"/>
  <c r="G1179" i="13"/>
  <c r="H1179" i="13"/>
  <c r="I1179" i="13"/>
  <c r="K1179" i="13"/>
  <c r="O1179" i="13" s="1"/>
  <c r="L1179" i="13"/>
  <c r="M1179" i="13"/>
  <c r="Q1179" i="13"/>
  <c r="R1179" i="13"/>
  <c r="A1180" i="13"/>
  <c r="B1180" i="13"/>
  <c r="C1180" i="13"/>
  <c r="D1180" i="13"/>
  <c r="E1180" i="13"/>
  <c r="F1180" i="13"/>
  <c r="G1180" i="13"/>
  <c r="H1180" i="13"/>
  <c r="I1180" i="13"/>
  <c r="K1180" i="13"/>
  <c r="O1180" i="13" s="1"/>
  <c r="L1180" i="13"/>
  <c r="M1180" i="13"/>
  <c r="Q1180" i="13"/>
  <c r="R1180" i="13"/>
  <c r="A1181" i="13"/>
  <c r="B1181" i="13"/>
  <c r="C1181" i="13"/>
  <c r="D1181" i="13"/>
  <c r="E1181" i="13"/>
  <c r="F1181" i="13"/>
  <c r="G1181" i="13"/>
  <c r="H1181" i="13"/>
  <c r="I1181" i="13"/>
  <c r="K1181" i="13"/>
  <c r="O1181" i="13" s="1"/>
  <c r="L1181" i="13"/>
  <c r="M1181" i="13"/>
  <c r="Q1181" i="13"/>
  <c r="R1181" i="13"/>
  <c r="A1182" i="13"/>
  <c r="B1182" i="13"/>
  <c r="C1182" i="13"/>
  <c r="D1182" i="13"/>
  <c r="E1182" i="13"/>
  <c r="F1182" i="13"/>
  <c r="G1182" i="13"/>
  <c r="H1182" i="13"/>
  <c r="I1182" i="13"/>
  <c r="K1182" i="13"/>
  <c r="O1182" i="13" s="1"/>
  <c r="L1182" i="13"/>
  <c r="M1182" i="13"/>
  <c r="Q1182" i="13"/>
  <c r="R1182" i="13"/>
  <c r="A1183" i="13"/>
  <c r="B1183" i="13"/>
  <c r="C1183" i="13"/>
  <c r="D1183" i="13"/>
  <c r="E1183" i="13"/>
  <c r="F1183" i="13"/>
  <c r="G1183" i="13"/>
  <c r="H1183" i="13"/>
  <c r="I1183" i="13"/>
  <c r="K1183" i="13"/>
  <c r="O1183" i="13" s="1"/>
  <c r="L1183" i="13"/>
  <c r="M1183" i="13"/>
  <c r="Q1183" i="13"/>
  <c r="R1183" i="13"/>
  <c r="A1184" i="13"/>
  <c r="B1184" i="13"/>
  <c r="C1184" i="13"/>
  <c r="D1184" i="13"/>
  <c r="E1184" i="13"/>
  <c r="F1184" i="13"/>
  <c r="G1184" i="13"/>
  <c r="H1184" i="13"/>
  <c r="I1184" i="13"/>
  <c r="K1184" i="13"/>
  <c r="O1184" i="13" s="1"/>
  <c r="L1184" i="13"/>
  <c r="M1184" i="13"/>
  <c r="Q1184" i="13"/>
  <c r="R1184" i="13"/>
  <c r="A1185" i="13"/>
  <c r="B1185" i="13"/>
  <c r="C1185" i="13"/>
  <c r="D1185" i="13"/>
  <c r="E1185" i="13"/>
  <c r="F1185" i="13"/>
  <c r="G1185" i="13"/>
  <c r="H1185" i="13"/>
  <c r="I1185" i="13"/>
  <c r="K1185" i="13"/>
  <c r="O1185" i="13" s="1"/>
  <c r="L1185" i="13"/>
  <c r="M1185" i="13"/>
  <c r="Q1185" i="13"/>
  <c r="R1185" i="13"/>
  <c r="A1186" i="13"/>
  <c r="B1186" i="13"/>
  <c r="C1186" i="13"/>
  <c r="D1186" i="13"/>
  <c r="E1186" i="13"/>
  <c r="F1186" i="13"/>
  <c r="G1186" i="13"/>
  <c r="H1186" i="13"/>
  <c r="I1186" i="13"/>
  <c r="J1186" i="13"/>
  <c r="K1186" i="13"/>
  <c r="O1186" i="13" s="1"/>
  <c r="L1186" i="13"/>
  <c r="M1186" i="13"/>
  <c r="N1186" i="13"/>
  <c r="Q1186" i="13"/>
  <c r="R1186" i="13"/>
  <c r="A1187" i="13"/>
  <c r="B1187" i="13"/>
  <c r="C1187" i="13"/>
  <c r="D1187" i="13"/>
  <c r="E1187" i="13"/>
  <c r="F1187" i="13"/>
  <c r="G1187" i="13"/>
  <c r="H1187" i="13"/>
  <c r="I1187" i="13"/>
  <c r="J1187" i="13"/>
  <c r="K1187" i="13"/>
  <c r="O1187" i="13" s="1"/>
  <c r="L1187" i="13"/>
  <c r="M1187" i="13"/>
  <c r="N1187" i="13"/>
  <c r="Q1187" i="13"/>
  <c r="R1187" i="13"/>
  <c r="A1188" i="13"/>
  <c r="B1188" i="13"/>
  <c r="C1188" i="13"/>
  <c r="D1188" i="13"/>
  <c r="E1188" i="13"/>
  <c r="F1188" i="13"/>
  <c r="G1188" i="13"/>
  <c r="H1188" i="13"/>
  <c r="I1188" i="13"/>
  <c r="J1188" i="13"/>
  <c r="K1188" i="13"/>
  <c r="O1188" i="13" s="1"/>
  <c r="L1188" i="13"/>
  <c r="M1188" i="13"/>
  <c r="N1188" i="13"/>
  <c r="Q1188" i="13"/>
  <c r="R1188" i="13"/>
  <c r="A1189" i="13"/>
  <c r="B1189" i="13"/>
  <c r="C1189" i="13"/>
  <c r="D1189" i="13"/>
  <c r="E1189" i="13"/>
  <c r="F1189" i="13"/>
  <c r="G1189" i="13"/>
  <c r="H1189" i="13"/>
  <c r="I1189" i="13"/>
  <c r="J1189" i="13"/>
  <c r="K1189" i="13"/>
  <c r="O1189" i="13" s="1"/>
  <c r="L1189" i="13"/>
  <c r="M1189" i="13"/>
  <c r="N1189" i="13"/>
  <c r="Q1189" i="13"/>
  <c r="R1189" i="13"/>
  <c r="A1190" i="13"/>
  <c r="B1190" i="13"/>
  <c r="C1190" i="13"/>
  <c r="D1190" i="13"/>
  <c r="E1190" i="13"/>
  <c r="F1190" i="13"/>
  <c r="G1190" i="13"/>
  <c r="H1190" i="13"/>
  <c r="I1190" i="13"/>
  <c r="J1190" i="13"/>
  <c r="K1190" i="13"/>
  <c r="O1190" i="13" s="1"/>
  <c r="L1190" i="13"/>
  <c r="M1190" i="13"/>
  <c r="N1190" i="13"/>
  <c r="Q1190" i="13"/>
  <c r="R1190" i="13"/>
  <c r="A1191" i="13"/>
  <c r="B1191" i="13"/>
  <c r="C1191" i="13"/>
  <c r="D1191" i="13"/>
  <c r="E1191" i="13"/>
  <c r="F1191" i="13"/>
  <c r="G1191" i="13"/>
  <c r="H1191" i="13"/>
  <c r="I1191" i="13"/>
  <c r="J1191" i="13"/>
  <c r="K1191" i="13"/>
  <c r="O1191" i="13" s="1"/>
  <c r="L1191" i="13"/>
  <c r="M1191" i="13"/>
  <c r="N1191" i="13"/>
  <c r="Q1191" i="13"/>
  <c r="R1191" i="13"/>
  <c r="A1192" i="13"/>
  <c r="B1192" i="13"/>
  <c r="C1192" i="13"/>
  <c r="D1192" i="13"/>
  <c r="E1192" i="13"/>
  <c r="F1192" i="13"/>
  <c r="G1192" i="13"/>
  <c r="H1192" i="13"/>
  <c r="I1192" i="13"/>
  <c r="J1192" i="13"/>
  <c r="K1192" i="13"/>
  <c r="O1192" i="13" s="1"/>
  <c r="L1192" i="13"/>
  <c r="M1192" i="13"/>
  <c r="N1192" i="13"/>
  <c r="Q1192" i="13"/>
  <c r="R1192" i="13"/>
  <c r="A1193" i="13"/>
  <c r="B1193" i="13"/>
  <c r="C1193" i="13"/>
  <c r="D1193" i="13"/>
  <c r="E1193" i="13"/>
  <c r="F1193" i="13"/>
  <c r="G1193" i="13"/>
  <c r="H1193" i="13"/>
  <c r="I1193" i="13"/>
  <c r="J1193" i="13"/>
  <c r="K1193" i="13"/>
  <c r="O1193" i="13" s="1"/>
  <c r="L1193" i="13"/>
  <c r="M1193" i="13"/>
  <c r="N1193" i="13"/>
  <c r="Q1193" i="13"/>
  <c r="R1193" i="13"/>
  <c r="A1194" i="13"/>
  <c r="B1194" i="13"/>
  <c r="C1194" i="13"/>
  <c r="D1194" i="13"/>
  <c r="E1194" i="13"/>
  <c r="F1194" i="13"/>
  <c r="G1194" i="13"/>
  <c r="H1194" i="13"/>
  <c r="I1194" i="13"/>
  <c r="J1194" i="13"/>
  <c r="K1194" i="13"/>
  <c r="O1194" i="13" s="1"/>
  <c r="L1194" i="13"/>
  <c r="M1194" i="13"/>
  <c r="N1194" i="13"/>
  <c r="Q1194" i="13"/>
  <c r="R1194" i="13"/>
  <c r="A1195" i="13"/>
  <c r="B1195" i="13"/>
  <c r="C1195" i="13"/>
  <c r="D1195" i="13"/>
  <c r="E1195" i="13"/>
  <c r="F1195" i="13"/>
  <c r="G1195" i="13"/>
  <c r="H1195" i="13"/>
  <c r="I1195" i="13"/>
  <c r="J1195" i="13"/>
  <c r="K1195" i="13"/>
  <c r="O1195" i="13" s="1"/>
  <c r="L1195" i="13"/>
  <c r="M1195" i="13"/>
  <c r="N1195" i="13"/>
  <c r="Q1195" i="13"/>
  <c r="R1195" i="13"/>
  <c r="A1196" i="13"/>
  <c r="B1196" i="13"/>
  <c r="C1196" i="13"/>
  <c r="D1196" i="13"/>
  <c r="E1196" i="13"/>
  <c r="F1196" i="13"/>
  <c r="G1196" i="13"/>
  <c r="H1196" i="13"/>
  <c r="I1196" i="13"/>
  <c r="J1196" i="13"/>
  <c r="K1196" i="13"/>
  <c r="O1196" i="13" s="1"/>
  <c r="L1196" i="13"/>
  <c r="M1196" i="13"/>
  <c r="N1196" i="13"/>
  <c r="Q1196" i="13"/>
  <c r="R1196" i="13"/>
  <c r="A1197" i="13"/>
  <c r="B1197" i="13"/>
  <c r="C1197" i="13"/>
  <c r="D1197" i="13"/>
  <c r="E1197" i="13"/>
  <c r="F1197" i="13"/>
  <c r="G1197" i="13"/>
  <c r="H1197" i="13"/>
  <c r="I1197" i="13"/>
  <c r="J1197" i="13"/>
  <c r="K1197" i="13"/>
  <c r="O1197" i="13" s="1"/>
  <c r="L1197" i="13"/>
  <c r="M1197" i="13"/>
  <c r="N1197" i="13"/>
  <c r="Q1197" i="13"/>
  <c r="R1197" i="13"/>
  <c r="N1150" i="13"/>
  <c r="P1198" i="13" l="1"/>
  <c r="P1228" i="13"/>
  <c r="J1166" i="13"/>
  <c r="J1175" i="13"/>
  <c r="J1183" i="13"/>
  <c r="N1178" i="13"/>
  <c r="J1161" i="13"/>
  <c r="J1185" i="13"/>
  <c r="J1177" i="13"/>
  <c r="J1184" i="13"/>
  <c r="N1170" i="13"/>
  <c r="J1176" i="13"/>
  <c r="N1173" i="13"/>
  <c r="N1165" i="13"/>
  <c r="J1162" i="13"/>
  <c r="N1185" i="13"/>
  <c r="N1177" i="13"/>
  <c r="N1163" i="13"/>
  <c r="J1181" i="13"/>
  <c r="J1163" i="13"/>
  <c r="J1164" i="13"/>
  <c r="J1182" i="13"/>
  <c r="J1179" i="13"/>
  <c r="J1174" i="13"/>
  <c r="J1169" i="13"/>
  <c r="J1168" i="13"/>
  <c r="J1167" i="13"/>
  <c r="P1238" i="13"/>
  <c r="P1201" i="13"/>
  <c r="P1200" i="13"/>
  <c r="P1204" i="13"/>
  <c r="P1206" i="13"/>
  <c r="P1235" i="13"/>
  <c r="P1205" i="13"/>
  <c r="P1208" i="13"/>
  <c r="P1207" i="13"/>
  <c r="P1242" i="13"/>
  <c r="P1234" i="13"/>
  <c r="J1160" i="13"/>
  <c r="P1241" i="13"/>
  <c r="P1233" i="13"/>
  <c r="P1210" i="13"/>
  <c r="P1202" i="13"/>
  <c r="P1214" i="13"/>
  <c r="P1240" i="13"/>
  <c r="P1232" i="13"/>
  <c r="P1209" i="13"/>
  <c r="P1221" i="13"/>
  <c r="P1213" i="13"/>
  <c r="P1239" i="13"/>
  <c r="P1222" i="13"/>
  <c r="P1219" i="13"/>
  <c r="P1211" i="13"/>
  <c r="P1218" i="13"/>
  <c r="P1203" i="13"/>
  <c r="P1215" i="13"/>
  <c r="P1216" i="13"/>
  <c r="P1237" i="13"/>
  <c r="P1236" i="13"/>
  <c r="N1155" i="13"/>
  <c r="P1217" i="13"/>
  <c r="P1220" i="13"/>
  <c r="P1212" i="13"/>
  <c r="N1157" i="13"/>
  <c r="J1158" i="13"/>
  <c r="J1157" i="13"/>
  <c r="P1135" i="13"/>
  <c r="P1150" i="13"/>
  <c r="P1142" i="13"/>
  <c r="P1138" i="13"/>
  <c r="P1137" i="13"/>
  <c r="P1197" i="13"/>
  <c r="P1179" i="13"/>
  <c r="P1167" i="13"/>
  <c r="P1166" i="13"/>
  <c r="P1165" i="13"/>
  <c r="P1161" i="13"/>
  <c r="P1160" i="13"/>
  <c r="P1159" i="13"/>
  <c r="P1158" i="13"/>
  <c r="P1157" i="13"/>
  <c r="P1156" i="13"/>
  <c r="P1155" i="13"/>
  <c r="P1140" i="13"/>
  <c r="P1147" i="13"/>
  <c r="P1193" i="13"/>
  <c r="P1192" i="13"/>
  <c r="P1191" i="13"/>
  <c r="P1190" i="13"/>
  <c r="P1189" i="13"/>
  <c r="P1188" i="13"/>
  <c r="P1187" i="13"/>
  <c r="P1186" i="13"/>
  <c r="P1185" i="13"/>
  <c r="P1184" i="13"/>
  <c r="P1148" i="13"/>
  <c r="P1178" i="13"/>
  <c r="P1177" i="13"/>
  <c r="P1176" i="13"/>
  <c r="P1175" i="13"/>
  <c r="P1174" i="13"/>
  <c r="P1173" i="13"/>
  <c r="P1172" i="13"/>
  <c r="P1171" i="13"/>
  <c r="P1170" i="13"/>
  <c r="P1169" i="13"/>
  <c r="P1168" i="13"/>
  <c r="P1153" i="13"/>
  <c r="P1144" i="13"/>
  <c r="P1139" i="13"/>
  <c r="P1136" i="13"/>
  <c r="P1180" i="13"/>
  <c r="P1154" i="13"/>
  <c r="P1149" i="13"/>
  <c r="P1143" i="13"/>
  <c r="P1183" i="13"/>
  <c r="P1182" i="13"/>
  <c r="P1181" i="13"/>
  <c r="P1195" i="13"/>
  <c r="P1194" i="13"/>
  <c r="P1152" i="13"/>
  <c r="P1146" i="13"/>
  <c r="P1141" i="13"/>
  <c r="P1196" i="13"/>
  <c r="P1151" i="13"/>
  <c r="P1145" i="13"/>
  <c r="P1164" i="13"/>
  <c r="P1163" i="13"/>
  <c r="P1162" i="13"/>
  <c r="N1151" i="13"/>
  <c r="N1149" i="13"/>
  <c r="N1148" i="13"/>
  <c r="J1150" i="13"/>
  <c r="J1154" i="13"/>
  <c r="J1153" i="13"/>
  <c r="J1152" i="13"/>
  <c r="J1151" i="13"/>
  <c r="J1149" i="13"/>
  <c r="J1148" i="13"/>
  <c r="N1154" i="13"/>
  <c r="N1153" i="13"/>
  <c r="N1152" i="13"/>
  <c r="N1180" i="13" l="1"/>
  <c r="N1171" i="13"/>
  <c r="N1172" i="13"/>
  <c r="N1159" i="13"/>
  <c r="N1156" i="13"/>
  <c r="J1146" i="13"/>
  <c r="J1143" i="13"/>
  <c r="J1145" i="13"/>
  <c r="J1144" i="13"/>
  <c r="J1147" i="13"/>
  <c r="J1142" i="13"/>
  <c r="J1141" i="13"/>
  <c r="J1139" i="13" l="1"/>
  <c r="N1145" i="13"/>
  <c r="J1135" i="13"/>
  <c r="N1144" i="13"/>
  <c r="N1141" i="13"/>
  <c r="J1138" i="13"/>
  <c r="J1140" i="13"/>
  <c r="J1137" i="13"/>
  <c r="N1142" i="13"/>
  <c r="N1143" i="13"/>
  <c r="J1136" i="13"/>
  <c r="N1147" i="13"/>
  <c r="N1146" i="13"/>
  <c r="N1135" i="13" l="1"/>
  <c r="N1138" i="13"/>
  <c r="N1140" i="13"/>
  <c r="N1136" i="13"/>
  <c r="N1137" i="13"/>
  <c r="N1139" i="13"/>
  <c r="N1038" i="13" l="1"/>
  <c r="J1037" i="13"/>
  <c r="N1036" i="13"/>
  <c r="J1035" i="13"/>
  <c r="J1034" i="13"/>
  <c r="A1005" i="13"/>
  <c r="B1005" i="13"/>
  <c r="C1005" i="13"/>
  <c r="D1005" i="13"/>
  <c r="E1005" i="13"/>
  <c r="F1005" i="13"/>
  <c r="G1005" i="13"/>
  <c r="H1005" i="13"/>
  <c r="I1005" i="13"/>
  <c r="K1005" i="13"/>
  <c r="O1005" i="13" s="1"/>
  <c r="L1005" i="13"/>
  <c r="M1005" i="13"/>
  <c r="Q1005" i="13"/>
  <c r="R1005" i="13"/>
  <c r="A1006" i="13"/>
  <c r="B1006" i="13"/>
  <c r="C1006" i="13"/>
  <c r="D1006" i="13"/>
  <c r="E1006" i="13"/>
  <c r="F1006" i="13"/>
  <c r="G1006" i="13"/>
  <c r="H1006" i="13"/>
  <c r="I1006" i="13"/>
  <c r="K1006" i="13"/>
  <c r="O1006" i="13" s="1"/>
  <c r="L1006" i="13"/>
  <c r="M1006" i="13"/>
  <c r="Q1006" i="13"/>
  <c r="R1006" i="13"/>
  <c r="A1007" i="13"/>
  <c r="B1007" i="13"/>
  <c r="C1007" i="13"/>
  <c r="D1007" i="13"/>
  <c r="E1007" i="13"/>
  <c r="F1007" i="13"/>
  <c r="G1007" i="13"/>
  <c r="H1007" i="13"/>
  <c r="I1007" i="13"/>
  <c r="K1007" i="13"/>
  <c r="O1007" i="13" s="1"/>
  <c r="L1007" i="13"/>
  <c r="M1007" i="13"/>
  <c r="Q1007" i="13"/>
  <c r="R1007" i="13"/>
  <c r="A1008" i="13"/>
  <c r="B1008" i="13"/>
  <c r="C1008" i="13"/>
  <c r="D1008" i="13"/>
  <c r="E1008" i="13"/>
  <c r="F1008" i="13"/>
  <c r="G1008" i="13"/>
  <c r="H1008" i="13"/>
  <c r="I1008" i="13"/>
  <c r="K1008" i="13"/>
  <c r="O1008" i="13" s="1"/>
  <c r="L1008" i="13"/>
  <c r="M1008" i="13"/>
  <c r="Q1008" i="13"/>
  <c r="R1008" i="13"/>
  <c r="A1009" i="13"/>
  <c r="B1009" i="13"/>
  <c r="C1009" i="13"/>
  <c r="D1009" i="13"/>
  <c r="E1009" i="13"/>
  <c r="F1009" i="13"/>
  <c r="G1009" i="13"/>
  <c r="H1009" i="13"/>
  <c r="I1009" i="13"/>
  <c r="K1009" i="13"/>
  <c r="O1009" i="13" s="1"/>
  <c r="L1009" i="13"/>
  <c r="M1009" i="13"/>
  <c r="Q1009" i="13"/>
  <c r="R1009" i="13"/>
  <c r="A1010" i="13"/>
  <c r="B1010" i="13"/>
  <c r="C1010" i="13"/>
  <c r="D1010" i="13"/>
  <c r="E1010" i="13"/>
  <c r="F1010" i="13"/>
  <c r="G1010" i="13"/>
  <c r="H1010" i="13"/>
  <c r="I1010" i="13"/>
  <c r="K1010" i="13"/>
  <c r="O1010" i="13" s="1"/>
  <c r="L1010" i="13"/>
  <c r="M1010" i="13"/>
  <c r="Q1010" i="13"/>
  <c r="R1010" i="13"/>
  <c r="A1011" i="13"/>
  <c r="B1011" i="13"/>
  <c r="C1011" i="13"/>
  <c r="D1011" i="13"/>
  <c r="E1011" i="13"/>
  <c r="F1011" i="13"/>
  <c r="G1011" i="13"/>
  <c r="H1011" i="13"/>
  <c r="I1011" i="13"/>
  <c r="K1011" i="13"/>
  <c r="O1011" i="13" s="1"/>
  <c r="L1011" i="13"/>
  <c r="M1011" i="13"/>
  <c r="Q1011" i="13"/>
  <c r="R1011" i="13"/>
  <c r="A1012" i="13"/>
  <c r="B1012" i="13"/>
  <c r="C1012" i="13"/>
  <c r="D1012" i="13"/>
  <c r="E1012" i="13"/>
  <c r="F1012" i="13"/>
  <c r="G1012" i="13"/>
  <c r="H1012" i="13"/>
  <c r="I1012" i="13"/>
  <c r="K1012" i="13"/>
  <c r="O1012" i="13" s="1"/>
  <c r="L1012" i="13"/>
  <c r="M1012" i="13"/>
  <c r="Q1012" i="13"/>
  <c r="R1012" i="13"/>
  <c r="A1013" i="13"/>
  <c r="B1013" i="13"/>
  <c r="C1013" i="13"/>
  <c r="D1013" i="13"/>
  <c r="E1013" i="13"/>
  <c r="F1013" i="13"/>
  <c r="G1013" i="13"/>
  <c r="H1013" i="13"/>
  <c r="I1013" i="13"/>
  <c r="K1013" i="13"/>
  <c r="O1013" i="13" s="1"/>
  <c r="L1013" i="13"/>
  <c r="M1013" i="13"/>
  <c r="Q1013" i="13"/>
  <c r="R1013" i="13"/>
  <c r="A1014" i="13"/>
  <c r="B1014" i="13"/>
  <c r="C1014" i="13"/>
  <c r="D1014" i="13"/>
  <c r="E1014" i="13"/>
  <c r="F1014" i="13"/>
  <c r="G1014" i="13"/>
  <c r="H1014" i="13"/>
  <c r="I1014" i="13"/>
  <c r="K1014" i="13"/>
  <c r="O1014" i="13" s="1"/>
  <c r="L1014" i="13"/>
  <c r="M1014" i="13"/>
  <c r="Q1014" i="13"/>
  <c r="R1014" i="13"/>
  <c r="A1015" i="13"/>
  <c r="B1015" i="13"/>
  <c r="C1015" i="13"/>
  <c r="D1015" i="13"/>
  <c r="E1015" i="13"/>
  <c r="F1015" i="13"/>
  <c r="G1015" i="13"/>
  <c r="H1015" i="13"/>
  <c r="I1015" i="13"/>
  <c r="K1015" i="13"/>
  <c r="O1015" i="13" s="1"/>
  <c r="L1015" i="13"/>
  <c r="M1015" i="13"/>
  <c r="Q1015" i="13"/>
  <c r="R1015" i="13"/>
  <c r="A1016" i="13"/>
  <c r="B1016" i="13"/>
  <c r="C1016" i="13"/>
  <c r="D1016" i="13"/>
  <c r="E1016" i="13"/>
  <c r="F1016" i="13"/>
  <c r="G1016" i="13"/>
  <c r="H1016" i="13"/>
  <c r="I1016" i="13"/>
  <c r="K1016" i="13"/>
  <c r="O1016" i="13" s="1"/>
  <c r="L1016" i="13"/>
  <c r="M1016" i="13"/>
  <c r="Q1016" i="13"/>
  <c r="R1016" i="13"/>
  <c r="A1017" i="13"/>
  <c r="B1017" i="13"/>
  <c r="C1017" i="13"/>
  <c r="D1017" i="13"/>
  <c r="E1017" i="13"/>
  <c r="F1017" i="13"/>
  <c r="G1017" i="13"/>
  <c r="H1017" i="13"/>
  <c r="I1017" i="13"/>
  <c r="K1017" i="13"/>
  <c r="O1017" i="13" s="1"/>
  <c r="L1017" i="13"/>
  <c r="M1017" i="13"/>
  <c r="Q1017" i="13"/>
  <c r="R1017" i="13"/>
  <c r="A1018" i="13"/>
  <c r="B1018" i="13"/>
  <c r="C1018" i="13"/>
  <c r="D1018" i="13"/>
  <c r="E1018" i="13"/>
  <c r="F1018" i="13"/>
  <c r="G1018" i="13"/>
  <c r="H1018" i="13"/>
  <c r="I1018" i="13"/>
  <c r="K1018" i="13"/>
  <c r="O1018" i="13" s="1"/>
  <c r="L1018" i="13"/>
  <c r="M1018" i="13"/>
  <c r="Q1018" i="13"/>
  <c r="R1018" i="13"/>
  <c r="A1019" i="13"/>
  <c r="B1019" i="13"/>
  <c r="C1019" i="13"/>
  <c r="D1019" i="13"/>
  <c r="E1019" i="13"/>
  <c r="F1019" i="13"/>
  <c r="G1019" i="13"/>
  <c r="H1019" i="13"/>
  <c r="I1019" i="13"/>
  <c r="K1019" i="13"/>
  <c r="O1019" i="13" s="1"/>
  <c r="L1019" i="13"/>
  <c r="M1019" i="13"/>
  <c r="Q1019" i="13"/>
  <c r="R1019" i="13"/>
  <c r="A1020" i="13"/>
  <c r="B1020" i="13"/>
  <c r="C1020" i="13"/>
  <c r="D1020" i="13"/>
  <c r="E1020" i="13"/>
  <c r="F1020" i="13"/>
  <c r="G1020" i="13"/>
  <c r="H1020" i="13"/>
  <c r="I1020" i="13"/>
  <c r="K1020" i="13"/>
  <c r="O1020" i="13" s="1"/>
  <c r="L1020" i="13"/>
  <c r="M1020" i="13"/>
  <c r="Q1020" i="13"/>
  <c r="R1020" i="13"/>
  <c r="A1021" i="13"/>
  <c r="B1021" i="13"/>
  <c r="C1021" i="13"/>
  <c r="D1021" i="13"/>
  <c r="E1021" i="13"/>
  <c r="F1021" i="13"/>
  <c r="G1021" i="13"/>
  <c r="H1021" i="13"/>
  <c r="I1021" i="13"/>
  <c r="K1021" i="13"/>
  <c r="O1021" i="13" s="1"/>
  <c r="L1021" i="13"/>
  <c r="M1021" i="13"/>
  <c r="Q1021" i="13"/>
  <c r="R1021" i="13"/>
  <c r="A1022" i="13"/>
  <c r="B1022" i="13"/>
  <c r="C1022" i="13"/>
  <c r="D1022" i="13"/>
  <c r="E1022" i="13"/>
  <c r="F1022" i="13"/>
  <c r="G1022" i="13"/>
  <c r="H1022" i="13"/>
  <c r="I1022" i="13"/>
  <c r="K1022" i="13"/>
  <c r="O1022" i="13" s="1"/>
  <c r="L1022" i="13"/>
  <c r="M1022" i="13"/>
  <c r="Q1022" i="13"/>
  <c r="R1022" i="13"/>
  <c r="A1023" i="13"/>
  <c r="B1023" i="13"/>
  <c r="C1023" i="13"/>
  <c r="D1023" i="13"/>
  <c r="E1023" i="13"/>
  <c r="F1023" i="13"/>
  <c r="G1023" i="13"/>
  <c r="H1023" i="13"/>
  <c r="I1023" i="13"/>
  <c r="K1023" i="13"/>
  <c r="O1023" i="13" s="1"/>
  <c r="L1023" i="13"/>
  <c r="M1023" i="13"/>
  <c r="Q1023" i="13"/>
  <c r="R1023" i="13"/>
  <c r="A1024" i="13"/>
  <c r="B1024" i="13"/>
  <c r="C1024" i="13"/>
  <c r="D1024" i="13"/>
  <c r="E1024" i="13"/>
  <c r="F1024" i="13"/>
  <c r="G1024" i="13"/>
  <c r="H1024" i="13"/>
  <c r="I1024" i="13"/>
  <c r="K1024" i="13"/>
  <c r="O1024" i="13" s="1"/>
  <c r="L1024" i="13"/>
  <c r="M1024" i="13"/>
  <c r="Q1024" i="13"/>
  <c r="R1024" i="13"/>
  <c r="A1025" i="13"/>
  <c r="B1025" i="13"/>
  <c r="C1025" i="13"/>
  <c r="D1025" i="13"/>
  <c r="E1025" i="13"/>
  <c r="F1025" i="13"/>
  <c r="G1025" i="13"/>
  <c r="H1025" i="13"/>
  <c r="I1025" i="13"/>
  <c r="K1025" i="13"/>
  <c r="O1025" i="13" s="1"/>
  <c r="L1025" i="13"/>
  <c r="M1025" i="13"/>
  <c r="Q1025" i="13"/>
  <c r="R1025" i="13"/>
  <c r="A1026" i="13"/>
  <c r="B1026" i="13"/>
  <c r="C1026" i="13"/>
  <c r="D1026" i="13"/>
  <c r="E1026" i="13"/>
  <c r="F1026" i="13"/>
  <c r="G1026" i="13"/>
  <c r="H1026" i="13"/>
  <c r="I1026" i="13"/>
  <c r="K1026" i="13"/>
  <c r="O1026" i="13" s="1"/>
  <c r="L1026" i="13"/>
  <c r="M1026" i="13"/>
  <c r="Q1026" i="13"/>
  <c r="R1026" i="13"/>
  <c r="A1027" i="13"/>
  <c r="B1027" i="13"/>
  <c r="C1027" i="13"/>
  <c r="D1027" i="13"/>
  <c r="E1027" i="13"/>
  <c r="F1027" i="13"/>
  <c r="G1027" i="13"/>
  <c r="H1027" i="13"/>
  <c r="I1027" i="13"/>
  <c r="K1027" i="13"/>
  <c r="O1027" i="13" s="1"/>
  <c r="L1027" i="13"/>
  <c r="M1027" i="13"/>
  <c r="Q1027" i="13"/>
  <c r="R1027" i="13"/>
  <c r="A1028" i="13"/>
  <c r="B1028" i="13"/>
  <c r="C1028" i="13"/>
  <c r="D1028" i="13"/>
  <c r="E1028" i="13"/>
  <c r="F1028" i="13"/>
  <c r="G1028" i="13"/>
  <c r="H1028" i="13"/>
  <c r="I1028" i="13"/>
  <c r="K1028" i="13"/>
  <c r="O1028" i="13" s="1"/>
  <c r="L1028" i="13"/>
  <c r="M1028" i="13"/>
  <c r="Q1028" i="13"/>
  <c r="R1028" i="13"/>
  <c r="A1029" i="13"/>
  <c r="B1029" i="13"/>
  <c r="C1029" i="13"/>
  <c r="D1029" i="13"/>
  <c r="E1029" i="13"/>
  <c r="F1029" i="13"/>
  <c r="G1029" i="13"/>
  <c r="H1029" i="13"/>
  <c r="I1029" i="13"/>
  <c r="K1029" i="13"/>
  <c r="O1029" i="13" s="1"/>
  <c r="L1029" i="13"/>
  <c r="M1029" i="13"/>
  <c r="Q1029" i="13"/>
  <c r="R1029" i="13"/>
  <c r="A1030" i="13"/>
  <c r="B1030" i="13"/>
  <c r="C1030" i="13"/>
  <c r="D1030" i="13"/>
  <c r="E1030" i="13"/>
  <c r="F1030" i="13"/>
  <c r="G1030" i="13"/>
  <c r="H1030" i="13"/>
  <c r="I1030" i="13"/>
  <c r="K1030" i="13"/>
  <c r="O1030" i="13" s="1"/>
  <c r="L1030" i="13"/>
  <c r="M1030" i="13"/>
  <c r="Q1030" i="13"/>
  <c r="R1030" i="13"/>
  <c r="A1031" i="13"/>
  <c r="B1031" i="13"/>
  <c r="C1031" i="13"/>
  <c r="D1031" i="13"/>
  <c r="E1031" i="13"/>
  <c r="F1031" i="13"/>
  <c r="G1031" i="13"/>
  <c r="H1031" i="13"/>
  <c r="I1031" i="13"/>
  <c r="K1031" i="13"/>
  <c r="O1031" i="13" s="1"/>
  <c r="L1031" i="13"/>
  <c r="M1031" i="13"/>
  <c r="Q1031" i="13"/>
  <c r="R1031" i="13"/>
  <c r="A1032" i="13"/>
  <c r="B1032" i="13"/>
  <c r="C1032" i="13"/>
  <c r="D1032" i="13"/>
  <c r="E1032" i="13"/>
  <c r="F1032" i="13"/>
  <c r="G1032" i="13"/>
  <c r="H1032" i="13"/>
  <c r="I1032" i="13"/>
  <c r="K1032" i="13"/>
  <c r="O1032" i="13" s="1"/>
  <c r="L1032" i="13"/>
  <c r="M1032" i="13"/>
  <c r="Q1032" i="13"/>
  <c r="R1032" i="13"/>
  <c r="A1033" i="13"/>
  <c r="B1033" i="13"/>
  <c r="C1033" i="13"/>
  <c r="D1033" i="13"/>
  <c r="E1033" i="13"/>
  <c r="F1033" i="13"/>
  <c r="G1033" i="13"/>
  <c r="H1033" i="13"/>
  <c r="I1033" i="13"/>
  <c r="K1033" i="13"/>
  <c r="O1033" i="13" s="1"/>
  <c r="L1033" i="13"/>
  <c r="M1033" i="13"/>
  <c r="Q1033" i="13"/>
  <c r="R1033" i="13"/>
  <c r="A1034" i="13"/>
  <c r="B1034" i="13"/>
  <c r="C1034" i="13"/>
  <c r="D1034" i="13"/>
  <c r="E1034" i="13"/>
  <c r="F1034" i="13"/>
  <c r="G1034" i="13"/>
  <c r="H1034" i="13"/>
  <c r="I1034" i="13"/>
  <c r="K1034" i="13"/>
  <c r="O1034" i="13" s="1"/>
  <c r="L1034" i="13"/>
  <c r="M1034" i="13"/>
  <c r="Q1034" i="13"/>
  <c r="R1034" i="13"/>
  <c r="A1035" i="13"/>
  <c r="B1035" i="13"/>
  <c r="C1035" i="13"/>
  <c r="D1035" i="13"/>
  <c r="E1035" i="13"/>
  <c r="F1035" i="13"/>
  <c r="G1035" i="13"/>
  <c r="H1035" i="13"/>
  <c r="I1035" i="13"/>
  <c r="K1035" i="13"/>
  <c r="O1035" i="13" s="1"/>
  <c r="L1035" i="13"/>
  <c r="M1035" i="13"/>
  <c r="Q1035" i="13"/>
  <c r="R1035" i="13"/>
  <c r="A1036" i="13"/>
  <c r="B1036" i="13"/>
  <c r="C1036" i="13"/>
  <c r="D1036" i="13"/>
  <c r="E1036" i="13"/>
  <c r="F1036" i="13"/>
  <c r="G1036" i="13"/>
  <c r="H1036" i="13"/>
  <c r="K1036" i="13"/>
  <c r="O1036" i="13" s="1"/>
  <c r="L1036" i="13"/>
  <c r="M1036" i="13"/>
  <c r="Q1036" i="13"/>
  <c r="R1036" i="13"/>
  <c r="A1037" i="13"/>
  <c r="B1037" i="13"/>
  <c r="C1037" i="13"/>
  <c r="D1037" i="13"/>
  <c r="E1037" i="13"/>
  <c r="F1037" i="13"/>
  <c r="G1037" i="13"/>
  <c r="H1037" i="13"/>
  <c r="I1037" i="13"/>
  <c r="K1037" i="13"/>
  <c r="O1037" i="13" s="1"/>
  <c r="L1037" i="13"/>
  <c r="M1037" i="13"/>
  <c r="Q1037" i="13"/>
  <c r="R1037" i="13"/>
  <c r="A1038" i="13"/>
  <c r="B1038" i="13"/>
  <c r="C1038" i="13"/>
  <c r="D1038" i="13"/>
  <c r="E1038" i="13"/>
  <c r="F1038" i="13"/>
  <c r="G1038" i="13"/>
  <c r="H1038" i="13"/>
  <c r="I1038" i="13"/>
  <c r="K1038" i="13"/>
  <c r="O1038" i="13" s="1"/>
  <c r="L1038" i="13"/>
  <c r="M1038" i="13"/>
  <c r="Q1038" i="13"/>
  <c r="R1038" i="13"/>
  <c r="A1039" i="13"/>
  <c r="B1039" i="13"/>
  <c r="C1039" i="13"/>
  <c r="D1039" i="13"/>
  <c r="E1039" i="13"/>
  <c r="F1039" i="13"/>
  <c r="G1039" i="13"/>
  <c r="H1039" i="13"/>
  <c r="I1039" i="13"/>
  <c r="K1039" i="13"/>
  <c r="O1039" i="13" s="1"/>
  <c r="L1039" i="13"/>
  <c r="M1039" i="13"/>
  <c r="Q1039" i="13"/>
  <c r="R1039" i="13"/>
  <c r="A1040" i="13"/>
  <c r="B1040" i="13"/>
  <c r="C1040" i="13"/>
  <c r="D1040" i="13"/>
  <c r="E1040" i="13"/>
  <c r="F1040" i="13"/>
  <c r="G1040" i="13"/>
  <c r="H1040" i="13"/>
  <c r="I1040" i="13"/>
  <c r="J1040" i="13"/>
  <c r="K1040" i="13"/>
  <c r="O1040" i="13" s="1"/>
  <c r="L1040" i="13"/>
  <c r="M1040" i="13"/>
  <c r="N1040" i="13"/>
  <c r="Q1040" i="13"/>
  <c r="R1040" i="13"/>
  <c r="A1041" i="13"/>
  <c r="B1041" i="13"/>
  <c r="C1041" i="13"/>
  <c r="D1041" i="13"/>
  <c r="E1041" i="13"/>
  <c r="F1041" i="13"/>
  <c r="G1041" i="13"/>
  <c r="H1041" i="13"/>
  <c r="I1041" i="13"/>
  <c r="J1041" i="13"/>
  <c r="K1041" i="13"/>
  <c r="O1041" i="13" s="1"/>
  <c r="L1041" i="13"/>
  <c r="M1041" i="13"/>
  <c r="N1041" i="13"/>
  <c r="Q1041" i="13"/>
  <c r="R1041" i="13"/>
  <c r="A1042" i="13"/>
  <c r="B1042" i="13"/>
  <c r="C1042" i="13"/>
  <c r="D1042" i="13"/>
  <c r="E1042" i="13"/>
  <c r="F1042" i="13"/>
  <c r="G1042" i="13"/>
  <c r="H1042" i="13"/>
  <c r="I1042" i="13"/>
  <c r="J1042" i="13"/>
  <c r="K1042" i="13"/>
  <c r="O1042" i="13" s="1"/>
  <c r="L1042" i="13"/>
  <c r="M1042" i="13"/>
  <c r="N1042" i="13"/>
  <c r="Q1042" i="13"/>
  <c r="R1042" i="13"/>
  <c r="A1043" i="13"/>
  <c r="B1043" i="13"/>
  <c r="C1043" i="13"/>
  <c r="D1043" i="13"/>
  <c r="E1043" i="13"/>
  <c r="F1043" i="13"/>
  <c r="G1043" i="13"/>
  <c r="H1043" i="13"/>
  <c r="I1043" i="13"/>
  <c r="J1043" i="13"/>
  <c r="K1043" i="13"/>
  <c r="O1043" i="13" s="1"/>
  <c r="L1043" i="13"/>
  <c r="M1043" i="13"/>
  <c r="N1043" i="13"/>
  <c r="Q1043" i="13"/>
  <c r="R1043" i="13"/>
  <c r="A1044" i="13"/>
  <c r="B1044" i="13"/>
  <c r="C1044" i="13"/>
  <c r="D1044" i="13"/>
  <c r="E1044" i="13"/>
  <c r="F1044" i="13"/>
  <c r="G1044" i="13"/>
  <c r="H1044" i="13"/>
  <c r="I1044" i="13"/>
  <c r="J1044" i="13"/>
  <c r="K1044" i="13"/>
  <c r="O1044" i="13" s="1"/>
  <c r="L1044" i="13"/>
  <c r="M1044" i="13"/>
  <c r="N1044" i="13"/>
  <c r="Q1044" i="13"/>
  <c r="R1044" i="13"/>
  <c r="A1045" i="13"/>
  <c r="B1045" i="13"/>
  <c r="C1045" i="13"/>
  <c r="D1045" i="13"/>
  <c r="E1045" i="13"/>
  <c r="F1045" i="13"/>
  <c r="G1045" i="13"/>
  <c r="H1045" i="13"/>
  <c r="I1045" i="13"/>
  <c r="J1045" i="13"/>
  <c r="K1045" i="13"/>
  <c r="O1045" i="13" s="1"/>
  <c r="L1045" i="13"/>
  <c r="M1045" i="13"/>
  <c r="N1045" i="13"/>
  <c r="Q1045" i="13"/>
  <c r="R1045" i="13"/>
  <c r="A1046" i="13"/>
  <c r="B1046" i="13"/>
  <c r="C1046" i="13"/>
  <c r="D1046" i="13"/>
  <c r="E1046" i="13"/>
  <c r="F1046" i="13"/>
  <c r="G1046" i="13"/>
  <c r="H1046" i="13"/>
  <c r="I1046" i="13"/>
  <c r="J1046" i="13"/>
  <c r="K1046" i="13"/>
  <c r="O1046" i="13" s="1"/>
  <c r="L1046" i="13"/>
  <c r="M1046" i="13"/>
  <c r="N1046" i="13"/>
  <c r="Q1046" i="13"/>
  <c r="R1046" i="13"/>
  <c r="A1047" i="13"/>
  <c r="B1047" i="13"/>
  <c r="C1047" i="13"/>
  <c r="D1047" i="13"/>
  <c r="E1047" i="13"/>
  <c r="F1047" i="13"/>
  <c r="G1047" i="13"/>
  <c r="H1047" i="13"/>
  <c r="I1047" i="13"/>
  <c r="J1047" i="13"/>
  <c r="K1047" i="13"/>
  <c r="O1047" i="13" s="1"/>
  <c r="L1047" i="13"/>
  <c r="M1047" i="13"/>
  <c r="N1047" i="13"/>
  <c r="Q1047" i="13"/>
  <c r="R1047" i="13"/>
  <c r="A1048" i="13"/>
  <c r="B1048" i="13"/>
  <c r="C1048" i="13"/>
  <c r="D1048" i="13"/>
  <c r="E1048" i="13"/>
  <c r="F1048" i="13"/>
  <c r="G1048" i="13"/>
  <c r="H1048" i="13"/>
  <c r="I1048" i="13"/>
  <c r="J1048" i="13"/>
  <c r="K1048" i="13"/>
  <c r="O1048" i="13" s="1"/>
  <c r="L1048" i="13"/>
  <c r="M1048" i="13"/>
  <c r="N1048" i="13"/>
  <c r="Q1048" i="13"/>
  <c r="R1048" i="13"/>
  <c r="A1049" i="13"/>
  <c r="B1049" i="13"/>
  <c r="C1049" i="13"/>
  <c r="D1049" i="13"/>
  <c r="E1049" i="13"/>
  <c r="F1049" i="13"/>
  <c r="G1049" i="13"/>
  <c r="H1049" i="13"/>
  <c r="I1049" i="13"/>
  <c r="J1049" i="13"/>
  <c r="K1049" i="13"/>
  <c r="O1049" i="13" s="1"/>
  <c r="L1049" i="13"/>
  <c r="M1049" i="13"/>
  <c r="N1049" i="13"/>
  <c r="Q1049" i="13"/>
  <c r="R1049" i="13"/>
  <c r="A1050" i="13"/>
  <c r="B1050" i="13"/>
  <c r="C1050" i="13"/>
  <c r="D1050" i="13"/>
  <c r="E1050" i="13"/>
  <c r="F1050" i="13"/>
  <c r="G1050" i="13"/>
  <c r="H1050" i="13"/>
  <c r="I1050" i="13"/>
  <c r="J1050" i="13"/>
  <c r="K1050" i="13"/>
  <c r="O1050" i="13" s="1"/>
  <c r="L1050" i="13"/>
  <c r="M1050" i="13"/>
  <c r="N1050" i="13"/>
  <c r="Q1050" i="13"/>
  <c r="R1050" i="13"/>
  <c r="A1051" i="13"/>
  <c r="B1051" i="13"/>
  <c r="C1051" i="13"/>
  <c r="D1051" i="13"/>
  <c r="E1051" i="13"/>
  <c r="F1051" i="13"/>
  <c r="G1051" i="13"/>
  <c r="H1051" i="13"/>
  <c r="I1051" i="13"/>
  <c r="J1051" i="13"/>
  <c r="K1051" i="13"/>
  <c r="O1051" i="13" s="1"/>
  <c r="L1051" i="13"/>
  <c r="M1051" i="13"/>
  <c r="N1051" i="13"/>
  <c r="Q1051" i="13"/>
  <c r="R1051" i="13"/>
  <c r="A1052" i="13"/>
  <c r="B1052" i="13"/>
  <c r="C1052" i="13"/>
  <c r="D1052" i="13"/>
  <c r="E1052" i="13"/>
  <c r="F1052" i="13"/>
  <c r="G1052" i="13"/>
  <c r="H1052" i="13"/>
  <c r="I1052" i="13"/>
  <c r="J1052" i="13"/>
  <c r="K1052" i="13"/>
  <c r="O1052" i="13" s="1"/>
  <c r="L1052" i="13"/>
  <c r="M1052" i="13"/>
  <c r="N1052" i="13"/>
  <c r="Q1052" i="13"/>
  <c r="R1052" i="13"/>
  <c r="A1053" i="13"/>
  <c r="B1053" i="13"/>
  <c r="C1053" i="13"/>
  <c r="D1053" i="13"/>
  <c r="E1053" i="13"/>
  <c r="F1053" i="13"/>
  <c r="G1053" i="13"/>
  <c r="H1053" i="13"/>
  <c r="I1053" i="13"/>
  <c r="J1053" i="13"/>
  <c r="K1053" i="13"/>
  <c r="O1053" i="13" s="1"/>
  <c r="L1053" i="13"/>
  <c r="M1053" i="13"/>
  <c r="N1053" i="13"/>
  <c r="Q1053" i="13"/>
  <c r="R1053" i="13"/>
  <c r="A1054" i="13"/>
  <c r="B1054" i="13"/>
  <c r="C1054" i="13"/>
  <c r="D1054" i="13"/>
  <c r="E1054" i="13"/>
  <c r="F1054" i="13"/>
  <c r="G1054" i="13"/>
  <c r="H1054" i="13"/>
  <c r="I1054" i="13"/>
  <c r="J1054" i="13"/>
  <c r="K1054" i="13"/>
  <c r="O1054" i="13" s="1"/>
  <c r="L1054" i="13"/>
  <c r="M1054" i="13"/>
  <c r="N1054" i="13"/>
  <c r="Q1054" i="13"/>
  <c r="R1054" i="13"/>
  <c r="A1055" i="13"/>
  <c r="B1055" i="13"/>
  <c r="C1055" i="13"/>
  <c r="D1055" i="13"/>
  <c r="E1055" i="13"/>
  <c r="F1055" i="13"/>
  <c r="G1055" i="13"/>
  <c r="H1055" i="13"/>
  <c r="I1055" i="13"/>
  <c r="J1055" i="13"/>
  <c r="K1055" i="13"/>
  <c r="O1055" i="13" s="1"/>
  <c r="L1055" i="13"/>
  <c r="M1055" i="13"/>
  <c r="N1055" i="13"/>
  <c r="Q1055" i="13"/>
  <c r="R1055" i="13"/>
  <c r="A1056" i="13"/>
  <c r="B1056" i="13"/>
  <c r="C1056" i="13"/>
  <c r="D1056" i="13"/>
  <c r="E1056" i="13"/>
  <c r="F1056" i="13"/>
  <c r="G1056" i="13"/>
  <c r="H1056" i="13"/>
  <c r="I1056" i="13"/>
  <c r="J1056" i="13"/>
  <c r="K1056" i="13"/>
  <c r="O1056" i="13" s="1"/>
  <c r="L1056" i="13"/>
  <c r="M1056" i="13"/>
  <c r="N1056" i="13"/>
  <c r="Q1056" i="13"/>
  <c r="R1056" i="13"/>
  <c r="A1057" i="13"/>
  <c r="B1057" i="13"/>
  <c r="C1057" i="13"/>
  <c r="D1057" i="13"/>
  <c r="E1057" i="13"/>
  <c r="F1057" i="13"/>
  <c r="G1057" i="13"/>
  <c r="H1057" i="13"/>
  <c r="I1057" i="13"/>
  <c r="J1057" i="13"/>
  <c r="K1057" i="13"/>
  <c r="O1057" i="13" s="1"/>
  <c r="L1057" i="13"/>
  <c r="M1057" i="13"/>
  <c r="N1057" i="13"/>
  <c r="Q1057" i="13"/>
  <c r="R1057" i="13"/>
  <c r="A1058" i="13"/>
  <c r="B1058" i="13"/>
  <c r="C1058" i="13"/>
  <c r="D1058" i="13"/>
  <c r="E1058" i="13"/>
  <c r="F1058" i="13"/>
  <c r="G1058" i="13"/>
  <c r="H1058" i="13"/>
  <c r="I1058" i="13"/>
  <c r="J1058" i="13"/>
  <c r="K1058" i="13"/>
  <c r="O1058" i="13" s="1"/>
  <c r="L1058" i="13"/>
  <c r="M1058" i="13"/>
  <c r="N1058" i="13"/>
  <c r="Q1058" i="13"/>
  <c r="R1058" i="13"/>
  <c r="A1059" i="13"/>
  <c r="B1059" i="13"/>
  <c r="C1059" i="13"/>
  <c r="D1059" i="13"/>
  <c r="E1059" i="13"/>
  <c r="F1059" i="13"/>
  <c r="G1059" i="13"/>
  <c r="H1059" i="13"/>
  <c r="I1059" i="13"/>
  <c r="J1059" i="13"/>
  <c r="K1059" i="13"/>
  <c r="O1059" i="13" s="1"/>
  <c r="L1059" i="13"/>
  <c r="M1059" i="13"/>
  <c r="N1059" i="13"/>
  <c r="Q1059" i="13"/>
  <c r="R1059" i="13"/>
  <c r="A1060" i="13"/>
  <c r="B1060" i="13"/>
  <c r="C1060" i="13"/>
  <c r="D1060" i="13"/>
  <c r="E1060" i="13"/>
  <c r="F1060" i="13"/>
  <c r="G1060" i="13"/>
  <c r="H1060" i="13"/>
  <c r="I1060" i="13"/>
  <c r="J1060" i="13"/>
  <c r="K1060" i="13"/>
  <c r="O1060" i="13" s="1"/>
  <c r="L1060" i="13"/>
  <c r="M1060" i="13"/>
  <c r="N1060" i="13"/>
  <c r="Q1060" i="13"/>
  <c r="R1060" i="13"/>
  <c r="A1061" i="13"/>
  <c r="B1061" i="13"/>
  <c r="C1061" i="13"/>
  <c r="D1061" i="13"/>
  <c r="E1061" i="13"/>
  <c r="F1061" i="13"/>
  <c r="G1061" i="13"/>
  <c r="H1061" i="13"/>
  <c r="I1061" i="13"/>
  <c r="J1061" i="13"/>
  <c r="K1061" i="13"/>
  <c r="O1061" i="13" s="1"/>
  <c r="L1061" i="13"/>
  <c r="M1061" i="13"/>
  <c r="N1061" i="13"/>
  <c r="Q1061" i="13"/>
  <c r="R1061" i="13"/>
  <c r="A1062" i="13"/>
  <c r="B1062" i="13"/>
  <c r="C1062" i="13"/>
  <c r="D1062" i="13"/>
  <c r="E1062" i="13"/>
  <c r="F1062" i="13"/>
  <c r="G1062" i="13"/>
  <c r="H1062" i="13"/>
  <c r="I1062" i="13"/>
  <c r="J1062" i="13"/>
  <c r="K1062" i="13"/>
  <c r="O1062" i="13" s="1"/>
  <c r="L1062" i="13"/>
  <c r="M1062" i="13"/>
  <c r="N1062" i="13"/>
  <c r="Q1062" i="13"/>
  <c r="R1062" i="13"/>
  <c r="A1063" i="13"/>
  <c r="B1063" i="13"/>
  <c r="C1063" i="13"/>
  <c r="D1063" i="13"/>
  <c r="E1063" i="13"/>
  <c r="F1063" i="13"/>
  <c r="G1063" i="13"/>
  <c r="H1063" i="13"/>
  <c r="I1063" i="13"/>
  <c r="J1063" i="13"/>
  <c r="K1063" i="13"/>
  <c r="O1063" i="13" s="1"/>
  <c r="L1063" i="13"/>
  <c r="M1063" i="13"/>
  <c r="N1063" i="13"/>
  <c r="Q1063" i="13"/>
  <c r="R1063" i="13"/>
  <c r="A1064" i="13"/>
  <c r="B1064" i="13"/>
  <c r="C1064" i="13"/>
  <c r="D1064" i="13"/>
  <c r="E1064" i="13"/>
  <c r="F1064" i="13"/>
  <c r="G1064" i="13"/>
  <c r="H1064" i="13"/>
  <c r="I1064" i="13"/>
  <c r="J1064" i="13"/>
  <c r="K1064" i="13"/>
  <c r="O1064" i="13" s="1"/>
  <c r="L1064" i="13"/>
  <c r="M1064" i="13"/>
  <c r="N1064" i="13"/>
  <c r="Q1064" i="13"/>
  <c r="R1064" i="13"/>
  <c r="A1065" i="13"/>
  <c r="B1065" i="13"/>
  <c r="C1065" i="13"/>
  <c r="D1065" i="13"/>
  <c r="E1065" i="13"/>
  <c r="F1065" i="13"/>
  <c r="G1065" i="13"/>
  <c r="H1065" i="13"/>
  <c r="I1065" i="13"/>
  <c r="J1065" i="13"/>
  <c r="K1065" i="13"/>
  <c r="O1065" i="13" s="1"/>
  <c r="L1065" i="13"/>
  <c r="M1065" i="13"/>
  <c r="N1065" i="13"/>
  <c r="Q1065" i="13"/>
  <c r="R1065" i="13"/>
  <c r="A1066" i="13"/>
  <c r="B1066" i="13"/>
  <c r="C1066" i="13"/>
  <c r="D1066" i="13"/>
  <c r="E1066" i="13"/>
  <c r="F1066" i="13"/>
  <c r="G1066" i="13"/>
  <c r="H1066" i="13"/>
  <c r="I1066" i="13"/>
  <c r="J1066" i="13"/>
  <c r="K1066" i="13"/>
  <c r="O1066" i="13" s="1"/>
  <c r="L1066" i="13"/>
  <c r="M1066" i="13"/>
  <c r="N1066" i="13"/>
  <c r="Q1066" i="13"/>
  <c r="R1066" i="13"/>
  <c r="A1067" i="13"/>
  <c r="B1067" i="13"/>
  <c r="C1067" i="13"/>
  <c r="D1067" i="13"/>
  <c r="E1067" i="13"/>
  <c r="F1067" i="13"/>
  <c r="G1067" i="13"/>
  <c r="H1067" i="13"/>
  <c r="I1067" i="13"/>
  <c r="J1067" i="13"/>
  <c r="K1067" i="13"/>
  <c r="O1067" i="13" s="1"/>
  <c r="L1067" i="13"/>
  <c r="M1067" i="13"/>
  <c r="N1067" i="13"/>
  <c r="Q1067" i="13"/>
  <c r="R1067" i="13"/>
  <c r="A1068" i="13"/>
  <c r="B1068" i="13"/>
  <c r="C1068" i="13"/>
  <c r="D1068" i="13"/>
  <c r="E1068" i="13"/>
  <c r="F1068" i="13"/>
  <c r="G1068" i="13"/>
  <c r="H1068" i="13"/>
  <c r="I1068" i="13"/>
  <c r="J1068" i="13"/>
  <c r="K1068" i="13"/>
  <c r="O1068" i="13" s="1"/>
  <c r="L1068" i="13"/>
  <c r="M1068" i="13"/>
  <c r="N1068" i="13"/>
  <c r="Q1068" i="13"/>
  <c r="R1068" i="13"/>
  <c r="A1069" i="13"/>
  <c r="B1069" i="13"/>
  <c r="C1069" i="13"/>
  <c r="D1069" i="13"/>
  <c r="E1069" i="13"/>
  <c r="F1069" i="13"/>
  <c r="G1069" i="13"/>
  <c r="H1069" i="13"/>
  <c r="I1069" i="13"/>
  <c r="J1069" i="13"/>
  <c r="K1069" i="13"/>
  <c r="O1069" i="13" s="1"/>
  <c r="L1069" i="13"/>
  <c r="M1069" i="13"/>
  <c r="N1069" i="13"/>
  <c r="Q1069" i="13"/>
  <c r="R1069" i="13"/>
  <c r="A1070" i="13"/>
  <c r="B1070" i="13"/>
  <c r="C1070" i="13"/>
  <c r="D1070" i="13"/>
  <c r="E1070" i="13"/>
  <c r="F1070" i="13"/>
  <c r="G1070" i="13"/>
  <c r="H1070" i="13"/>
  <c r="I1070" i="13"/>
  <c r="J1070" i="13"/>
  <c r="K1070" i="13"/>
  <c r="O1070" i="13" s="1"/>
  <c r="L1070" i="13"/>
  <c r="M1070" i="13"/>
  <c r="N1070" i="13"/>
  <c r="Q1070" i="13"/>
  <c r="R1070" i="13"/>
  <c r="A1071" i="13"/>
  <c r="B1071" i="13"/>
  <c r="C1071" i="13"/>
  <c r="D1071" i="13"/>
  <c r="E1071" i="13"/>
  <c r="F1071" i="13"/>
  <c r="G1071" i="13"/>
  <c r="H1071" i="13"/>
  <c r="I1071" i="13"/>
  <c r="J1071" i="13"/>
  <c r="K1071" i="13"/>
  <c r="O1071" i="13" s="1"/>
  <c r="L1071" i="13"/>
  <c r="M1071" i="13"/>
  <c r="N1071" i="13"/>
  <c r="Q1071" i="13"/>
  <c r="R1071" i="13"/>
  <c r="A1072" i="13"/>
  <c r="B1072" i="13"/>
  <c r="C1072" i="13"/>
  <c r="D1072" i="13"/>
  <c r="E1072" i="13"/>
  <c r="F1072" i="13"/>
  <c r="G1072" i="13"/>
  <c r="H1072" i="13"/>
  <c r="I1072" i="13"/>
  <c r="J1072" i="13"/>
  <c r="K1072" i="13"/>
  <c r="O1072" i="13" s="1"/>
  <c r="L1072" i="13"/>
  <c r="M1072" i="13"/>
  <c r="N1072" i="13"/>
  <c r="Q1072" i="13"/>
  <c r="R1072" i="13"/>
  <c r="A1073" i="13"/>
  <c r="B1073" i="13"/>
  <c r="C1073" i="13"/>
  <c r="D1073" i="13"/>
  <c r="E1073" i="13"/>
  <c r="F1073" i="13"/>
  <c r="G1073" i="13"/>
  <c r="H1073" i="13"/>
  <c r="I1073" i="13"/>
  <c r="J1073" i="13"/>
  <c r="K1073" i="13"/>
  <c r="O1073" i="13" s="1"/>
  <c r="L1073" i="13"/>
  <c r="M1073" i="13"/>
  <c r="N1073" i="13"/>
  <c r="Q1073" i="13"/>
  <c r="R1073" i="13"/>
  <c r="A1074" i="13"/>
  <c r="B1074" i="13"/>
  <c r="C1074" i="13"/>
  <c r="D1074" i="13"/>
  <c r="E1074" i="13"/>
  <c r="F1074" i="13"/>
  <c r="G1074" i="13"/>
  <c r="H1074" i="13"/>
  <c r="I1074" i="13"/>
  <c r="J1074" i="13"/>
  <c r="K1074" i="13"/>
  <c r="O1074" i="13" s="1"/>
  <c r="L1074" i="13"/>
  <c r="M1074" i="13"/>
  <c r="N1074" i="13"/>
  <c r="Q1074" i="13"/>
  <c r="R1074" i="13"/>
  <c r="A1075" i="13"/>
  <c r="B1075" i="13"/>
  <c r="C1075" i="13"/>
  <c r="D1075" i="13"/>
  <c r="E1075" i="13"/>
  <c r="F1075" i="13"/>
  <c r="G1075" i="13"/>
  <c r="H1075" i="13"/>
  <c r="I1075" i="13"/>
  <c r="J1075" i="13"/>
  <c r="K1075" i="13"/>
  <c r="O1075" i="13" s="1"/>
  <c r="L1075" i="13"/>
  <c r="M1075" i="13"/>
  <c r="N1075" i="13"/>
  <c r="Q1075" i="13"/>
  <c r="R1075" i="13"/>
  <c r="A1076" i="13"/>
  <c r="B1076" i="13"/>
  <c r="C1076" i="13"/>
  <c r="D1076" i="13"/>
  <c r="E1076" i="13"/>
  <c r="F1076" i="13"/>
  <c r="G1076" i="13"/>
  <c r="H1076" i="13"/>
  <c r="I1076" i="13"/>
  <c r="J1076" i="13"/>
  <c r="K1076" i="13"/>
  <c r="O1076" i="13" s="1"/>
  <c r="L1076" i="13"/>
  <c r="M1076" i="13"/>
  <c r="N1076" i="13"/>
  <c r="Q1076" i="13"/>
  <c r="R1076" i="13"/>
  <c r="A1077" i="13"/>
  <c r="B1077" i="13"/>
  <c r="C1077" i="13"/>
  <c r="D1077" i="13"/>
  <c r="E1077" i="13"/>
  <c r="F1077" i="13"/>
  <c r="G1077" i="13"/>
  <c r="H1077" i="13"/>
  <c r="I1077" i="13"/>
  <c r="J1077" i="13"/>
  <c r="K1077" i="13"/>
  <c r="O1077" i="13" s="1"/>
  <c r="L1077" i="13"/>
  <c r="M1077" i="13"/>
  <c r="N1077" i="13"/>
  <c r="Q1077" i="13"/>
  <c r="R1077" i="13"/>
  <c r="A1078" i="13"/>
  <c r="B1078" i="13"/>
  <c r="C1078" i="13"/>
  <c r="D1078" i="13"/>
  <c r="E1078" i="13"/>
  <c r="F1078" i="13"/>
  <c r="G1078" i="13"/>
  <c r="H1078" i="13"/>
  <c r="I1078" i="13"/>
  <c r="J1078" i="13"/>
  <c r="K1078" i="13"/>
  <c r="O1078" i="13" s="1"/>
  <c r="L1078" i="13"/>
  <c r="M1078" i="13"/>
  <c r="N1078" i="13"/>
  <c r="Q1078" i="13"/>
  <c r="R1078" i="13"/>
  <c r="A1079" i="13"/>
  <c r="B1079" i="13"/>
  <c r="C1079" i="13"/>
  <c r="D1079" i="13"/>
  <c r="E1079" i="13"/>
  <c r="F1079" i="13"/>
  <c r="G1079" i="13"/>
  <c r="H1079" i="13"/>
  <c r="I1079" i="13"/>
  <c r="J1079" i="13"/>
  <c r="K1079" i="13"/>
  <c r="O1079" i="13" s="1"/>
  <c r="L1079" i="13"/>
  <c r="M1079" i="13"/>
  <c r="N1079" i="13"/>
  <c r="Q1079" i="13"/>
  <c r="R1079" i="13"/>
  <c r="A1080" i="13"/>
  <c r="B1080" i="13"/>
  <c r="C1080" i="13"/>
  <c r="D1080" i="13"/>
  <c r="E1080" i="13"/>
  <c r="F1080" i="13"/>
  <c r="G1080" i="13"/>
  <c r="H1080" i="13"/>
  <c r="I1080" i="13"/>
  <c r="J1080" i="13"/>
  <c r="K1080" i="13"/>
  <c r="O1080" i="13" s="1"/>
  <c r="L1080" i="13"/>
  <c r="M1080" i="13"/>
  <c r="N1080" i="13"/>
  <c r="Q1080" i="13"/>
  <c r="R1080" i="13"/>
  <c r="A1081" i="13"/>
  <c r="B1081" i="13"/>
  <c r="C1081" i="13"/>
  <c r="D1081" i="13"/>
  <c r="E1081" i="13"/>
  <c r="F1081" i="13"/>
  <c r="G1081" i="13"/>
  <c r="H1081" i="13"/>
  <c r="I1081" i="13"/>
  <c r="J1081" i="13"/>
  <c r="K1081" i="13"/>
  <c r="O1081" i="13" s="1"/>
  <c r="L1081" i="13"/>
  <c r="M1081" i="13"/>
  <c r="N1081" i="13"/>
  <c r="Q1081" i="13"/>
  <c r="R1081" i="13"/>
  <c r="A1082" i="13"/>
  <c r="B1082" i="13"/>
  <c r="C1082" i="13"/>
  <c r="D1082" i="13"/>
  <c r="E1082" i="13"/>
  <c r="F1082" i="13"/>
  <c r="G1082" i="13"/>
  <c r="H1082" i="13"/>
  <c r="I1082" i="13"/>
  <c r="J1082" i="13"/>
  <c r="K1082" i="13"/>
  <c r="O1082" i="13" s="1"/>
  <c r="L1082" i="13"/>
  <c r="M1082" i="13"/>
  <c r="N1082" i="13"/>
  <c r="Q1082" i="13"/>
  <c r="R1082" i="13"/>
  <c r="A1083" i="13"/>
  <c r="B1083" i="13"/>
  <c r="C1083" i="13"/>
  <c r="D1083" i="13"/>
  <c r="E1083" i="13"/>
  <c r="F1083" i="13"/>
  <c r="G1083" i="13"/>
  <c r="H1083" i="13"/>
  <c r="I1083" i="13"/>
  <c r="J1083" i="13"/>
  <c r="K1083" i="13"/>
  <c r="O1083" i="13" s="1"/>
  <c r="L1083" i="13"/>
  <c r="M1083" i="13"/>
  <c r="N1083" i="13"/>
  <c r="Q1083" i="13"/>
  <c r="R1083" i="13"/>
  <c r="A1084" i="13"/>
  <c r="B1084" i="13"/>
  <c r="C1084" i="13"/>
  <c r="D1084" i="13"/>
  <c r="E1084" i="13"/>
  <c r="F1084" i="13"/>
  <c r="G1084" i="13"/>
  <c r="H1084" i="13"/>
  <c r="I1084" i="13"/>
  <c r="J1084" i="13"/>
  <c r="K1084" i="13"/>
  <c r="O1084" i="13" s="1"/>
  <c r="L1084" i="13"/>
  <c r="M1084" i="13"/>
  <c r="N1084" i="13"/>
  <c r="Q1084" i="13"/>
  <c r="R1084" i="13"/>
  <c r="A1085" i="13"/>
  <c r="B1085" i="13"/>
  <c r="C1085" i="13"/>
  <c r="D1085" i="13"/>
  <c r="E1085" i="13"/>
  <c r="F1085" i="13"/>
  <c r="G1085" i="13"/>
  <c r="H1085" i="13"/>
  <c r="I1085" i="13"/>
  <c r="J1085" i="13"/>
  <c r="K1085" i="13"/>
  <c r="O1085" i="13" s="1"/>
  <c r="L1085" i="13"/>
  <c r="M1085" i="13"/>
  <c r="N1085" i="13"/>
  <c r="Q1085" i="13"/>
  <c r="R1085" i="13"/>
  <c r="A1086" i="13"/>
  <c r="B1086" i="13"/>
  <c r="C1086" i="13"/>
  <c r="D1086" i="13"/>
  <c r="E1086" i="13"/>
  <c r="F1086" i="13"/>
  <c r="G1086" i="13"/>
  <c r="H1086" i="13"/>
  <c r="I1086" i="13"/>
  <c r="J1086" i="13"/>
  <c r="K1086" i="13"/>
  <c r="O1086" i="13" s="1"/>
  <c r="L1086" i="13"/>
  <c r="M1086" i="13"/>
  <c r="N1086" i="13"/>
  <c r="Q1086" i="13"/>
  <c r="R1086" i="13"/>
  <c r="A1087" i="13"/>
  <c r="B1087" i="13"/>
  <c r="C1087" i="13"/>
  <c r="D1087" i="13"/>
  <c r="E1087" i="13"/>
  <c r="F1087" i="13"/>
  <c r="G1087" i="13"/>
  <c r="H1087" i="13"/>
  <c r="I1087" i="13"/>
  <c r="J1087" i="13"/>
  <c r="K1087" i="13"/>
  <c r="O1087" i="13" s="1"/>
  <c r="L1087" i="13"/>
  <c r="M1087" i="13"/>
  <c r="N1087" i="13"/>
  <c r="Q1087" i="13"/>
  <c r="R1087" i="13"/>
  <c r="A1088" i="13"/>
  <c r="B1088" i="13"/>
  <c r="C1088" i="13"/>
  <c r="D1088" i="13"/>
  <c r="E1088" i="13"/>
  <c r="F1088" i="13"/>
  <c r="G1088" i="13"/>
  <c r="H1088" i="13"/>
  <c r="I1088" i="13"/>
  <c r="J1088" i="13"/>
  <c r="K1088" i="13"/>
  <c r="O1088" i="13" s="1"/>
  <c r="L1088" i="13"/>
  <c r="M1088" i="13"/>
  <c r="N1088" i="13"/>
  <c r="Q1088" i="13"/>
  <c r="R1088" i="13"/>
  <c r="A1089" i="13"/>
  <c r="B1089" i="13"/>
  <c r="C1089" i="13"/>
  <c r="D1089" i="13"/>
  <c r="E1089" i="13"/>
  <c r="F1089" i="13"/>
  <c r="G1089" i="13"/>
  <c r="H1089" i="13"/>
  <c r="I1089" i="13"/>
  <c r="J1089" i="13"/>
  <c r="K1089" i="13"/>
  <c r="O1089" i="13" s="1"/>
  <c r="L1089" i="13"/>
  <c r="M1089" i="13"/>
  <c r="N1089" i="13"/>
  <c r="Q1089" i="13"/>
  <c r="R1089" i="13"/>
  <c r="A1090" i="13"/>
  <c r="B1090" i="13"/>
  <c r="C1090" i="13"/>
  <c r="D1090" i="13"/>
  <c r="E1090" i="13"/>
  <c r="F1090" i="13"/>
  <c r="G1090" i="13"/>
  <c r="H1090" i="13"/>
  <c r="I1090" i="13"/>
  <c r="J1090" i="13"/>
  <c r="K1090" i="13"/>
  <c r="O1090" i="13" s="1"/>
  <c r="L1090" i="13"/>
  <c r="M1090" i="13"/>
  <c r="N1090" i="13"/>
  <c r="Q1090" i="13"/>
  <c r="R1090" i="13"/>
  <c r="A1091" i="13"/>
  <c r="B1091" i="13"/>
  <c r="C1091" i="13"/>
  <c r="D1091" i="13"/>
  <c r="E1091" i="13"/>
  <c r="F1091" i="13"/>
  <c r="G1091" i="13"/>
  <c r="H1091" i="13"/>
  <c r="I1091" i="13"/>
  <c r="J1091" i="13"/>
  <c r="K1091" i="13"/>
  <c r="O1091" i="13" s="1"/>
  <c r="L1091" i="13"/>
  <c r="M1091" i="13"/>
  <c r="N1091" i="13"/>
  <c r="Q1091" i="13"/>
  <c r="R1091" i="13"/>
  <c r="A1092" i="13"/>
  <c r="B1092" i="13"/>
  <c r="C1092" i="13"/>
  <c r="D1092" i="13"/>
  <c r="E1092" i="13"/>
  <c r="F1092" i="13"/>
  <c r="G1092" i="13"/>
  <c r="H1092" i="13"/>
  <c r="I1092" i="13"/>
  <c r="J1092" i="13"/>
  <c r="K1092" i="13"/>
  <c r="O1092" i="13" s="1"/>
  <c r="L1092" i="13"/>
  <c r="M1092" i="13"/>
  <c r="N1092" i="13"/>
  <c r="Q1092" i="13"/>
  <c r="R1092" i="13"/>
  <c r="A1093" i="13"/>
  <c r="B1093" i="13"/>
  <c r="C1093" i="13"/>
  <c r="D1093" i="13"/>
  <c r="E1093" i="13"/>
  <c r="F1093" i="13"/>
  <c r="G1093" i="13"/>
  <c r="H1093" i="13"/>
  <c r="I1093" i="13"/>
  <c r="J1093" i="13"/>
  <c r="K1093" i="13"/>
  <c r="O1093" i="13" s="1"/>
  <c r="L1093" i="13"/>
  <c r="M1093" i="13"/>
  <c r="N1093" i="13"/>
  <c r="Q1093" i="13"/>
  <c r="R1093" i="13"/>
  <c r="A1094" i="13"/>
  <c r="B1094" i="13"/>
  <c r="C1094" i="13"/>
  <c r="D1094" i="13"/>
  <c r="E1094" i="13"/>
  <c r="F1094" i="13"/>
  <c r="G1094" i="13"/>
  <c r="H1094" i="13"/>
  <c r="I1094" i="13"/>
  <c r="J1094" i="13"/>
  <c r="K1094" i="13"/>
  <c r="O1094" i="13" s="1"/>
  <c r="L1094" i="13"/>
  <c r="M1094" i="13"/>
  <c r="N1094" i="13"/>
  <c r="Q1094" i="13"/>
  <c r="R1094" i="13"/>
  <c r="A1095" i="13"/>
  <c r="B1095" i="13"/>
  <c r="C1095" i="13"/>
  <c r="D1095" i="13"/>
  <c r="E1095" i="13"/>
  <c r="F1095" i="13"/>
  <c r="G1095" i="13"/>
  <c r="H1095" i="13"/>
  <c r="I1095" i="13"/>
  <c r="J1095" i="13"/>
  <c r="K1095" i="13"/>
  <c r="O1095" i="13" s="1"/>
  <c r="L1095" i="13"/>
  <c r="M1095" i="13"/>
  <c r="N1095" i="13"/>
  <c r="Q1095" i="13"/>
  <c r="R1095" i="13"/>
  <c r="A1096" i="13"/>
  <c r="B1096" i="13"/>
  <c r="C1096" i="13"/>
  <c r="D1096" i="13"/>
  <c r="E1096" i="13"/>
  <c r="F1096" i="13"/>
  <c r="G1096" i="13"/>
  <c r="H1096" i="13"/>
  <c r="I1096" i="13"/>
  <c r="J1096" i="13"/>
  <c r="K1096" i="13"/>
  <c r="O1096" i="13" s="1"/>
  <c r="L1096" i="13"/>
  <c r="M1096" i="13"/>
  <c r="N1096" i="13"/>
  <c r="Q1096" i="13"/>
  <c r="R1096" i="13"/>
  <c r="A1097" i="13"/>
  <c r="B1097" i="13"/>
  <c r="C1097" i="13"/>
  <c r="D1097" i="13"/>
  <c r="E1097" i="13"/>
  <c r="F1097" i="13"/>
  <c r="G1097" i="13"/>
  <c r="H1097" i="13"/>
  <c r="I1097" i="13"/>
  <c r="J1097" i="13"/>
  <c r="K1097" i="13"/>
  <c r="O1097" i="13" s="1"/>
  <c r="L1097" i="13"/>
  <c r="M1097" i="13"/>
  <c r="N1097" i="13"/>
  <c r="Q1097" i="13"/>
  <c r="R1097" i="13"/>
  <c r="A1098" i="13"/>
  <c r="B1098" i="13"/>
  <c r="C1098" i="13"/>
  <c r="D1098" i="13"/>
  <c r="E1098" i="13"/>
  <c r="F1098" i="13"/>
  <c r="G1098" i="13"/>
  <c r="H1098" i="13"/>
  <c r="I1098" i="13"/>
  <c r="J1098" i="13"/>
  <c r="K1098" i="13"/>
  <c r="O1098" i="13" s="1"/>
  <c r="L1098" i="13"/>
  <c r="M1098" i="13"/>
  <c r="N1098" i="13"/>
  <c r="Q1098" i="13"/>
  <c r="R1098" i="13"/>
  <c r="A1099" i="13"/>
  <c r="B1099" i="13"/>
  <c r="C1099" i="13"/>
  <c r="D1099" i="13"/>
  <c r="E1099" i="13"/>
  <c r="F1099" i="13"/>
  <c r="G1099" i="13"/>
  <c r="H1099" i="13"/>
  <c r="I1099" i="13"/>
  <c r="J1099" i="13"/>
  <c r="K1099" i="13"/>
  <c r="O1099" i="13" s="1"/>
  <c r="L1099" i="13"/>
  <c r="M1099" i="13"/>
  <c r="N1099" i="13"/>
  <c r="Q1099" i="13"/>
  <c r="R1099" i="13"/>
  <c r="A1100" i="13"/>
  <c r="B1100" i="13"/>
  <c r="C1100" i="13"/>
  <c r="D1100" i="13"/>
  <c r="E1100" i="13"/>
  <c r="F1100" i="13"/>
  <c r="G1100" i="13"/>
  <c r="H1100" i="13"/>
  <c r="I1100" i="13"/>
  <c r="J1100" i="13"/>
  <c r="K1100" i="13"/>
  <c r="O1100" i="13" s="1"/>
  <c r="L1100" i="13"/>
  <c r="M1100" i="13"/>
  <c r="N1100" i="13"/>
  <c r="Q1100" i="13"/>
  <c r="R1100" i="13"/>
  <c r="A1101" i="13"/>
  <c r="B1101" i="13"/>
  <c r="C1101" i="13"/>
  <c r="D1101" i="13"/>
  <c r="E1101" i="13"/>
  <c r="F1101" i="13"/>
  <c r="G1101" i="13"/>
  <c r="H1101" i="13"/>
  <c r="I1101" i="13"/>
  <c r="J1101" i="13"/>
  <c r="K1101" i="13"/>
  <c r="O1101" i="13" s="1"/>
  <c r="L1101" i="13"/>
  <c r="M1101" i="13"/>
  <c r="N1101" i="13"/>
  <c r="Q1101" i="13"/>
  <c r="R1101" i="13"/>
  <c r="A1102" i="13"/>
  <c r="B1102" i="13"/>
  <c r="C1102" i="13"/>
  <c r="D1102" i="13"/>
  <c r="E1102" i="13"/>
  <c r="F1102" i="13"/>
  <c r="G1102" i="13"/>
  <c r="H1102" i="13"/>
  <c r="I1102" i="13"/>
  <c r="J1102" i="13"/>
  <c r="K1102" i="13"/>
  <c r="O1102" i="13" s="1"/>
  <c r="L1102" i="13"/>
  <c r="M1102" i="13"/>
  <c r="N1102" i="13"/>
  <c r="Q1102" i="13"/>
  <c r="R1102" i="13"/>
  <c r="A1103" i="13"/>
  <c r="B1103" i="13"/>
  <c r="C1103" i="13"/>
  <c r="D1103" i="13"/>
  <c r="E1103" i="13"/>
  <c r="F1103" i="13"/>
  <c r="G1103" i="13"/>
  <c r="H1103" i="13"/>
  <c r="I1103" i="13"/>
  <c r="J1103" i="13"/>
  <c r="K1103" i="13"/>
  <c r="O1103" i="13" s="1"/>
  <c r="L1103" i="13"/>
  <c r="M1103" i="13"/>
  <c r="N1103" i="13"/>
  <c r="Q1103" i="13"/>
  <c r="R1103" i="13"/>
  <c r="A1104" i="13"/>
  <c r="B1104" i="13"/>
  <c r="C1104" i="13"/>
  <c r="D1104" i="13"/>
  <c r="E1104" i="13"/>
  <c r="F1104" i="13"/>
  <c r="G1104" i="13"/>
  <c r="H1104" i="13"/>
  <c r="I1104" i="13"/>
  <c r="J1104" i="13"/>
  <c r="K1104" i="13"/>
  <c r="O1104" i="13" s="1"/>
  <c r="L1104" i="13"/>
  <c r="M1104" i="13"/>
  <c r="N1104" i="13"/>
  <c r="Q1104" i="13"/>
  <c r="R1104" i="13"/>
  <c r="A1105" i="13"/>
  <c r="B1105" i="13"/>
  <c r="C1105" i="13"/>
  <c r="D1105" i="13"/>
  <c r="E1105" i="13"/>
  <c r="F1105" i="13"/>
  <c r="G1105" i="13"/>
  <c r="H1105" i="13"/>
  <c r="I1105" i="13"/>
  <c r="J1105" i="13"/>
  <c r="K1105" i="13"/>
  <c r="O1105" i="13" s="1"/>
  <c r="L1105" i="13"/>
  <c r="M1105" i="13"/>
  <c r="N1105" i="13"/>
  <c r="Q1105" i="13"/>
  <c r="R1105" i="13"/>
  <c r="A1106" i="13"/>
  <c r="B1106" i="13"/>
  <c r="C1106" i="13"/>
  <c r="D1106" i="13"/>
  <c r="E1106" i="13"/>
  <c r="F1106" i="13"/>
  <c r="G1106" i="13"/>
  <c r="H1106" i="13"/>
  <c r="I1106" i="13"/>
  <c r="J1106" i="13"/>
  <c r="K1106" i="13"/>
  <c r="O1106" i="13" s="1"/>
  <c r="L1106" i="13"/>
  <c r="M1106" i="13"/>
  <c r="N1106" i="13"/>
  <c r="Q1106" i="13"/>
  <c r="R1106" i="13"/>
  <c r="A1107" i="13"/>
  <c r="B1107" i="13"/>
  <c r="C1107" i="13"/>
  <c r="D1107" i="13"/>
  <c r="E1107" i="13"/>
  <c r="F1107" i="13"/>
  <c r="G1107" i="13"/>
  <c r="H1107" i="13"/>
  <c r="I1107" i="13"/>
  <c r="J1107" i="13"/>
  <c r="K1107" i="13"/>
  <c r="O1107" i="13" s="1"/>
  <c r="L1107" i="13"/>
  <c r="M1107" i="13"/>
  <c r="N1107" i="13"/>
  <c r="Q1107" i="13"/>
  <c r="R1107" i="13"/>
  <c r="A1108" i="13"/>
  <c r="B1108" i="13"/>
  <c r="C1108" i="13"/>
  <c r="D1108" i="13"/>
  <c r="E1108" i="13"/>
  <c r="F1108" i="13"/>
  <c r="G1108" i="13"/>
  <c r="H1108" i="13"/>
  <c r="I1108" i="13"/>
  <c r="J1108" i="13"/>
  <c r="K1108" i="13"/>
  <c r="O1108" i="13" s="1"/>
  <c r="L1108" i="13"/>
  <c r="M1108" i="13"/>
  <c r="N1108" i="13"/>
  <c r="Q1108" i="13"/>
  <c r="R1108" i="13"/>
  <c r="A1109" i="13"/>
  <c r="B1109" i="13"/>
  <c r="C1109" i="13"/>
  <c r="D1109" i="13"/>
  <c r="E1109" i="13"/>
  <c r="F1109" i="13"/>
  <c r="G1109" i="13"/>
  <c r="H1109" i="13"/>
  <c r="I1109" i="13"/>
  <c r="J1109" i="13"/>
  <c r="K1109" i="13"/>
  <c r="O1109" i="13" s="1"/>
  <c r="L1109" i="13"/>
  <c r="M1109" i="13"/>
  <c r="N1109" i="13"/>
  <c r="Q1109" i="13"/>
  <c r="R1109" i="13"/>
  <c r="A1110" i="13"/>
  <c r="B1110" i="13"/>
  <c r="C1110" i="13"/>
  <c r="D1110" i="13"/>
  <c r="E1110" i="13"/>
  <c r="F1110" i="13"/>
  <c r="G1110" i="13"/>
  <c r="H1110" i="13"/>
  <c r="I1110" i="13"/>
  <c r="J1110" i="13"/>
  <c r="K1110" i="13"/>
  <c r="O1110" i="13" s="1"/>
  <c r="L1110" i="13"/>
  <c r="M1110" i="13"/>
  <c r="N1110" i="13"/>
  <c r="Q1110" i="13"/>
  <c r="R1110" i="13"/>
  <c r="A1111" i="13"/>
  <c r="B1111" i="13"/>
  <c r="C1111" i="13"/>
  <c r="D1111" i="13"/>
  <c r="E1111" i="13"/>
  <c r="F1111" i="13"/>
  <c r="G1111" i="13"/>
  <c r="H1111" i="13"/>
  <c r="I1111" i="13"/>
  <c r="J1111" i="13"/>
  <c r="K1111" i="13"/>
  <c r="O1111" i="13" s="1"/>
  <c r="L1111" i="13"/>
  <c r="M1111" i="13"/>
  <c r="N1111" i="13"/>
  <c r="Q1111" i="13"/>
  <c r="R1111" i="13"/>
  <c r="A1112" i="13"/>
  <c r="B1112" i="13"/>
  <c r="C1112" i="13"/>
  <c r="D1112" i="13"/>
  <c r="E1112" i="13"/>
  <c r="F1112" i="13"/>
  <c r="G1112" i="13"/>
  <c r="H1112" i="13"/>
  <c r="I1112" i="13"/>
  <c r="J1112" i="13"/>
  <c r="K1112" i="13"/>
  <c r="O1112" i="13" s="1"/>
  <c r="L1112" i="13"/>
  <c r="M1112" i="13"/>
  <c r="N1112" i="13"/>
  <c r="Q1112" i="13"/>
  <c r="R1112" i="13"/>
  <c r="A1113" i="13"/>
  <c r="B1113" i="13"/>
  <c r="C1113" i="13"/>
  <c r="D1113" i="13"/>
  <c r="E1113" i="13"/>
  <c r="F1113" i="13"/>
  <c r="G1113" i="13"/>
  <c r="H1113" i="13"/>
  <c r="I1113" i="13"/>
  <c r="J1113" i="13"/>
  <c r="K1113" i="13"/>
  <c r="O1113" i="13" s="1"/>
  <c r="L1113" i="13"/>
  <c r="M1113" i="13"/>
  <c r="N1113" i="13"/>
  <c r="Q1113" i="13"/>
  <c r="R1113" i="13"/>
  <c r="A1114" i="13"/>
  <c r="B1114" i="13"/>
  <c r="C1114" i="13"/>
  <c r="D1114" i="13"/>
  <c r="E1114" i="13"/>
  <c r="F1114" i="13"/>
  <c r="G1114" i="13"/>
  <c r="H1114" i="13"/>
  <c r="I1114" i="13"/>
  <c r="J1114" i="13"/>
  <c r="K1114" i="13"/>
  <c r="O1114" i="13" s="1"/>
  <c r="L1114" i="13"/>
  <c r="M1114" i="13"/>
  <c r="N1114" i="13"/>
  <c r="Q1114" i="13"/>
  <c r="R1114" i="13"/>
  <c r="A1115" i="13"/>
  <c r="B1115" i="13"/>
  <c r="C1115" i="13"/>
  <c r="D1115" i="13"/>
  <c r="E1115" i="13"/>
  <c r="F1115" i="13"/>
  <c r="G1115" i="13"/>
  <c r="H1115" i="13"/>
  <c r="I1115" i="13"/>
  <c r="J1115" i="13"/>
  <c r="K1115" i="13"/>
  <c r="O1115" i="13" s="1"/>
  <c r="L1115" i="13"/>
  <c r="M1115" i="13"/>
  <c r="N1115" i="13"/>
  <c r="Q1115" i="13"/>
  <c r="R1115" i="13"/>
  <c r="A1116" i="13"/>
  <c r="B1116" i="13"/>
  <c r="C1116" i="13"/>
  <c r="D1116" i="13"/>
  <c r="E1116" i="13"/>
  <c r="F1116" i="13"/>
  <c r="G1116" i="13"/>
  <c r="H1116" i="13"/>
  <c r="I1116" i="13"/>
  <c r="J1116" i="13"/>
  <c r="K1116" i="13"/>
  <c r="O1116" i="13" s="1"/>
  <c r="L1116" i="13"/>
  <c r="M1116" i="13"/>
  <c r="N1116" i="13"/>
  <c r="Q1116" i="13"/>
  <c r="R1116" i="13"/>
  <c r="A1117" i="13"/>
  <c r="B1117" i="13"/>
  <c r="C1117" i="13"/>
  <c r="D1117" i="13"/>
  <c r="E1117" i="13"/>
  <c r="F1117" i="13"/>
  <c r="G1117" i="13"/>
  <c r="H1117" i="13"/>
  <c r="I1117" i="13"/>
  <c r="J1117" i="13"/>
  <c r="K1117" i="13"/>
  <c r="O1117" i="13" s="1"/>
  <c r="L1117" i="13"/>
  <c r="M1117" i="13"/>
  <c r="N1117" i="13"/>
  <c r="Q1117" i="13"/>
  <c r="R1117" i="13"/>
  <c r="A1118" i="13"/>
  <c r="B1118" i="13"/>
  <c r="C1118" i="13"/>
  <c r="D1118" i="13"/>
  <c r="E1118" i="13"/>
  <c r="F1118" i="13"/>
  <c r="G1118" i="13"/>
  <c r="H1118" i="13"/>
  <c r="I1118" i="13"/>
  <c r="J1118" i="13"/>
  <c r="K1118" i="13"/>
  <c r="O1118" i="13" s="1"/>
  <c r="L1118" i="13"/>
  <c r="M1118" i="13"/>
  <c r="N1118" i="13"/>
  <c r="Q1118" i="13"/>
  <c r="R1118" i="13"/>
  <c r="A1119" i="13"/>
  <c r="B1119" i="13"/>
  <c r="C1119" i="13"/>
  <c r="D1119" i="13"/>
  <c r="E1119" i="13"/>
  <c r="F1119" i="13"/>
  <c r="G1119" i="13"/>
  <c r="H1119" i="13"/>
  <c r="I1119" i="13"/>
  <c r="J1119" i="13"/>
  <c r="K1119" i="13"/>
  <c r="O1119" i="13" s="1"/>
  <c r="L1119" i="13"/>
  <c r="M1119" i="13"/>
  <c r="N1119" i="13"/>
  <c r="Q1119" i="13"/>
  <c r="R1119" i="13"/>
  <c r="A1120" i="13"/>
  <c r="B1120" i="13"/>
  <c r="C1120" i="13"/>
  <c r="D1120" i="13"/>
  <c r="E1120" i="13"/>
  <c r="F1120" i="13"/>
  <c r="G1120" i="13"/>
  <c r="H1120" i="13"/>
  <c r="I1120" i="13"/>
  <c r="J1120" i="13"/>
  <c r="K1120" i="13"/>
  <c r="O1120" i="13" s="1"/>
  <c r="L1120" i="13"/>
  <c r="M1120" i="13"/>
  <c r="N1120" i="13"/>
  <c r="Q1120" i="13"/>
  <c r="R1120" i="13"/>
  <c r="A1121" i="13"/>
  <c r="B1121" i="13"/>
  <c r="C1121" i="13"/>
  <c r="D1121" i="13"/>
  <c r="E1121" i="13"/>
  <c r="F1121" i="13"/>
  <c r="G1121" i="13"/>
  <c r="H1121" i="13"/>
  <c r="I1121" i="13"/>
  <c r="J1121" i="13"/>
  <c r="K1121" i="13"/>
  <c r="O1121" i="13" s="1"/>
  <c r="L1121" i="13"/>
  <c r="M1121" i="13"/>
  <c r="N1121" i="13"/>
  <c r="Q1121" i="13"/>
  <c r="R1121" i="13"/>
  <c r="A1122" i="13"/>
  <c r="B1122" i="13"/>
  <c r="C1122" i="13"/>
  <c r="D1122" i="13"/>
  <c r="E1122" i="13"/>
  <c r="F1122" i="13"/>
  <c r="G1122" i="13"/>
  <c r="H1122" i="13"/>
  <c r="I1122" i="13"/>
  <c r="J1122" i="13"/>
  <c r="K1122" i="13"/>
  <c r="O1122" i="13" s="1"/>
  <c r="L1122" i="13"/>
  <c r="M1122" i="13"/>
  <c r="N1122" i="13"/>
  <c r="Q1122" i="13"/>
  <c r="R1122" i="13"/>
  <c r="A1123" i="13"/>
  <c r="B1123" i="13"/>
  <c r="C1123" i="13"/>
  <c r="D1123" i="13"/>
  <c r="E1123" i="13"/>
  <c r="F1123" i="13"/>
  <c r="G1123" i="13"/>
  <c r="H1123" i="13"/>
  <c r="I1123" i="13"/>
  <c r="J1123" i="13"/>
  <c r="K1123" i="13"/>
  <c r="O1123" i="13" s="1"/>
  <c r="L1123" i="13"/>
  <c r="M1123" i="13"/>
  <c r="N1123" i="13"/>
  <c r="Q1123" i="13"/>
  <c r="R1123" i="13"/>
  <c r="A1124" i="13"/>
  <c r="B1124" i="13"/>
  <c r="C1124" i="13"/>
  <c r="D1124" i="13"/>
  <c r="E1124" i="13"/>
  <c r="F1124" i="13"/>
  <c r="G1124" i="13"/>
  <c r="H1124" i="13"/>
  <c r="I1124" i="13"/>
  <c r="J1124" i="13"/>
  <c r="K1124" i="13"/>
  <c r="O1124" i="13" s="1"/>
  <c r="L1124" i="13"/>
  <c r="M1124" i="13"/>
  <c r="N1124" i="13"/>
  <c r="Q1124" i="13"/>
  <c r="R1124" i="13"/>
  <c r="A1125" i="13"/>
  <c r="B1125" i="13"/>
  <c r="C1125" i="13"/>
  <c r="D1125" i="13"/>
  <c r="E1125" i="13"/>
  <c r="F1125" i="13"/>
  <c r="G1125" i="13"/>
  <c r="H1125" i="13"/>
  <c r="I1125" i="13"/>
  <c r="J1125" i="13"/>
  <c r="K1125" i="13"/>
  <c r="O1125" i="13" s="1"/>
  <c r="L1125" i="13"/>
  <c r="M1125" i="13"/>
  <c r="N1125" i="13"/>
  <c r="Q1125" i="13"/>
  <c r="R1125" i="13"/>
  <c r="A1126" i="13"/>
  <c r="B1126" i="13"/>
  <c r="C1126" i="13"/>
  <c r="D1126" i="13"/>
  <c r="E1126" i="13"/>
  <c r="F1126" i="13"/>
  <c r="G1126" i="13"/>
  <c r="H1126" i="13"/>
  <c r="I1126" i="13"/>
  <c r="J1126" i="13"/>
  <c r="K1126" i="13"/>
  <c r="O1126" i="13" s="1"/>
  <c r="L1126" i="13"/>
  <c r="M1126" i="13"/>
  <c r="N1126" i="13"/>
  <c r="Q1126" i="13"/>
  <c r="R1126" i="13"/>
  <c r="A1127" i="13"/>
  <c r="B1127" i="13"/>
  <c r="C1127" i="13"/>
  <c r="D1127" i="13"/>
  <c r="E1127" i="13"/>
  <c r="F1127" i="13"/>
  <c r="G1127" i="13"/>
  <c r="H1127" i="13"/>
  <c r="I1127" i="13"/>
  <c r="J1127" i="13"/>
  <c r="K1127" i="13"/>
  <c r="O1127" i="13" s="1"/>
  <c r="L1127" i="13"/>
  <c r="M1127" i="13"/>
  <c r="N1127" i="13"/>
  <c r="Q1127" i="13"/>
  <c r="R1127" i="13"/>
  <c r="A1128" i="13"/>
  <c r="B1128" i="13"/>
  <c r="C1128" i="13"/>
  <c r="D1128" i="13"/>
  <c r="E1128" i="13"/>
  <c r="F1128" i="13"/>
  <c r="G1128" i="13"/>
  <c r="H1128" i="13"/>
  <c r="I1128" i="13"/>
  <c r="J1128" i="13"/>
  <c r="K1128" i="13"/>
  <c r="O1128" i="13" s="1"/>
  <c r="L1128" i="13"/>
  <c r="M1128" i="13"/>
  <c r="N1128" i="13"/>
  <c r="Q1128" i="13"/>
  <c r="R1128" i="13"/>
  <c r="A1129" i="13"/>
  <c r="B1129" i="13"/>
  <c r="C1129" i="13"/>
  <c r="D1129" i="13"/>
  <c r="E1129" i="13"/>
  <c r="F1129" i="13"/>
  <c r="G1129" i="13"/>
  <c r="H1129" i="13"/>
  <c r="I1129" i="13"/>
  <c r="J1129" i="13"/>
  <c r="K1129" i="13"/>
  <c r="O1129" i="13" s="1"/>
  <c r="L1129" i="13"/>
  <c r="M1129" i="13"/>
  <c r="N1129" i="13"/>
  <c r="Q1129" i="13"/>
  <c r="R1129" i="13"/>
  <c r="A1130" i="13"/>
  <c r="B1130" i="13"/>
  <c r="C1130" i="13"/>
  <c r="D1130" i="13"/>
  <c r="E1130" i="13"/>
  <c r="F1130" i="13"/>
  <c r="G1130" i="13"/>
  <c r="H1130" i="13"/>
  <c r="I1130" i="13"/>
  <c r="J1130" i="13"/>
  <c r="K1130" i="13"/>
  <c r="O1130" i="13" s="1"/>
  <c r="L1130" i="13"/>
  <c r="M1130" i="13"/>
  <c r="N1130" i="13"/>
  <c r="Q1130" i="13"/>
  <c r="R1130" i="13"/>
  <c r="A1131" i="13"/>
  <c r="B1131" i="13"/>
  <c r="C1131" i="13"/>
  <c r="D1131" i="13"/>
  <c r="E1131" i="13"/>
  <c r="F1131" i="13"/>
  <c r="G1131" i="13"/>
  <c r="H1131" i="13"/>
  <c r="I1131" i="13"/>
  <c r="J1131" i="13"/>
  <c r="K1131" i="13"/>
  <c r="O1131" i="13" s="1"/>
  <c r="L1131" i="13"/>
  <c r="M1131" i="13"/>
  <c r="N1131" i="13"/>
  <c r="Q1131" i="13"/>
  <c r="R1131" i="13"/>
  <c r="A1132" i="13"/>
  <c r="B1132" i="13"/>
  <c r="C1132" i="13"/>
  <c r="D1132" i="13"/>
  <c r="E1132" i="13"/>
  <c r="F1132" i="13"/>
  <c r="G1132" i="13"/>
  <c r="H1132" i="13"/>
  <c r="I1132" i="13"/>
  <c r="J1132" i="13"/>
  <c r="K1132" i="13"/>
  <c r="O1132" i="13" s="1"/>
  <c r="L1132" i="13"/>
  <c r="M1132" i="13"/>
  <c r="N1132" i="13"/>
  <c r="Q1132" i="13"/>
  <c r="R1132" i="13"/>
  <c r="A1133" i="13"/>
  <c r="B1133" i="13"/>
  <c r="C1133" i="13"/>
  <c r="D1133" i="13"/>
  <c r="E1133" i="13"/>
  <c r="F1133" i="13"/>
  <c r="G1133" i="13"/>
  <c r="H1133" i="13"/>
  <c r="I1133" i="13"/>
  <c r="J1133" i="13"/>
  <c r="K1133" i="13"/>
  <c r="O1133" i="13" s="1"/>
  <c r="L1133" i="13"/>
  <c r="M1133" i="13"/>
  <c r="N1133" i="13"/>
  <c r="Q1133" i="13"/>
  <c r="R1133" i="13"/>
  <c r="A1134" i="13"/>
  <c r="B1134" i="13"/>
  <c r="C1134" i="13"/>
  <c r="D1134" i="13"/>
  <c r="E1134" i="13"/>
  <c r="F1134" i="13"/>
  <c r="G1134" i="13"/>
  <c r="H1134" i="13"/>
  <c r="I1134" i="13"/>
  <c r="J1134" i="13"/>
  <c r="K1134" i="13"/>
  <c r="O1134" i="13" s="1"/>
  <c r="L1134" i="13"/>
  <c r="M1134" i="13"/>
  <c r="N1134" i="13"/>
  <c r="Q1134" i="13"/>
  <c r="R1134" i="13"/>
  <c r="J1039" i="13" l="1"/>
  <c r="P1026" i="13"/>
  <c r="P1018" i="13"/>
  <c r="N1039" i="13"/>
  <c r="P1014" i="13"/>
  <c r="J1038" i="13"/>
  <c r="N1037" i="13"/>
  <c r="J1036" i="13"/>
  <c r="P1061" i="13"/>
  <c r="P1042" i="13"/>
  <c r="P1110" i="13"/>
  <c r="P1033" i="13"/>
  <c r="P1009" i="13"/>
  <c r="P1125" i="13"/>
  <c r="P1121" i="13"/>
  <c r="P1106" i="13"/>
  <c r="P1093" i="13"/>
  <c r="P1090" i="13"/>
  <c r="P1089" i="13"/>
  <c r="P1078" i="13"/>
  <c r="P1077" i="13"/>
  <c r="P1074" i="13"/>
  <c r="P1073" i="13"/>
  <c r="P1070" i="13"/>
  <c r="P1069" i="13"/>
  <c r="P1068" i="13"/>
  <c r="P1067" i="13"/>
  <c r="P1066" i="13"/>
  <c r="P1065" i="13"/>
  <c r="P1064" i="13"/>
  <c r="P1063" i="13"/>
  <c r="P1062" i="13"/>
  <c r="P1046" i="13"/>
  <c r="P1007" i="13"/>
  <c r="P1057" i="13"/>
  <c r="P1134" i="13"/>
  <c r="P1133" i="13"/>
  <c r="P1132" i="13"/>
  <c r="P1131" i="13"/>
  <c r="P1130" i="13"/>
  <c r="P1129" i="13"/>
  <c r="P1128" i="13"/>
  <c r="P1127" i="13"/>
  <c r="P1126" i="13"/>
  <c r="P1122" i="13"/>
  <c r="P1058" i="13"/>
  <c r="P1045" i="13"/>
  <c r="P1109" i="13"/>
  <c r="P1105" i="13"/>
  <c r="P1102" i="13"/>
  <c r="P1101" i="13"/>
  <c r="P1100" i="13"/>
  <c r="P1099" i="13"/>
  <c r="P1098" i="13"/>
  <c r="P1097" i="13"/>
  <c r="P1096" i="13"/>
  <c r="P1095" i="13"/>
  <c r="P1094" i="13"/>
  <c r="P1041" i="13"/>
  <c r="P1038" i="13"/>
  <c r="P1037" i="13"/>
  <c r="P1036" i="13"/>
  <c r="P1035" i="13"/>
  <c r="P1012" i="13"/>
  <c r="P1017" i="13"/>
  <c r="P1025" i="13"/>
  <c r="P1020" i="13"/>
  <c r="P1118" i="13"/>
  <c r="P1117" i="13"/>
  <c r="P1116" i="13"/>
  <c r="P1115" i="13"/>
  <c r="P1114" i="13"/>
  <c r="P1113" i="13"/>
  <c r="P1112" i="13"/>
  <c r="P1111" i="13"/>
  <c r="P1086" i="13"/>
  <c r="P1085" i="13"/>
  <c r="P1084" i="13"/>
  <c r="P1083" i="13"/>
  <c r="P1082" i="13"/>
  <c r="P1081" i="13"/>
  <c r="P1080" i="13"/>
  <c r="P1079" i="13"/>
  <c r="P1054" i="13"/>
  <c r="P1053" i="13"/>
  <c r="P1052" i="13"/>
  <c r="P1051" i="13"/>
  <c r="P1050" i="13"/>
  <c r="P1049" i="13"/>
  <c r="P1048" i="13"/>
  <c r="P1047" i="13"/>
  <c r="P1032" i="13"/>
  <c r="P1027" i="13"/>
  <c r="P1013" i="13"/>
  <c r="P1008" i="13"/>
  <c r="J1027" i="13"/>
  <c r="P1034" i="13"/>
  <c r="P1024" i="13"/>
  <c r="P1019" i="13"/>
  <c r="P1006" i="13"/>
  <c r="P1021" i="13"/>
  <c r="P1029" i="13"/>
  <c r="P1022" i="13"/>
  <c r="N1021" i="13"/>
  <c r="J1019" i="13"/>
  <c r="P1010" i="13"/>
  <c r="N1029" i="13"/>
  <c r="P1028" i="13"/>
  <c r="P1015" i="13"/>
  <c r="P1030" i="13"/>
  <c r="P1005" i="13"/>
  <c r="P1124" i="13"/>
  <c r="P1123" i="13"/>
  <c r="P1108" i="13"/>
  <c r="P1107" i="13"/>
  <c r="P1092" i="13"/>
  <c r="P1091" i="13"/>
  <c r="P1076" i="13"/>
  <c r="P1075" i="13"/>
  <c r="P1060" i="13"/>
  <c r="P1059" i="13"/>
  <c r="P1044" i="13"/>
  <c r="P1043" i="13"/>
  <c r="P1031" i="13"/>
  <c r="P1023" i="13"/>
  <c r="P1016" i="13"/>
  <c r="P1011" i="13"/>
  <c r="P1120" i="13"/>
  <c r="P1119" i="13"/>
  <c r="P1104" i="13"/>
  <c r="P1103" i="13"/>
  <c r="P1088" i="13"/>
  <c r="P1087" i="13"/>
  <c r="P1072" i="13"/>
  <c r="P1071" i="13"/>
  <c r="P1056" i="13"/>
  <c r="P1055" i="13"/>
  <c r="P1040" i="13"/>
  <c r="P1039" i="13"/>
  <c r="J1031" i="13"/>
  <c r="N1025" i="13"/>
  <c r="J1032" i="13"/>
  <c r="N1030" i="13"/>
  <c r="J1028" i="13"/>
  <c r="N1026" i="13"/>
  <c r="J1024" i="13"/>
  <c r="N1022" i="13"/>
  <c r="J1020" i="13"/>
  <c r="J1023" i="13"/>
  <c r="N1032" i="13"/>
  <c r="J1030" i="13"/>
  <c r="N1028" i="13"/>
  <c r="J1026" i="13"/>
  <c r="N1024" i="13"/>
  <c r="J1022" i="13"/>
  <c r="N1020" i="13"/>
  <c r="N1033" i="13"/>
  <c r="J1033" i="13"/>
  <c r="N1031" i="13"/>
  <c r="J1029" i="13"/>
  <c r="N1027" i="13"/>
  <c r="J1025" i="13"/>
  <c r="N1023" i="13"/>
  <c r="J1021" i="13"/>
  <c r="N1019" i="13"/>
  <c r="N1004" i="13"/>
  <c r="N1003" i="13"/>
  <c r="N1002" i="13"/>
  <c r="N1001" i="13"/>
  <c r="N1000" i="13"/>
  <c r="N999" i="13"/>
  <c r="N998" i="13"/>
  <c r="J992" i="13"/>
  <c r="N994" i="13"/>
  <c r="N995" i="13"/>
  <c r="N996" i="13"/>
  <c r="N997" i="13"/>
  <c r="N991" i="13"/>
  <c r="A988" i="13"/>
  <c r="B988" i="13"/>
  <c r="C988" i="13"/>
  <c r="D988" i="13"/>
  <c r="E988" i="13"/>
  <c r="F988" i="13"/>
  <c r="G988" i="13"/>
  <c r="H988" i="13"/>
  <c r="I988" i="13"/>
  <c r="K988" i="13"/>
  <c r="O988" i="13" s="1"/>
  <c r="L988" i="13"/>
  <c r="M988" i="13"/>
  <c r="Q988" i="13"/>
  <c r="R988" i="13"/>
  <c r="A989" i="13"/>
  <c r="B989" i="13"/>
  <c r="C989" i="13"/>
  <c r="D989" i="13"/>
  <c r="E989" i="13"/>
  <c r="F989" i="13"/>
  <c r="G989" i="13"/>
  <c r="H989" i="13"/>
  <c r="I989" i="13"/>
  <c r="K989" i="13"/>
  <c r="O989" i="13" s="1"/>
  <c r="L989" i="13"/>
  <c r="M989" i="13"/>
  <c r="Q989" i="13"/>
  <c r="R989" i="13"/>
  <c r="A990" i="13"/>
  <c r="B990" i="13"/>
  <c r="C990" i="13"/>
  <c r="D990" i="13"/>
  <c r="E990" i="13"/>
  <c r="F990" i="13"/>
  <c r="G990" i="13"/>
  <c r="H990" i="13"/>
  <c r="I990" i="13"/>
  <c r="K990" i="13"/>
  <c r="O990" i="13" s="1"/>
  <c r="L990" i="13"/>
  <c r="M990" i="13"/>
  <c r="Q990" i="13"/>
  <c r="R990" i="13"/>
  <c r="A991" i="13"/>
  <c r="B991" i="13"/>
  <c r="C991" i="13"/>
  <c r="D991" i="13"/>
  <c r="E991" i="13"/>
  <c r="F991" i="13"/>
  <c r="G991" i="13"/>
  <c r="H991" i="13"/>
  <c r="I991" i="13"/>
  <c r="K991" i="13"/>
  <c r="O991" i="13" s="1"/>
  <c r="L991" i="13"/>
  <c r="M991" i="13"/>
  <c r="Q991" i="13"/>
  <c r="R991" i="13"/>
  <c r="A992" i="13"/>
  <c r="B992" i="13"/>
  <c r="C992" i="13"/>
  <c r="D992" i="13"/>
  <c r="E992" i="13"/>
  <c r="F992" i="13"/>
  <c r="G992" i="13"/>
  <c r="H992" i="13"/>
  <c r="I992" i="13"/>
  <c r="K992" i="13"/>
  <c r="O992" i="13" s="1"/>
  <c r="L992" i="13"/>
  <c r="M992" i="13"/>
  <c r="Q992" i="13"/>
  <c r="R992" i="13"/>
  <c r="A993" i="13"/>
  <c r="B993" i="13"/>
  <c r="C993" i="13"/>
  <c r="D993" i="13"/>
  <c r="E993" i="13"/>
  <c r="F993" i="13"/>
  <c r="G993" i="13"/>
  <c r="H993" i="13"/>
  <c r="I993" i="13"/>
  <c r="K993" i="13"/>
  <c r="O993" i="13" s="1"/>
  <c r="L993" i="13"/>
  <c r="M993" i="13"/>
  <c r="Q993" i="13"/>
  <c r="R993" i="13"/>
  <c r="A994" i="13"/>
  <c r="B994" i="13"/>
  <c r="C994" i="13"/>
  <c r="D994" i="13"/>
  <c r="E994" i="13"/>
  <c r="F994" i="13"/>
  <c r="G994" i="13"/>
  <c r="H994" i="13"/>
  <c r="I994" i="13"/>
  <c r="K994" i="13"/>
  <c r="O994" i="13" s="1"/>
  <c r="L994" i="13"/>
  <c r="M994" i="13"/>
  <c r="Q994" i="13"/>
  <c r="R994" i="13"/>
  <c r="A995" i="13"/>
  <c r="B995" i="13"/>
  <c r="C995" i="13"/>
  <c r="D995" i="13"/>
  <c r="E995" i="13"/>
  <c r="F995" i="13"/>
  <c r="G995" i="13"/>
  <c r="H995" i="13"/>
  <c r="I995" i="13"/>
  <c r="K995" i="13"/>
  <c r="O995" i="13" s="1"/>
  <c r="L995" i="13"/>
  <c r="M995" i="13"/>
  <c r="Q995" i="13"/>
  <c r="R995" i="13"/>
  <c r="A996" i="13"/>
  <c r="B996" i="13"/>
  <c r="C996" i="13"/>
  <c r="D996" i="13"/>
  <c r="E996" i="13"/>
  <c r="F996" i="13"/>
  <c r="G996" i="13"/>
  <c r="H996" i="13"/>
  <c r="I996" i="13"/>
  <c r="K996" i="13"/>
  <c r="O996" i="13" s="1"/>
  <c r="L996" i="13"/>
  <c r="M996" i="13"/>
  <c r="Q996" i="13"/>
  <c r="R996" i="13"/>
  <c r="A997" i="13"/>
  <c r="B997" i="13"/>
  <c r="C997" i="13"/>
  <c r="D997" i="13"/>
  <c r="E997" i="13"/>
  <c r="F997" i="13"/>
  <c r="G997" i="13"/>
  <c r="H997" i="13"/>
  <c r="I997" i="13"/>
  <c r="K997" i="13"/>
  <c r="O997" i="13" s="1"/>
  <c r="L997" i="13"/>
  <c r="M997" i="13"/>
  <c r="Q997" i="13"/>
  <c r="R997" i="13"/>
  <c r="A998" i="13"/>
  <c r="B998" i="13"/>
  <c r="C998" i="13"/>
  <c r="D998" i="13"/>
  <c r="E998" i="13"/>
  <c r="F998" i="13"/>
  <c r="G998" i="13"/>
  <c r="H998" i="13"/>
  <c r="I998" i="13"/>
  <c r="K998" i="13"/>
  <c r="O998" i="13" s="1"/>
  <c r="L998" i="13"/>
  <c r="M998" i="13"/>
  <c r="Q998" i="13"/>
  <c r="R998" i="13"/>
  <c r="A999" i="13"/>
  <c r="B999" i="13"/>
  <c r="C999" i="13"/>
  <c r="D999" i="13"/>
  <c r="E999" i="13"/>
  <c r="F999" i="13"/>
  <c r="G999" i="13"/>
  <c r="H999" i="13"/>
  <c r="I999" i="13"/>
  <c r="K999" i="13"/>
  <c r="O999" i="13" s="1"/>
  <c r="L999" i="13"/>
  <c r="M999" i="13"/>
  <c r="Q999" i="13"/>
  <c r="R999" i="13"/>
  <c r="A1000" i="13"/>
  <c r="B1000" i="13"/>
  <c r="C1000" i="13"/>
  <c r="D1000" i="13"/>
  <c r="E1000" i="13"/>
  <c r="F1000" i="13"/>
  <c r="G1000" i="13"/>
  <c r="H1000" i="13"/>
  <c r="I1000" i="13"/>
  <c r="K1000" i="13"/>
  <c r="O1000" i="13" s="1"/>
  <c r="L1000" i="13"/>
  <c r="M1000" i="13"/>
  <c r="Q1000" i="13"/>
  <c r="R1000" i="13"/>
  <c r="A1001" i="13"/>
  <c r="B1001" i="13"/>
  <c r="C1001" i="13"/>
  <c r="D1001" i="13"/>
  <c r="E1001" i="13"/>
  <c r="F1001" i="13"/>
  <c r="G1001" i="13"/>
  <c r="H1001" i="13"/>
  <c r="I1001" i="13"/>
  <c r="K1001" i="13"/>
  <c r="O1001" i="13" s="1"/>
  <c r="L1001" i="13"/>
  <c r="M1001" i="13"/>
  <c r="Q1001" i="13"/>
  <c r="R1001" i="13"/>
  <c r="A1002" i="13"/>
  <c r="B1002" i="13"/>
  <c r="C1002" i="13"/>
  <c r="D1002" i="13"/>
  <c r="E1002" i="13"/>
  <c r="F1002" i="13"/>
  <c r="G1002" i="13"/>
  <c r="H1002" i="13"/>
  <c r="I1002" i="13"/>
  <c r="K1002" i="13"/>
  <c r="O1002" i="13" s="1"/>
  <c r="L1002" i="13"/>
  <c r="M1002" i="13"/>
  <c r="Q1002" i="13"/>
  <c r="R1002" i="13"/>
  <c r="A1003" i="13"/>
  <c r="B1003" i="13"/>
  <c r="C1003" i="13"/>
  <c r="D1003" i="13"/>
  <c r="E1003" i="13"/>
  <c r="F1003" i="13"/>
  <c r="G1003" i="13"/>
  <c r="H1003" i="13"/>
  <c r="I1003" i="13"/>
  <c r="K1003" i="13"/>
  <c r="O1003" i="13" s="1"/>
  <c r="L1003" i="13"/>
  <c r="M1003" i="13"/>
  <c r="Q1003" i="13"/>
  <c r="R1003" i="13"/>
  <c r="A1004" i="13"/>
  <c r="B1004" i="13"/>
  <c r="C1004" i="13"/>
  <c r="D1004" i="13"/>
  <c r="E1004" i="13"/>
  <c r="F1004" i="13"/>
  <c r="G1004" i="13"/>
  <c r="H1004" i="13"/>
  <c r="I1004" i="13"/>
  <c r="K1004" i="13"/>
  <c r="O1004" i="13" s="1"/>
  <c r="L1004" i="13"/>
  <c r="M1004" i="13"/>
  <c r="Q1004" i="13"/>
  <c r="R1004" i="13"/>
  <c r="J981" i="13"/>
  <c r="N982" i="13"/>
  <c r="N983" i="13"/>
  <c r="J984" i="13"/>
  <c r="N986" i="13"/>
  <c r="N987" i="13"/>
  <c r="N980" i="13"/>
  <c r="N979" i="13"/>
  <c r="J976" i="13"/>
  <c r="N977" i="13"/>
  <c r="N978" i="13"/>
  <c r="J969" i="13"/>
  <c r="A964" i="13"/>
  <c r="B964" i="13"/>
  <c r="C964" i="13"/>
  <c r="D964" i="13"/>
  <c r="E964" i="13"/>
  <c r="F964" i="13"/>
  <c r="G964" i="13"/>
  <c r="H964" i="13"/>
  <c r="I964" i="13"/>
  <c r="K964" i="13"/>
  <c r="O964" i="13" s="1"/>
  <c r="L964" i="13"/>
  <c r="M964" i="13"/>
  <c r="Q964" i="13"/>
  <c r="R964" i="13"/>
  <c r="A965" i="13"/>
  <c r="B965" i="13"/>
  <c r="C965" i="13"/>
  <c r="D965" i="13"/>
  <c r="E965" i="13"/>
  <c r="F965" i="13"/>
  <c r="G965" i="13"/>
  <c r="H965" i="13"/>
  <c r="I965" i="13"/>
  <c r="K965" i="13"/>
  <c r="O965" i="13" s="1"/>
  <c r="L965" i="13"/>
  <c r="M965" i="13"/>
  <c r="Q965" i="13"/>
  <c r="R965" i="13"/>
  <c r="A966" i="13"/>
  <c r="B966" i="13"/>
  <c r="C966" i="13"/>
  <c r="D966" i="13"/>
  <c r="E966" i="13"/>
  <c r="F966" i="13"/>
  <c r="G966" i="13"/>
  <c r="H966" i="13"/>
  <c r="I966" i="13"/>
  <c r="K966" i="13"/>
  <c r="O966" i="13" s="1"/>
  <c r="L966" i="13"/>
  <c r="M966" i="13"/>
  <c r="Q966" i="13"/>
  <c r="R966" i="13"/>
  <c r="A967" i="13"/>
  <c r="B967" i="13"/>
  <c r="C967" i="13"/>
  <c r="D967" i="13"/>
  <c r="E967" i="13"/>
  <c r="F967" i="13"/>
  <c r="G967" i="13"/>
  <c r="H967" i="13"/>
  <c r="I967" i="13"/>
  <c r="K967" i="13"/>
  <c r="O967" i="13" s="1"/>
  <c r="L967" i="13"/>
  <c r="M967" i="13"/>
  <c r="Q967" i="13"/>
  <c r="R967" i="13"/>
  <c r="A968" i="13"/>
  <c r="B968" i="13"/>
  <c r="C968" i="13"/>
  <c r="D968" i="13"/>
  <c r="E968" i="13"/>
  <c r="F968" i="13"/>
  <c r="G968" i="13"/>
  <c r="H968" i="13"/>
  <c r="I968" i="13"/>
  <c r="K968" i="13"/>
  <c r="O968" i="13" s="1"/>
  <c r="L968" i="13"/>
  <c r="M968" i="13"/>
  <c r="Q968" i="13"/>
  <c r="R968" i="13"/>
  <c r="A969" i="13"/>
  <c r="B969" i="13"/>
  <c r="C969" i="13"/>
  <c r="D969" i="13"/>
  <c r="E969" i="13"/>
  <c r="F969" i="13"/>
  <c r="G969" i="13"/>
  <c r="H969" i="13"/>
  <c r="I969" i="13"/>
  <c r="K969" i="13"/>
  <c r="O969" i="13" s="1"/>
  <c r="L969" i="13"/>
  <c r="M969" i="13"/>
  <c r="Q969" i="13"/>
  <c r="R969" i="13"/>
  <c r="A970" i="13"/>
  <c r="B970" i="13"/>
  <c r="C970" i="13"/>
  <c r="D970" i="13"/>
  <c r="E970" i="13"/>
  <c r="F970" i="13"/>
  <c r="G970" i="13"/>
  <c r="H970" i="13"/>
  <c r="I970" i="13"/>
  <c r="K970" i="13"/>
  <c r="O970" i="13" s="1"/>
  <c r="L970" i="13"/>
  <c r="M970" i="13"/>
  <c r="Q970" i="13"/>
  <c r="R970" i="13"/>
  <c r="A971" i="13"/>
  <c r="B971" i="13"/>
  <c r="C971" i="13"/>
  <c r="D971" i="13"/>
  <c r="E971" i="13"/>
  <c r="F971" i="13"/>
  <c r="G971" i="13"/>
  <c r="H971" i="13"/>
  <c r="I971" i="13"/>
  <c r="K971" i="13"/>
  <c r="O971" i="13" s="1"/>
  <c r="L971" i="13"/>
  <c r="M971" i="13"/>
  <c r="Q971" i="13"/>
  <c r="R971" i="13"/>
  <c r="A972" i="13"/>
  <c r="B972" i="13"/>
  <c r="C972" i="13"/>
  <c r="D972" i="13"/>
  <c r="E972" i="13"/>
  <c r="F972" i="13"/>
  <c r="G972" i="13"/>
  <c r="H972" i="13"/>
  <c r="I972" i="13"/>
  <c r="K972" i="13"/>
  <c r="O972" i="13" s="1"/>
  <c r="L972" i="13"/>
  <c r="M972" i="13"/>
  <c r="Q972" i="13"/>
  <c r="R972" i="13"/>
  <c r="A973" i="13"/>
  <c r="B973" i="13"/>
  <c r="C973" i="13"/>
  <c r="D973" i="13"/>
  <c r="E973" i="13"/>
  <c r="F973" i="13"/>
  <c r="G973" i="13"/>
  <c r="H973" i="13"/>
  <c r="I973" i="13"/>
  <c r="K973" i="13"/>
  <c r="O973" i="13" s="1"/>
  <c r="L973" i="13"/>
  <c r="M973" i="13"/>
  <c r="Q973" i="13"/>
  <c r="R973" i="13"/>
  <c r="A974" i="13"/>
  <c r="B974" i="13"/>
  <c r="C974" i="13"/>
  <c r="D974" i="13"/>
  <c r="E974" i="13"/>
  <c r="F974" i="13"/>
  <c r="G974" i="13"/>
  <c r="H974" i="13"/>
  <c r="I974" i="13"/>
  <c r="K974" i="13"/>
  <c r="O974" i="13" s="1"/>
  <c r="L974" i="13"/>
  <c r="M974" i="13"/>
  <c r="Q974" i="13"/>
  <c r="R974" i="13"/>
  <c r="A975" i="13"/>
  <c r="B975" i="13"/>
  <c r="C975" i="13"/>
  <c r="D975" i="13"/>
  <c r="E975" i="13"/>
  <c r="F975" i="13"/>
  <c r="G975" i="13"/>
  <c r="H975" i="13"/>
  <c r="I975" i="13"/>
  <c r="K975" i="13"/>
  <c r="O975" i="13" s="1"/>
  <c r="L975" i="13"/>
  <c r="M975" i="13"/>
  <c r="Q975" i="13"/>
  <c r="R975" i="13"/>
  <c r="A976" i="13"/>
  <c r="B976" i="13"/>
  <c r="C976" i="13"/>
  <c r="D976" i="13"/>
  <c r="E976" i="13"/>
  <c r="F976" i="13"/>
  <c r="G976" i="13"/>
  <c r="H976" i="13"/>
  <c r="I976" i="13"/>
  <c r="K976" i="13"/>
  <c r="O976" i="13" s="1"/>
  <c r="L976" i="13"/>
  <c r="M976" i="13"/>
  <c r="Q976" i="13"/>
  <c r="R976" i="13"/>
  <c r="A977" i="13"/>
  <c r="B977" i="13"/>
  <c r="C977" i="13"/>
  <c r="D977" i="13"/>
  <c r="E977" i="13"/>
  <c r="F977" i="13"/>
  <c r="G977" i="13"/>
  <c r="H977" i="13"/>
  <c r="I977" i="13"/>
  <c r="K977" i="13"/>
  <c r="O977" i="13" s="1"/>
  <c r="L977" i="13"/>
  <c r="M977" i="13"/>
  <c r="Q977" i="13"/>
  <c r="R977" i="13"/>
  <c r="A978" i="13"/>
  <c r="B978" i="13"/>
  <c r="C978" i="13"/>
  <c r="D978" i="13"/>
  <c r="E978" i="13"/>
  <c r="F978" i="13"/>
  <c r="G978" i="13"/>
  <c r="H978" i="13"/>
  <c r="I978" i="13"/>
  <c r="K978" i="13"/>
  <c r="O978" i="13" s="1"/>
  <c r="L978" i="13"/>
  <c r="M978" i="13"/>
  <c r="Q978" i="13"/>
  <c r="R978" i="13"/>
  <c r="A979" i="13"/>
  <c r="B979" i="13"/>
  <c r="C979" i="13"/>
  <c r="D979" i="13"/>
  <c r="E979" i="13"/>
  <c r="F979" i="13"/>
  <c r="G979" i="13"/>
  <c r="H979" i="13"/>
  <c r="I979" i="13"/>
  <c r="K979" i="13"/>
  <c r="O979" i="13" s="1"/>
  <c r="L979" i="13"/>
  <c r="M979" i="13"/>
  <c r="Q979" i="13"/>
  <c r="R979" i="13"/>
  <c r="A980" i="13"/>
  <c r="B980" i="13"/>
  <c r="C980" i="13"/>
  <c r="D980" i="13"/>
  <c r="E980" i="13"/>
  <c r="F980" i="13"/>
  <c r="G980" i="13"/>
  <c r="H980" i="13"/>
  <c r="I980" i="13"/>
  <c r="K980" i="13"/>
  <c r="O980" i="13" s="1"/>
  <c r="L980" i="13"/>
  <c r="M980" i="13"/>
  <c r="Q980" i="13"/>
  <c r="R980" i="13"/>
  <c r="A981" i="13"/>
  <c r="B981" i="13"/>
  <c r="C981" i="13"/>
  <c r="D981" i="13"/>
  <c r="E981" i="13"/>
  <c r="F981" i="13"/>
  <c r="G981" i="13"/>
  <c r="H981" i="13"/>
  <c r="I981" i="13"/>
  <c r="K981" i="13"/>
  <c r="O981" i="13" s="1"/>
  <c r="L981" i="13"/>
  <c r="M981" i="13"/>
  <c r="Q981" i="13"/>
  <c r="R981" i="13"/>
  <c r="A982" i="13"/>
  <c r="B982" i="13"/>
  <c r="C982" i="13"/>
  <c r="D982" i="13"/>
  <c r="E982" i="13"/>
  <c r="F982" i="13"/>
  <c r="G982" i="13"/>
  <c r="H982" i="13"/>
  <c r="I982" i="13"/>
  <c r="K982" i="13"/>
  <c r="O982" i="13" s="1"/>
  <c r="L982" i="13"/>
  <c r="M982" i="13"/>
  <c r="Q982" i="13"/>
  <c r="R982" i="13"/>
  <c r="A983" i="13"/>
  <c r="B983" i="13"/>
  <c r="C983" i="13"/>
  <c r="D983" i="13"/>
  <c r="E983" i="13"/>
  <c r="F983" i="13"/>
  <c r="G983" i="13"/>
  <c r="H983" i="13"/>
  <c r="I983" i="13"/>
  <c r="K983" i="13"/>
  <c r="O983" i="13" s="1"/>
  <c r="L983" i="13"/>
  <c r="M983" i="13"/>
  <c r="Q983" i="13"/>
  <c r="R983" i="13"/>
  <c r="A984" i="13"/>
  <c r="B984" i="13"/>
  <c r="C984" i="13"/>
  <c r="D984" i="13"/>
  <c r="E984" i="13"/>
  <c r="F984" i="13"/>
  <c r="G984" i="13"/>
  <c r="H984" i="13"/>
  <c r="I984" i="13"/>
  <c r="K984" i="13"/>
  <c r="O984" i="13" s="1"/>
  <c r="L984" i="13"/>
  <c r="M984" i="13"/>
  <c r="Q984" i="13"/>
  <c r="R984" i="13"/>
  <c r="A985" i="13"/>
  <c r="B985" i="13"/>
  <c r="C985" i="13"/>
  <c r="D985" i="13"/>
  <c r="E985" i="13"/>
  <c r="F985" i="13"/>
  <c r="G985" i="13"/>
  <c r="H985" i="13"/>
  <c r="I985" i="13"/>
  <c r="K985" i="13"/>
  <c r="O985" i="13" s="1"/>
  <c r="L985" i="13"/>
  <c r="M985" i="13"/>
  <c r="Q985" i="13"/>
  <c r="R985" i="13"/>
  <c r="A986" i="13"/>
  <c r="B986" i="13"/>
  <c r="C986" i="13"/>
  <c r="D986" i="13"/>
  <c r="E986" i="13"/>
  <c r="F986" i="13"/>
  <c r="G986" i="13"/>
  <c r="H986" i="13"/>
  <c r="I986" i="13"/>
  <c r="K986" i="13"/>
  <c r="O986" i="13" s="1"/>
  <c r="L986" i="13"/>
  <c r="M986" i="13"/>
  <c r="Q986" i="13"/>
  <c r="R986" i="13"/>
  <c r="A987" i="13"/>
  <c r="B987" i="13"/>
  <c r="C987" i="13"/>
  <c r="D987" i="13"/>
  <c r="E987" i="13"/>
  <c r="F987" i="13"/>
  <c r="G987" i="13"/>
  <c r="H987" i="13"/>
  <c r="I987" i="13"/>
  <c r="K987" i="13"/>
  <c r="O987" i="13" s="1"/>
  <c r="L987" i="13"/>
  <c r="M987" i="13"/>
  <c r="Q987" i="13"/>
  <c r="R987" i="13"/>
  <c r="J963" i="13"/>
  <c r="A958" i="13"/>
  <c r="B958" i="13"/>
  <c r="C958" i="13"/>
  <c r="D958" i="13"/>
  <c r="E958" i="13"/>
  <c r="F958" i="13"/>
  <c r="G958" i="13"/>
  <c r="H958" i="13"/>
  <c r="I958" i="13"/>
  <c r="K958" i="13"/>
  <c r="O958" i="13" s="1"/>
  <c r="L958" i="13"/>
  <c r="M958" i="13"/>
  <c r="Q958" i="13"/>
  <c r="R958" i="13"/>
  <c r="A959" i="13"/>
  <c r="B959" i="13"/>
  <c r="C959" i="13"/>
  <c r="D959" i="13"/>
  <c r="E959" i="13"/>
  <c r="F959" i="13"/>
  <c r="G959" i="13"/>
  <c r="H959" i="13"/>
  <c r="I959" i="13"/>
  <c r="K959" i="13"/>
  <c r="O959" i="13" s="1"/>
  <c r="L959" i="13"/>
  <c r="M959" i="13"/>
  <c r="Q959" i="13"/>
  <c r="R959" i="13"/>
  <c r="A960" i="13"/>
  <c r="B960" i="13"/>
  <c r="C960" i="13"/>
  <c r="D960" i="13"/>
  <c r="E960" i="13"/>
  <c r="F960" i="13"/>
  <c r="G960" i="13"/>
  <c r="H960" i="13"/>
  <c r="I960" i="13"/>
  <c r="K960" i="13"/>
  <c r="O960" i="13" s="1"/>
  <c r="L960" i="13"/>
  <c r="M960" i="13"/>
  <c r="Q960" i="13"/>
  <c r="R960" i="13"/>
  <c r="A961" i="13"/>
  <c r="B961" i="13"/>
  <c r="C961" i="13"/>
  <c r="D961" i="13"/>
  <c r="E961" i="13"/>
  <c r="F961" i="13"/>
  <c r="G961" i="13"/>
  <c r="H961" i="13"/>
  <c r="I961" i="13"/>
  <c r="K961" i="13"/>
  <c r="O961" i="13" s="1"/>
  <c r="L961" i="13"/>
  <c r="M961" i="13"/>
  <c r="Q961" i="13"/>
  <c r="R961" i="13"/>
  <c r="A962" i="13"/>
  <c r="B962" i="13"/>
  <c r="C962" i="13"/>
  <c r="D962" i="13"/>
  <c r="E962" i="13"/>
  <c r="F962" i="13"/>
  <c r="G962" i="13"/>
  <c r="H962" i="13"/>
  <c r="I962" i="13"/>
  <c r="K962" i="13"/>
  <c r="O962" i="13" s="1"/>
  <c r="L962" i="13"/>
  <c r="M962" i="13"/>
  <c r="Q962" i="13"/>
  <c r="R962" i="13"/>
  <c r="A963" i="13"/>
  <c r="B963" i="13"/>
  <c r="C963" i="13"/>
  <c r="D963" i="13"/>
  <c r="E963" i="13"/>
  <c r="F963" i="13"/>
  <c r="G963" i="13"/>
  <c r="H963" i="13"/>
  <c r="I963" i="13"/>
  <c r="K963" i="13"/>
  <c r="O963" i="13" s="1"/>
  <c r="L963" i="13"/>
  <c r="M963" i="13"/>
  <c r="Q963" i="13"/>
  <c r="R963" i="13"/>
  <c r="N1035" i="13" l="1"/>
  <c r="N1034" i="13"/>
  <c r="J1016" i="13"/>
  <c r="J1008" i="13"/>
  <c r="J1007" i="13"/>
  <c r="J1005" i="13"/>
  <c r="J1013" i="13"/>
  <c r="J1015" i="13"/>
  <c r="J1006" i="13"/>
  <c r="J1012" i="13"/>
  <c r="J1014" i="13"/>
  <c r="J1011" i="13"/>
  <c r="J1018" i="13"/>
  <c r="J1010" i="13"/>
  <c r="J1017" i="13"/>
  <c r="J1009" i="13"/>
  <c r="J1002" i="13"/>
  <c r="J1001" i="13"/>
  <c r="J1000" i="13"/>
  <c r="J1004" i="13"/>
  <c r="J999" i="13"/>
  <c r="J1003" i="13"/>
  <c r="J986" i="13"/>
  <c r="J980" i="13"/>
  <c r="J998" i="13"/>
  <c r="J987" i="13"/>
  <c r="J991" i="13"/>
  <c r="J993" i="13"/>
  <c r="P988" i="13"/>
  <c r="P995" i="13"/>
  <c r="P998" i="13"/>
  <c r="J997" i="13"/>
  <c r="J995" i="13"/>
  <c r="J994" i="13"/>
  <c r="N993" i="13"/>
  <c r="J996" i="13"/>
  <c r="P994" i="13"/>
  <c r="P993" i="13"/>
  <c r="P992" i="13"/>
  <c r="P1004" i="13"/>
  <c r="P1003" i="13"/>
  <c r="P1002" i="13"/>
  <c r="P1001" i="13"/>
  <c r="P1000" i="13"/>
  <c r="P999" i="13"/>
  <c r="P991" i="13"/>
  <c r="J985" i="13"/>
  <c r="P997" i="13"/>
  <c r="P996" i="13"/>
  <c r="P989" i="13"/>
  <c r="N988" i="13"/>
  <c r="P990" i="13"/>
  <c r="J989" i="13"/>
  <c r="N990" i="13"/>
  <c r="J990" i="13"/>
  <c r="J988" i="13"/>
  <c r="N989" i="13"/>
  <c r="J979" i="13"/>
  <c r="N985" i="13"/>
  <c r="J982" i="13"/>
  <c r="J983" i="13"/>
  <c r="J973" i="13"/>
  <c r="J977" i="13"/>
  <c r="J978" i="13"/>
  <c r="J975" i="13"/>
  <c r="J970" i="13"/>
  <c r="N974" i="13"/>
  <c r="P965" i="13"/>
  <c r="N973" i="13"/>
  <c r="N971" i="13"/>
  <c r="N975" i="13"/>
  <c r="J971" i="13"/>
  <c r="N972" i="13"/>
  <c r="P973" i="13"/>
  <c r="J972" i="13"/>
  <c r="N970" i="13"/>
  <c r="J974" i="13"/>
  <c r="P966" i="13"/>
  <c r="J966" i="13"/>
  <c r="P985" i="13"/>
  <c r="P984" i="13"/>
  <c r="P983" i="13"/>
  <c r="P982" i="13"/>
  <c r="P981" i="13"/>
  <c r="P980" i="13"/>
  <c r="P979" i="13"/>
  <c r="P978" i="13"/>
  <c r="P974" i="13"/>
  <c r="P967" i="13"/>
  <c r="P968" i="13"/>
  <c r="P972" i="13"/>
  <c r="P971" i="13"/>
  <c r="P970" i="13"/>
  <c r="P969" i="13"/>
  <c r="J967" i="13"/>
  <c r="P975" i="13"/>
  <c r="P987" i="13"/>
  <c r="P986" i="13"/>
  <c r="P976" i="13"/>
  <c r="P964" i="13"/>
  <c r="P977" i="13"/>
  <c r="N968" i="13"/>
  <c r="N966" i="13"/>
  <c r="J968" i="13"/>
  <c r="N965" i="13"/>
  <c r="N964" i="13"/>
  <c r="J965" i="13"/>
  <c r="J964" i="13"/>
  <c r="N967" i="13"/>
  <c r="P958" i="13"/>
  <c r="P963" i="13"/>
  <c r="P959" i="13"/>
  <c r="P960" i="13"/>
  <c r="P962" i="13"/>
  <c r="P961" i="13"/>
  <c r="J961" i="13"/>
  <c r="N959" i="13"/>
  <c r="N962" i="13"/>
  <c r="J960" i="13"/>
  <c r="N958" i="13"/>
  <c r="N961" i="13"/>
  <c r="J959" i="13"/>
  <c r="J962" i="13"/>
  <c r="N960" i="13"/>
  <c r="J958" i="13"/>
  <c r="N949" i="13"/>
  <c r="N945" i="13"/>
  <c r="N946" i="13"/>
  <c r="N947" i="13"/>
  <c r="J948" i="13"/>
  <c r="N944" i="13"/>
  <c r="J943" i="13"/>
  <c r="N942" i="13"/>
  <c r="N941" i="13"/>
  <c r="N940" i="13"/>
  <c r="J939" i="13"/>
  <c r="J935" i="13"/>
  <c r="N937" i="13"/>
  <c r="J938" i="13"/>
  <c r="J933" i="13"/>
  <c r="A906" i="13"/>
  <c r="B906" i="13"/>
  <c r="C906" i="13"/>
  <c r="D906" i="13"/>
  <c r="E906" i="13"/>
  <c r="F906" i="13"/>
  <c r="G906" i="13"/>
  <c r="H906" i="13"/>
  <c r="I906" i="13"/>
  <c r="K906" i="13"/>
  <c r="O906" i="13" s="1"/>
  <c r="L906" i="13"/>
  <c r="M906" i="13"/>
  <c r="Q906" i="13"/>
  <c r="R906" i="13"/>
  <c r="A907" i="13"/>
  <c r="B907" i="13"/>
  <c r="C907" i="13"/>
  <c r="D907" i="13"/>
  <c r="E907" i="13"/>
  <c r="F907" i="13"/>
  <c r="G907" i="13"/>
  <c r="H907" i="13"/>
  <c r="I907" i="13"/>
  <c r="K907" i="13"/>
  <c r="O907" i="13" s="1"/>
  <c r="L907" i="13"/>
  <c r="M907" i="13"/>
  <c r="Q907" i="13"/>
  <c r="R907" i="13"/>
  <c r="A908" i="13"/>
  <c r="B908" i="13"/>
  <c r="C908" i="13"/>
  <c r="D908" i="13"/>
  <c r="E908" i="13"/>
  <c r="F908" i="13"/>
  <c r="G908" i="13"/>
  <c r="H908" i="13"/>
  <c r="I908" i="13"/>
  <c r="K908" i="13"/>
  <c r="O908" i="13" s="1"/>
  <c r="L908" i="13"/>
  <c r="M908" i="13"/>
  <c r="Q908" i="13"/>
  <c r="R908" i="13"/>
  <c r="A909" i="13"/>
  <c r="B909" i="13"/>
  <c r="C909" i="13"/>
  <c r="D909" i="13"/>
  <c r="E909" i="13"/>
  <c r="F909" i="13"/>
  <c r="G909" i="13"/>
  <c r="H909" i="13"/>
  <c r="I909" i="13"/>
  <c r="K909" i="13"/>
  <c r="O909" i="13" s="1"/>
  <c r="L909" i="13"/>
  <c r="M909" i="13"/>
  <c r="Q909" i="13"/>
  <c r="R909" i="13"/>
  <c r="A910" i="13"/>
  <c r="B910" i="13"/>
  <c r="C910" i="13"/>
  <c r="D910" i="13"/>
  <c r="E910" i="13"/>
  <c r="F910" i="13"/>
  <c r="G910" i="13"/>
  <c r="H910" i="13"/>
  <c r="I910" i="13"/>
  <c r="K910" i="13"/>
  <c r="O910" i="13" s="1"/>
  <c r="L910" i="13"/>
  <c r="M910" i="13"/>
  <c r="Q910" i="13"/>
  <c r="R910" i="13"/>
  <c r="A911" i="13"/>
  <c r="B911" i="13"/>
  <c r="C911" i="13"/>
  <c r="D911" i="13"/>
  <c r="E911" i="13"/>
  <c r="F911" i="13"/>
  <c r="G911" i="13"/>
  <c r="H911" i="13"/>
  <c r="I911" i="13"/>
  <c r="K911" i="13"/>
  <c r="O911" i="13" s="1"/>
  <c r="L911" i="13"/>
  <c r="M911" i="13"/>
  <c r="Q911" i="13"/>
  <c r="R911" i="13"/>
  <c r="A912" i="13"/>
  <c r="B912" i="13"/>
  <c r="C912" i="13"/>
  <c r="D912" i="13"/>
  <c r="E912" i="13"/>
  <c r="F912" i="13"/>
  <c r="G912" i="13"/>
  <c r="H912" i="13"/>
  <c r="I912" i="13"/>
  <c r="K912" i="13"/>
  <c r="O912" i="13" s="1"/>
  <c r="L912" i="13"/>
  <c r="M912" i="13"/>
  <c r="Q912" i="13"/>
  <c r="R912" i="13"/>
  <c r="A913" i="13"/>
  <c r="B913" i="13"/>
  <c r="C913" i="13"/>
  <c r="D913" i="13"/>
  <c r="E913" i="13"/>
  <c r="F913" i="13"/>
  <c r="G913" i="13"/>
  <c r="H913" i="13"/>
  <c r="I913" i="13"/>
  <c r="K913" i="13"/>
  <c r="O913" i="13" s="1"/>
  <c r="L913" i="13"/>
  <c r="M913" i="13"/>
  <c r="Q913" i="13"/>
  <c r="R913" i="13"/>
  <c r="A914" i="13"/>
  <c r="B914" i="13"/>
  <c r="C914" i="13"/>
  <c r="D914" i="13"/>
  <c r="E914" i="13"/>
  <c r="F914" i="13"/>
  <c r="G914" i="13"/>
  <c r="H914" i="13"/>
  <c r="I914" i="13"/>
  <c r="K914" i="13"/>
  <c r="O914" i="13" s="1"/>
  <c r="L914" i="13"/>
  <c r="M914" i="13"/>
  <c r="Q914" i="13"/>
  <c r="R914" i="13"/>
  <c r="A915" i="13"/>
  <c r="B915" i="13"/>
  <c r="C915" i="13"/>
  <c r="D915" i="13"/>
  <c r="E915" i="13"/>
  <c r="F915" i="13"/>
  <c r="G915" i="13"/>
  <c r="H915" i="13"/>
  <c r="I915" i="13"/>
  <c r="K915" i="13"/>
  <c r="O915" i="13" s="1"/>
  <c r="L915" i="13"/>
  <c r="M915" i="13"/>
  <c r="Q915" i="13"/>
  <c r="R915" i="13"/>
  <c r="A916" i="13"/>
  <c r="B916" i="13"/>
  <c r="C916" i="13"/>
  <c r="D916" i="13"/>
  <c r="E916" i="13"/>
  <c r="F916" i="13"/>
  <c r="G916" i="13"/>
  <c r="H916" i="13"/>
  <c r="I916" i="13"/>
  <c r="K916" i="13"/>
  <c r="O916" i="13" s="1"/>
  <c r="L916" i="13"/>
  <c r="M916" i="13"/>
  <c r="Q916" i="13"/>
  <c r="R916" i="13"/>
  <c r="A917" i="13"/>
  <c r="B917" i="13"/>
  <c r="C917" i="13"/>
  <c r="D917" i="13"/>
  <c r="E917" i="13"/>
  <c r="F917" i="13"/>
  <c r="G917" i="13"/>
  <c r="H917" i="13"/>
  <c r="I917" i="13"/>
  <c r="K917" i="13"/>
  <c r="O917" i="13" s="1"/>
  <c r="L917" i="13"/>
  <c r="M917" i="13"/>
  <c r="Q917" i="13"/>
  <c r="R917" i="13"/>
  <c r="A918" i="13"/>
  <c r="B918" i="13"/>
  <c r="C918" i="13"/>
  <c r="D918" i="13"/>
  <c r="E918" i="13"/>
  <c r="F918" i="13"/>
  <c r="G918" i="13"/>
  <c r="H918" i="13"/>
  <c r="I918" i="13"/>
  <c r="K918" i="13"/>
  <c r="O918" i="13" s="1"/>
  <c r="L918" i="13"/>
  <c r="M918" i="13"/>
  <c r="Q918" i="13"/>
  <c r="R918" i="13"/>
  <c r="A919" i="13"/>
  <c r="B919" i="13"/>
  <c r="C919" i="13"/>
  <c r="D919" i="13"/>
  <c r="E919" i="13"/>
  <c r="F919" i="13"/>
  <c r="G919" i="13"/>
  <c r="H919" i="13"/>
  <c r="I919" i="13"/>
  <c r="K919" i="13"/>
  <c r="O919" i="13" s="1"/>
  <c r="L919" i="13"/>
  <c r="M919" i="13"/>
  <c r="Q919" i="13"/>
  <c r="R919" i="13"/>
  <c r="A920" i="13"/>
  <c r="B920" i="13"/>
  <c r="C920" i="13"/>
  <c r="D920" i="13"/>
  <c r="E920" i="13"/>
  <c r="F920" i="13"/>
  <c r="G920" i="13"/>
  <c r="H920" i="13"/>
  <c r="I920" i="13"/>
  <c r="K920" i="13"/>
  <c r="O920" i="13" s="1"/>
  <c r="L920" i="13"/>
  <c r="M920" i="13"/>
  <c r="Q920" i="13"/>
  <c r="R920" i="13"/>
  <c r="A921" i="13"/>
  <c r="B921" i="13"/>
  <c r="C921" i="13"/>
  <c r="D921" i="13"/>
  <c r="E921" i="13"/>
  <c r="F921" i="13"/>
  <c r="G921" i="13"/>
  <c r="H921" i="13"/>
  <c r="I921" i="13"/>
  <c r="K921" i="13"/>
  <c r="O921" i="13" s="1"/>
  <c r="L921" i="13"/>
  <c r="M921" i="13"/>
  <c r="Q921" i="13"/>
  <c r="R921" i="13"/>
  <c r="A922" i="13"/>
  <c r="B922" i="13"/>
  <c r="C922" i="13"/>
  <c r="D922" i="13"/>
  <c r="E922" i="13"/>
  <c r="F922" i="13"/>
  <c r="G922" i="13"/>
  <c r="H922" i="13"/>
  <c r="I922" i="13"/>
  <c r="K922" i="13"/>
  <c r="O922" i="13" s="1"/>
  <c r="L922" i="13"/>
  <c r="M922" i="13"/>
  <c r="Q922" i="13"/>
  <c r="R922" i="13"/>
  <c r="A923" i="13"/>
  <c r="B923" i="13"/>
  <c r="C923" i="13"/>
  <c r="D923" i="13"/>
  <c r="E923" i="13"/>
  <c r="F923" i="13"/>
  <c r="G923" i="13"/>
  <c r="H923" i="13"/>
  <c r="I923" i="13"/>
  <c r="K923" i="13"/>
  <c r="O923" i="13" s="1"/>
  <c r="L923" i="13"/>
  <c r="M923" i="13"/>
  <c r="Q923" i="13"/>
  <c r="R923" i="13"/>
  <c r="A924" i="13"/>
  <c r="B924" i="13"/>
  <c r="C924" i="13"/>
  <c r="D924" i="13"/>
  <c r="E924" i="13"/>
  <c r="F924" i="13"/>
  <c r="G924" i="13"/>
  <c r="H924" i="13"/>
  <c r="I924" i="13"/>
  <c r="K924" i="13"/>
  <c r="O924" i="13" s="1"/>
  <c r="L924" i="13"/>
  <c r="M924" i="13"/>
  <c r="Q924" i="13"/>
  <c r="R924" i="13"/>
  <c r="A925" i="13"/>
  <c r="B925" i="13"/>
  <c r="C925" i="13"/>
  <c r="D925" i="13"/>
  <c r="E925" i="13"/>
  <c r="F925" i="13"/>
  <c r="G925" i="13"/>
  <c r="H925" i="13"/>
  <c r="I925" i="13"/>
  <c r="K925" i="13"/>
  <c r="O925" i="13" s="1"/>
  <c r="L925" i="13"/>
  <c r="M925" i="13"/>
  <c r="Q925" i="13"/>
  <c r="R925" i="13"/>
  <c r="A926" i="13"/>
  <c r="B926" i="13"/>
  <c r="C926" i="13"/>
  <c r="D926" i="13"/>
  <c r="E926" i="13"/>
  <c r="F926" i="13"/>
  <c r="G926" i="13"/>
  <c r="H926" i="13"/>
  <c r="I926" i="13"/>
  <c r="K926" i="13"/>
  <c r="O926" i="13" s="1"/>
  <c r="L926" i="13"/>
  <c r="M926" i="13"/>
  <c r="Q926" i="13"/>
  <c r="R926" i="13"/>
  <c r="A927" i="13"/>
  <c r="B927" i="13"/>
  <c r="C927" i="13"/>
  <c r="D927" i="13"/>
  <c r="E927" i="13"/>
  <c r="F927" i="13"/>
  <c r="G927" i="13"/>
  <c r="H927" i="13"/>
  <c r="I927" i="13"/>
  <c r="K927" i="13"/>
  <c r="O927" i="13" s="1"/>
  <c r="L927" i="13"/>
  <c r="M927" i="13"/>
  <c r="Q927" i="13"/>
  <c r="R927" i="13"/>
  <c r="A928" i="13"/>
  <c r="B928" i="13"/>
  <c r="C928" i="13"/>
  <c r="D928" i="13"/>
  <c r="E928" i="13"/>
  <c r="F928" i="13"/>
  <c r="G928" i="13"/>
  <c r="H928" i="13"/>
  <c r="I928" i="13"/>
  <c r="K928" i="13"/>
  <c r="O928" i="13" s="1"/>
  <c r="L928" i="13"/>
  <c r="M928" i="13"/>
  <c r="Q928" i="13"/>
  <c r="R928" i="13"/>
  <c r="A929" i="13"/>
  <c r="B929" i="13"/>
  <c r="C929" i="13"/>
  <c r="D929" i="13"/>
  <c r="E929" i="13"/>
  <c r="F929" i="13"/>
  <c r="G929" i="13"/>
  <c r="H929" i="13"/>
  <c r="I929" i="13"/>
  <c r="K929" i="13"/>
  <c r="O929" i="13" s="1"/>
  <c r="L929" i="13"/>
  <c r="M929" i="13"/>
  <c r="Q929" i="13"/>
  <c r="R929" i="13"/>
  <c r="A930" i="13"/>
  <c r="B930" i="13"/>
  <c r="C930" i="13"/>
  <c r="D930" i="13"/>
  <c r="E930" i="13"/>
  <c r="F930" i="13"/>
  <c r="G930" i="13"/>
  <c r="H930" i="13"/>
  <c r="I930" i="13"/>
  <c r="K930" i="13"/>
  <c r="O930" i="13" s="1"/>
  <c r="L930" i="13"/>
  <c r="M930" i="13"/>
  <c r="Q930" i="13"/>
  <c r="R930" i="13"/>
  <c r="A931" i="13"/>
  <c r="B931" i="13"/>
  <c r="C931" i="13"/>
  <c r="D931" i="13"/>
  <c r="E931" i="13"/>
  <c r="F931" i="13"/>
  <c r="G931" i="13"/>
  <c r="H931" i="13"/>
  <c r="I931" i="13"/>
  <c r="K931" i="13"/>
  <c r="O931" i="13" s="1"/>
  <c r="L931" i="13"/>
  <c r="M931" i="13"/>
  <c r="Q931" i="13"/>
  <c r="R931" i="13"/>
  <c r="A932" i="13"/>
  <c r="B932" i="13"/>
  <c r="C932" i="13"/>
  <c r="D932" i="13"/>
  <c r="E932" i="13"/>
  <c r="F932" i="13"/>
  <c r="G932" i="13"/>
  <c r="H932" i="13"/>
  <c r="I932" i="13"/>
  <c r="K932" i="13"/>
  <c r="O932" i="13" s="1"/>
  <c r="L932" i="13"/>
  <c r="M932" i="13"/>
  <c r="Q932" i="13"/>
  <c r="R932" i="13"/>
  <c r="A933" i="13"/>
  <c r="B933" i="13"/>
  <c r="C933" i="13"/>
  <c r="D933" i="13"/>
  <c r="E933" i="13"/>
  <c r="F933" i="13"/>
  <c r="G933" i="13"/>
  <c r="H933" i="13"/>
  <c r="I933" i="13"/>
  <c r="K933" i="13"/>
  <c r="O933" i="13" s="1"/>
  <c r="L933" i="13"/>
  <c r="M933" i="13"/>
  <c r="Q933" i="13"/>
  <c r="R933" i="13"/>
  <c r="A934" i="13"/>
  <c r="B934" i="13"/>
  <c r="C934" i="13"/>
  <c r="D934" i="13"/>
  <c r="E934" i="13"/>
  <c r="F934" i="13"/>
  <c r="G934" i="13"/>
  <c r="H934" i="13"/>
  <c r="I934" i="13"/>
  <c r="K934" i="13"/>
  <c r="O934" i="13" s="1"/>
  <c r="L934" i="13"/>
  <c r="M934" i="13"/>
  <c r="Q934" i="13"/>
  <c r="R934" i="13"/>
  <c r="A935" i="13"/>
  <c r="B935" i="13"/>
  <c r="C935" i="13"/>
  <c r="D935" i="13"/>
  <c r="E935" i="13"/>
  <c r="F935" i="13"/>
  <c r="G935" i="13"/>
  <c r="H935" i="13"/>
  <c r="I935" i="13"/>
  <c r="K935" i="13"/>
  <c r="O935" i="13" s="1"/>
  <c r="L935" i="13"/>
  <c r="M935" i="13"/>
  <c r="Q935" i="13"/>
  <c r="R935" i="13"/>
  <c r="A936" i="13"/>
  <c r="B936" i="13"/>
  <c r="C936" i="13"/>
  <c r="D936" i="13"/>
  <c r="E936" i="13"/>
  <c r="F936" i="13"/>
  <c r="G936" i="13"/>
  <c r="H936" i="13"/>
  <c r="I936" i="13"/>
  <c r="K936" i="13"/>
  <c r="O936" i="13" s="1"/>
  <c r="L936" i="13"/>
  <c r="M936" i="13"/>
  <c r="Q936" i="13"/>
  <c r="R936" i="13"/>
  <c r="A937" i="13"/>
  <c r="B937" i="13"/>
  <c r="C937" i="13"/>
  <c r="D937" i="13"/>
  <c r="E937" i="13"/>
  <c r="F937" i="13"/>
  <c r="G937" i="13"/>
  <c r="H937" i="13"/>
  <c r="I937" i="13"/>
  <c r="K937" i="13"/>
  <c r="O937" i="13" s="1"/>
  <c r="L937" i="13"/>
  <c r="M937" i="13"/>
  <c r="Q937" i="13"/>
  <c r="R937" i="13"/>
  <c r="A938" i="13"/>
  <c r="B938" i="13"/>
  <c r="C938" i="13"/>
  <c r="D938" i="13"/>
  <c r="E938" i="13"/>
  <c r="F938" i="13"/>
  <c r="G938" i="13"/>
  <c r="H938" i="13"/>
  <c r="I938" i="13"/>
  <c r="K938" i="13"/>
  <c r="O938" i="13" s="1"/>
  <c r="L938" i="13"/>
  <c r="M938" i="13"/>
  <c r="Q938" i="13"/>
  <c r="R938" i="13"/>
  <c r="A939" i="13"/>
  <c r="B939" i="13"/>
  <c r="C939" i="13"/>
  <c r="D939" i="13"/>
  <c r="E939" i="13"/>
  <c r="F939" i="13"/>
  <c r="G939" i="13"/>
  <c r="H939" i="13"/>
  <c r="I939" i="13"/>
  <c r="K939" i="13"/>
  <c r="O939" i="13" s="1"/>
  <c r="L939" i="13"/>
  <c r="M939" i="13"/>
  <c r="Q939" i="13"/>
  <c r="R939" i="13"/>
  <c r="A940" i="13"/>
  <c r="B940" i="13"/>
  <c r="C940" i="13"/>
  <c r="D940" i="13"/>
  <c r="E940" i="13"/>
  <c r="F940" i="13"/>
  <c r="G940" i="13"/>
  <c r="H940" i="13"/>
  <c r="I940" i="13"/>
  <c r="K940" i="13"/>
  <c r="O940" i="13" s="1"/>
  <c r="L940" i="13"/>
  <c r="M940" i="13"/>
  <c r="Q940" i="13"/>
  <c r="R940" i="13"/>
  <c r="A941" i="13"/>
  <c r="B941" i="13"/>
  <c r="C941" i="13"/>
  <c r="D941" i="13"/>
  <c r="E941" i="13"/>
  <c r="F941" i="13"/>
  <c r="G941" i="13"/>
  <c r="H941" i="13"/>
  <c r="I941" i="13"/>
  <c r="K941" i="13"/>
  <c r="O941" i="13" s="1"/>
  <c r="L941" i="13"/>
  <c r="M941" i="13"/>
  <c r="Q941" i="13"/>
  <c r="R941" i="13"/>
  <c r="A942" i="13"/>
  <c r="B942" i="13"/>
  <c r="C942" i="13"/>
  <c r="D942" i="13"/>
  <c r="E942" i="13"/>
  <c r="F942" i="13"/>
  <c r="G942" i="13"/>
  <c r="H942" i="13"/>
  <c r="I942" i="13"/>
  <c r="K942" i="13"/>
  <c r="O942" i="13" s="1"/>
  <c r="L942" i="13"/>
  <c r="M942" i="13"/>
  <c r="Q942" i="13"/>
  <c r="R942" i="13"/>
  <c r="A943" i="13"/>
  <c r="B943" i="13"/>
  <c r="C943" i="13"/>
  <c r="D943" i="13"/>
  <c r="E943" i="13"/>
  <c r="F943" i="13"/>
  <c r="G943" i="13"/>
  <c r="H943" i="13"/>
  <c r="I943" i="13"/>
  <c r="K943" i="13"/>
  <c r="O943" i="13" s="1"/>
  <c r="L943" i="13"/>
  <c r="M943" i="13"/>
  <c r="Q943" i="13"/>
  <c r="R943" i="13"/>
  <c r="A944" i="13"/>
  <c r="B944" i="13"/>
  <c r="C944" i="13"/>
  <c r="D944" i="13"/>
  <c r="E944" i="13"/>
  <c r="F944" i="13"/>
  <c r="G944" i="13"/>
  <c r="H944" i="13"/>
  <c r="I944" i="13"/>
  <c r="K944" i="13"/>
  <c r="O944" i="13" s="1"/>
  <c r="L944" i="13"/>
  <c r="M944" i="13"/>
  <c r="Q944" i="13"/>
  <c r="R944" i="13"/>
  <c r="A945" i="13"/>
  <c r="B945" i="13"/>
  <c r="C945" i="13"/>
  <c r="D945" i="13"/>
  <c r="E945" i="13"/>
  <c r="F945" i="13"/>
  <c r="G945" i="13"/>
  <c r="H945" i="13"/>
  <c r="I945" i="13"/>
  <c r="K945" i="13"/>
  <c r="O945" i="13" s="1"/>
  <c r="L945" i="13"/>
  <c r="M945" i="13"/>
  <c r="Q945" i="13"/>
  <c r="R945" i="13"/>
  <c r="A946" i="13"/>
  <c r="B946" i="13"/>
  <c r="C946" i="13"/>
  <c r="D946" i="13"/>
  <c r="E946" i="13"/>
  <c r="F946" i="13"/>
  <c r="G946" i="13"/>
  <c r="H946" i="13"/>
  <c r="I946" i="13"/>
  <c r="K946" i="13"/>
  <c r="O946" i="13" s="1"/>
  <c r="L946" i="13"/>
  <c r="M946" i="13"/>
  <c r="Q946" i="13"/>
  <c r="R946" i="13"/>
  <c r="A947" i="13"/>
  <c r="B947" i="13"/>
  <c r="C947" i="13"/>
  <c r="D947" i="13"/>
  <c r="E947" i="13"/>
  <c r="F947" i="13"/>
  <c r="G947" i="13"/>
  <c r="H947" i="13"/>
  <c r="I947" i="13"/>
  <c r="K947" i="13"/>
  <c r="O947" i="13" s="1"/>
  <c r="L947" i="13"/>
  <c r="M947" i="13"/>
  <c r="Q947" i="13"/>
  <c r="R947" i="13"/>
  <c r="A948" i="13"/>
  <c r="B948" i="13"/>
  <c r="C948" i="13"/>
  <c r="D948" i="13"/>
  <c r="E948" i="13"/>
  <c r="F948" i="13"/>
  <c r="G948" i="13"/>
  <c r="H948" i="13"/>
  <c r="I948" i="13"/>
  <c r="K948" i="13"/>
  <c r="O948" i="13" s="1"/>
  <c r="L948" i="13"/>
  <c r="M948" i="13"/>
  <c r="Q948" i="13"/>
  <c r="R948" i="13"/>
  <c r="A949" i="13"/>
  <c r="B949" i="13"/>
  <c r="C949" i="13"/>
  <c r="D949" i="13"/>
  <c r="E949" i="13"/>
  <c r="F949" i="13"/>
  <c r="G949" i="13"/>
  <c r="H949" i="13"/>
  <c r="I949" i="13"/>
  <c r="K949" i="13"/>
  <c r="O949" i="13" s="1"/>
  <c r="L949" i="13"/>
  <c r="M949" i="13"/>
  <c r="Q949" i="13"/>
  <c r="R949" i="13"/>
  <c r="A950" i="13"/>
  <c r="B950" i="13"/>
  <c r="C950" i="13"/>
  <c r="D950" i="13"/>
  <c r="E950" i="13"/>
  <c r="F950" i="13"/>
  <c r="G950" i="13"/>
  <c r="H950" i="13"/>
  <c r="I950" i="13"/>
  <c r="J950" i="13"/>
  <c r="K950" i="13"/>
  <c r="O950" i="13" s="1"/>
  <c r="L950" i="13"/>
  <c r="M950" i="13"/>
  <c r="N950" i="13"/>
  <c r="Q950" i="13"/>
  <c r="R950" i="13"/>
  <c r="A951" i="13"/>
  <c r="B951" i="13"/>
  <c r="C951" i="13"/>
  <c r="D951" i="13"/>
  <c r="E951" i="13"/>
  <c r="F951" i="13"/>
  <c r="G951" i="13"/>
  <c r="H951" i="13"/>
  <c r="I951" i="13"/>
  <c r="J951" i="13"/>
  <c r="K951" i="13"/>
  <c r="O951" i="13" s="1"/>
  <c r="L951" i="13"/>
  <c r="M951" i="13"/>
  <c r="N951" i="13"/>
  <c r="Q951" i="13"/>
  <c r="R951" i="13"/>
  <c r="A952" i="13"/>
  <c r="B952" i="13"/>
  <c r="C952" i="13"/>
  <c r="D952" i="13"/>
  <c r="E952" i="13"/>
  <c r="F952" i="13"/>
  <c r="G952" i="13"/>
  <c r="H952" i="13"/>
  <c r="I952" i="13"/>
  <c r="J952" i="13"/>
  <c r="K952" i="13"/>
  <c r="O952" i="13" s="1"/>
  <c r="L952" i="13"/>
  <c r="M952" i="13"/>
  <c r="N952" i="13"/>
  <c r="Q952" i="13"/>
  <c r="R952" i="13"/>
  <c r="A953" i="13"/>
  <c r="B953" i="13"/>
  <c r="C953" i="13"/>
  <c r="D953" i="13"/>
  <c r="E953" i="13"/>
  <c r="F953" i="13"/>
  <c r="G953" i="13"/>
  <c r="H953" i="13"/>
  <c r="I953" i="13"/>
  <c r="J953" i="13"/>
  <c r="K953" i="13"/>
  <c r="O953" i="13" s="1"/>
  <c r="L953" i="13"/>
  <c r="M953" i="13"/>
  <c r="N953" i="13"/>
  <c r="Q953" i="13"/>
  <c r="R953" i="13"/>
  <c r="A954" i="13"/>
  <c r="B954" i="13"/>
  <c r="C954" i="13"/>
  <c r="D954" i="13"/>
  <c r="E954" i="13"/>
  <c r="F954" i="13"/>
  <c r="G954" i="13"/>
  <c r="H954" i="13"/>
  <c r="I954" i="13"/>
  <c r="J954" i="13"/>
  <c r="K954" i="13"/>
  <c r="O954" i="13" s="1"/>
  <c r="L954" i="13"/>
  <c r="M954" i="13"/>
  <c r="N954" i="13"/>
  <c r="Q954" i="13"/>
  <c r="R954" i="13"/>
  <c r="A955" i="13"/>
  <c r="B955" i="13"/>
  <c r="C955" i="13"/>
  <c r="D955" i="13"/>
  <c r="E955" i="13"/>
  <c r="F955" i="13"/>
  <c r="G955" i="13"/>
  <c r="H955" i="13"/>
  <c r="J955" i="13"/>
  <c r="K955" i="13"/>
  <c r="O955" i="13" s="1"/>
  <c r="L955" i="13"/>
  <c r="M955" i="13"/>
  <c r="N955" i="13"/>
  <c r="Q955" i="13"/>
  <c r="R955" i="13"/>
  <c r="A956" i="13"/>
  <c r="B956" i="13"/>
  <c r="C956" i="13"/>
  <c r="D956" i="13"/>
  <c r="E956" i="13"/>
  <c r="F956" i="13"/>
  <c r="G956" i="13"/>
  <c r="H956" i="13"/>
  <c r="I956" i="13"/>
  <c r="J956" i="13"/>
  <c r="K956" i="13"/>
  <c r="O956" i="13" s="1"/>
  <c r="L956" i="13"/>
  <c r="M956" i="13"/>
  <c r="N956" i="13"/>
  <c r="Q956" i="13"/>
  <c r="R956" i="13"/>
  <c r="A957" i="13"/>
  <c r="B957" i="13"/>
  <c r="C957" i="13"/>
  <c r="D957" i="13"/>
  <c r="E957" i="13"/>
  <c r="F957" i="13"/>
  <c r="G957" i="13"/>
  <c r="H957" i="13"/>
  <c r="I957" i="13"/>
  <c r="J957" i="13"/>
  <c r="K957" i="13"/>
  <c r="O957" i="13" s="1"/>
  <c r="L957" i="13"/>
  <c r="M957" i="13"/>
  <c r="N957" i="13"/>
  <c r="Q957" i="13"/>
  <c r="R957" i="13"/>
  <c r="A875" i="13"/>
  <c r="B875" i="13"/>
  <c r="C875" i="13"/>
  <c r="D875" i="13"/>
  <c r="E875" i="13"/>
  <c r="F875" i="13"/>
  <c r="G875" i="13"/>
  <c r="H875" i="13"/>
  <c r="I875" i="13"/>
  <c r="K875" i="13"/>
  <c r="O875" i="13" s="1"/>
  <c r="L875" i="13"/>
  <c r="M875" i="13"/>
  <c r="Q875" i="13"/>
  <c r="R875" i="13"/>
  <c r="A876" i="13"/>
  <c r="B876" i="13"/>
  <c r="C876" i="13"/>
  <c r="D876" i="13"/>
  <c r="E876" i="13"/>
  <c r="F876" i="13"/>
  <c r="G876" i="13"/>
  <c r="H876" i="13"/>
  <c r="I876" i="13"/>
  <c r="K876" i="13"/>
  <c r="O876" i="13" s="1"/>
  <c r="L876" i="13"/>
  <c r="M876" i="13"/>
  <c r="Q876" i="13"/>
  <c r="R876" i="13"/>
  <c r="A877" i="13"/>
  <c r="B877" i="13"/>
  <c r="C877" i="13"/>
  <c r="D877" i="13"/>
  <c r="E877" i="13"/>
  <c r="F877" i="13"/>
  <c r="G877" i="13"/>
  <c r="H877" i="13"/>
  <c r="I877" i="13"/>
  <c r="K877" i="13"/>
  <c r="O877" i="13" s="1"/>
  <c r="L877" i="13"/>
  <c r="M877" i="13"/>
  <c r="Q877" i="13"/>
  <c r="R877" i="13"/>
  <c r="A878" i="13"/>
  <c r="B878" i="13"/>
  <c r="C878" i="13"/>
  <c r="D878" i="13"/>
  <c r="E878" i="13"/>
  <c r="F878" i="13"/>
  <c r="G878" i="13"/>
  <c r="H878" i="13"/>
  <c r="I878" i="13"/>
  <c r="K878" i="13"/>
  <c r="O878" i="13" s="1"/>
  <c r="L878" i="13"/>
  <c r="M878" i="13"/>
  <c r="Q878" i="13"/>
  <c r="R878" i="13"/>
  <c r="A879" i="13"/>
  <c r="B879" i="13"/>
  <c r="C879" i="13"/>
  <c r="D879" i="13"/>
  <c r="E879" i="13"/>
  <c r="F879" i="13"/>
  <c r="G879" i="13"/>
  <c r="H879" i="13"/>
  <c r="I879" i="13"/>
  <c r="K879" i="13"/>
  <c r="O879" i="13" s="1"/>
  <c r="L879" i="13"/>
  <c r="M879" i="13"/>
  <c r="Q879" i="13"/>
  <c r="R879" i="13"/>
  <c r="A880" i="13"/>
  <c r="B880" i="13"/>
  <c r="C880" i="13"/>
  <c r="D880" i="13"/>
  <c r="E880" i="13"/>
  <c r="F880" i="13"/>
  <c r="G880" i="13"/>
  <c r="H880" i="13"/>
  <c r="I880" i="13"/>
  <c r="K880" i="13"/>
  <c r="O880" i="13" s="1"/>
  <c r="L880" i="13"/>
  <c r="M880" i="13"/>
  <c r="Q880" i="13"/>
  <c r="R880" i="13"/>
  <c r="A881" i="13"/>
  <c r="B881" i="13"/>
  <c r="C881" i="13"/>
  <c r="D881" i="13"/>
  <c r="E881" i="13"/>
  <c r="F881" i="13"/>
  <c r="G881" i="13"/>
  <c r="H881" i="13"/>
  <c r="I881" i="13"/>
  <c r="K881" i="13"/>
  <c r="O881" i="13" s="1"/>
  <c r="L881" i="13"/>
  <c r="M881" i="13"/>
  <c r="Q881" i="13"/>
  <c r="R881" i="13"/>
  <c r="A882" i="13"/>
  <c r="B882" i="13"/>
  <c r="C882" i="13"/>
  <c r="D882" i="13"/>
  <c r="E882" i="13"/>
  <c r="F882" i="13"/>
  <c r="G882" i="13"/>
  <c r="H882" i="13"/>
  <c r="I882" i="13"/>
  <c r="K882" i="13"/>
  <c r="O882" i="13" s="1"/>
  <c r="L882" i="13"/>
  <c r="M882" i="13"/>
  <c r="Q882" i="13"/>
  <c r="R882" i="13"/>
  <c r="A883" i="13"/>
  <c r="B883" i="13"/>
  <c r="C883" i="13"/>
  <c r="D883" i="13"/>
  <c r="E883" i="13"/>
  <c r="F883" i="13"/>
  <c r="G883" i="13"/>
  <c r="H883" i="13"/>
  <c r="I883" i="13"/>
  <c r="K883" i="13"/>
  <c r="O883" i="13" s="1"/>
  <c r="L883" i="13"/>
  <c r="M883" i="13"/>
  <c r="Q883" i="13"/>
  <c r="R883" i="13"/>
  <c r="A884" i="13"/>
  <c r="B884" i="13"/>
  <c r="C884" i="13"/>
  <c r="D884" i="13"/>
  <c r="E884" i="13"/>
  <c r="F884" i="13"/>
  <c r="G884" i="13"/>
  <c r="H884" i="13"/>
  <c r="I884" i="13"/>
  <c r="K884" i="13"/>
  <c r="O884" i="13" s="1"/>
  <c r="L884" i="13"/>
  <c r="M884" i="13"/>
  <c r="Q884" i="13"/>
  <c r="R884" i="13"/>
  <c r="A885" i="13"/>
  <c r="B885" i="13"/>
  <c r="C885" i="13"/>
  <c r="D885" i="13"/>
  <c r="E885" i="13"/>
  <c r="F885" i="13"/>
  <c r="G885" i="13"/>
  <c r="H885" i="13"/>
  <c r="I885" i="13"/>
  <c r="K885" i="13"/>
  <c r="O885" i="13" s="1"/>
  <c r="L885" i="13"/>
  <c r="M885" i="13"/>
  <c r="Q885" i="13"/>
  <c r="R885" i="13"/>
  <c r="A886" i="13"/>
  <c r="B886" i="13"/>
  <c r="C886" i="13"/>
  <c r="D886" i="13"/>
  <c r="E886" i="13"/>
  <c r="F886" i="13"/>
  <c r="G886" i="13"/>
  <c r="H886" i="13"/>
  <c r="I886" i="13"/>
  <c r="K886" i="13"/>
  <c r="O886" i="13" s="1"/>
  <c r="L886" i="13"/>
  <c r="M886" i="13"/>
  <c r="Q886" i="13"/>
  <c r="R886" i="13"/>
  <c r="A887" i="13"/>
  <c r="B887" i="13"/>
  <c r="C887" i="13"/>
  <c r="D887" i="13"/>
  <c r="E887" i="13"/>
  <c r="F887" i="13"/>
  <c r="G887" i="13"/>
  <c r="H887" i="13"/>
  <c r="I887" i="13"/>
  <c r="K887" i="13"/>
  <c r="O887" i="13" s="1"/>
  <c r="L887" i="13"/>
  <c r="M887" i="13"/>
  <c r="Q887" i="13"/>
  <c r="R887" i="13"/>
  <c r="A888" i="13"/>
  <c r="B888" i="13"/>
  <c r="C888" i="13"/>
  <c r="D888" i="13"/>
  <c r="E888" i="13"/>
  <c r="F888" i="13"/>
  <c r="G888" i="13"/>
  <c r="H888" i="13"/>
  <c r="I888" i="13"/>
  <c r="K888" i="13"/>
  <c r="O888" i="13" s="1"/>
  <c r="L888" i="13"/>
  <c r="M888" i="13"/>
  <c r="Q888" i="13"/>
  <c r="R888" i="13"/>
  <c r="A889" i="13"/>
  <c r="B889" i="13"/>
  <c r="C889" i="13"/>
  <c r="D889" i="13"/>
  <c r="E889" i="13"/>
  <c r="F889" i="13"/>
  <c r="G889" i="13"/>
  <c r="H889" i="13"/>
  <c r="I889" i="13"/>
  <c r="K889" i="13"/>
  <c r="O889" i="13" s="1"/>
  <c r="L889" i="13"/>
  <c r="M889" i="13"/>
  <c r="Q889" i="13"/>
  <c r="R889" i="13"/>
  <c r="A890" i="13"/>
  <c r="B890" i="13"/>
  <c r="C890" i="13"/>
  <c r="D890" i="13"/>
  <c r="E890" i="13"/>
  <c r="F890" i="13"/>
  <c r="G890" i="13"/>
  <c r="H890" i="13"/>
  <c r="I890" i="13"/>
  <c r="K890" i="13"/>
  <c r="O890" i="13" s="1"/>
  <c r="L890" i="13"/>
  <c r="M890" i="13"/>
  <c r="Q890" i="13"/>
  <c r="R890" i="13"/>
  <c r="A891" i="13"/>
  <c r="B891" i="13"/>
  <c r="C891" i="13"/>
  <c r="D891" i="13"/>
  <c r="E891" i="13"/>
  <c r="F891" i="13"/>
  <c r="G891" i="13"/>
  <c r="H891" i="13"/>
  <c r="I891" i="13"/>
  <c r="K891" i="13"/>
  <c r="O891" i="13" s="1"/>
  <c r="L891" i="13"/>
  <c r="M891" i="13"/>
  <c r="Q891" i="13"/>
  <c r="R891" i="13"/>
  <c r="A892" i="13"/>
  <c r="B892" i="13"/>
  <c r="C892" i="13"/>
  <c r="D892" i="13"/>
  <c r="E892" i="13"/>
  <c r="F892" i="13"/>
  <c r="G892" i="13"/>
  <c r="H892" i="13"/>
  <c r="I892" i="13"/>
  <c r="K892" i="13"/>
  <c r="O892" i="13" s="1"/>
  <c r="L892" i="13"/>
  <c r="M892" i="13"/>
  <c r="Q892" i="13"/>
  <c r="R892" i="13"/>
  <c r="A893" i="13"/>
  <c r="B893" i="13"/>
  <c r="C893" i="13"/>
  <c r="D893" i="13"/>
  <c r="E893" i="13"/>
  <c r="F893" i="13"/>
  <c r="G893" i="13"/>
  <c r="H893" i="13"/>
  <c r="I893" i="13"/>
  <c r="K893" i="13"/>
  <c r="O893" i="13" s="1"/>
  <c r="L893" i="13"/>
  <c r="M893" i="13"/>
  <c r="Q893" i="13"/>
  <c r="R893" i="13"/>
  <c r="A894" i="13"/>
  <c r="B894" i="13"/>
  <c r="C894" i="13"/>
  <c r="D894" i="13"/>
  <c r="E894" i="13"/>
  <c r="F894" i="13"/>
  <c r="G894" i="13"/>
  <c r="H894" i="13"/>
  <c r="I894" i="13"/>
  <c r="K894" i="13"/>
  <c r="O894" i="13" s="1"/>
  <c r="L894" i="13"/>
  <c r="M894" i="13"/>
  <c r="Q894" i="13"/>
  <c r="R894" i="13"/>
  <c r="A895" i="13"/>
  <c r="B895" i="13"/>
  <c r="C895" i="13"/>
  <c r="D895" i="13"/>
  <c r="E895" i="13"/>
  <c r="F895" i="13"/>
  <c r="G895" i="13"/>
  <c r="H895" i="13"/>
  <c r="I895" i="13"/>
  <c r="K895" i="13"/>
  <c r="O895" i="13" s="1"/>
  <c r="L895" i="13"/>
  <c r="M895" i="13"/>
  <c r="Q895" i="13"/>
  <c r="R895" i="13"/>
  <c r="A896" i="13"/>
  <c r="B896" i="13"/>
  <c r="C896" i="13"/>
  <c r="D896" i="13"/>
  <c r="E896" i="13"/>
  <c r="F896" i="13"/>
  <c r="G896" i="13"/>
  <c r="H896" i="13"/>
  <c r="I896" i="13"/>
  <c r="K896" i="13"/>
  <c r="O896" i="13" s="1"/>
  <c r="L896" i="13"/>
  <c r="M896" i="13"/>
  <c r="Q896" i="13"/>
  <c r="R896" i="13"/>
  <c r="A897" i="13"/>
  <c r="B897" i="13"/>
  <c r="C897" i="13"/>
  <c r="D897" i="13"/>
  <c r="E897" i="13"/>
  <c r="F897" i="13"/>
  <c r="G897" i="13"/>
  <c r="H897" i="13"/>
  <c r="I897" i="13"/>
  <c r="K897" i="13"/>
  <c r="O897" i="13" s="1"/>
  <c r="L897" i="13"/>
  <c r="M897" i="13"/>
  <c r="Q897" i="13"/>
  <c r="R897" i="13"/>
  <c r="A898" i="13"/>
  <c r="B898" i="13"/>
  <c r="C898" i="13"/>
  <c r="D898" i="13"/>
  <c r="E898" i="13"/>
  <c r="F898" i="13"/>
  <c r="G898" i="13"/>
  <c r="H898" i="13"/>
  <c r="I898" i="13"/>
  <c r="K898" i="13"/>
  <c r="O898" i="13" s="1"/>
  <c r="L898" i="13"/>
  <c r="M898" i="13"/>
  <c r="Q898" i="13"/>
  <c r="R898" i="13"/>
  <c r="A899" i="13"/>
  <c r="B899" i="13"/>
  <c r="C899" i="13"/>
  <c r="D899" i="13"/>
  <c r="E899" i="13"/>
  <c r="F899" i="13"/>
  <c r="G899" i="13"/>
  <c r="H899" i="13"/>
  <c r="I899" i="13"/>
  <c r="K899" i="13"/>
  <c r="O899" i="13" s="1"/>
  <c r="L899" i="13"/>
  <c r="M899" i="13"/>
  <c r="Q899" i="13"/>
  <c r="R899" i="13"/>
  <c r="A900" i="13"/>
  <c r="B900" i="13"/>
  <c r="C900" i="13"/>
  <c r="D900" i="13"/>
  <c r="E900" i="13"/>
  <c r="F900" i="13"/>
  <c r="G900" i="13"/>
  <c r="H900" i="13"/>
  <c r="I900" i="13"/>
  <c r="K900" i="13"/>
  <c r="O900" i="13" s="1"/>
  <c r="L900" i="13"/>
  <c r="M900" i="13"/>
  <c r="Q900" i="13"/>
  <c r="R900" i="13"/>
  <c r="A901" i="13"/>
  <c r="B901" i="13"/>
  <c r="C901" i="13"/>
  <c r="D901" i="13"/>
  <c r="E901" i="13"/>
  <c r="F901" i="13"/>
  <c r="G901" i="13"/>
  <c r="H901" i="13"/>
  <c r="I901" i="13"/>
  <c r="K901" i="13"/>
  <c r="O901" i="13" s="1"/>
  <c r="L901" i="13"/>
  <c r="M901" i="13"/>
  <c r="Q901" i="13"/>
  <c r="R901" i="13"/>
  <c r="A902" i="13"/>
  <c r="B902" i="13"/>
  <c r="C902" i="13"/>
  <c r="D902" i="13"/>
  <c r="E902" i="13"/>
  <c r="F902" i="13"/>
  <c r="G902" i="13"/>
  <c r="H902" i="13"/>
  <c r="I902" i="13"/>
  <c r="K902" i="13"/>
  <c r="O902" i="13" s="1"/>
  <c r="L902" i="13"/>
  <c r="M902" i="13"/>
  <c r="Q902" i="13"/>
  <c r="R902" i="13"/>
  <c r="A903" i="13"/>
  <c r="B903" i="13"/>
  <c r="C903" i="13"/>
  <c r="D903" i="13"/>
  <c r="E903" i="13"/>
  <c r="F903" i="13"/>
  <c r="G903" i="13"/>
  <c r="H903" i="13"/>
  <c r="I903" i="13"/>
  <c r="K903" i="13"/>
  <c r="O903" i="13" s="1"/>
  <c r="L903" i="13"/>
  <c r="M903" i="13"/>
  <c r="Q903" i="13"/>
  <c r="R903" i="13"/>
  <c r="A904" i="13"/>
  <c r="B904" i="13"/>
  <c r="C904" i="13"/>
  <c r="D904" i="13"/>
  <c r="E904" i="13"/>
  <c r="F904" i="13"/>
  <c r="G904" i="13"/>
  <c r="H904" i="13"/>
  <c r="I904" i="13"/>
  <c r="K904" i="13"/>
  <c r="O904" i="13" s="1"/>
  <c r="L904" i="13"/>
  <c r="M904" i="13"/>
  <c r="Q904" i="13"/>
  <c r="R904" i="13"/>
  <c r="A905" i="13"/>
  <c r="B905" i="13"/>
  <c r="C905" i="13"/>
  <c r="D905" i="13"/>
  <c r="E905" i="13"/>
  <c r="F905" i="13"/>
  <c r="G905" i="13"/>
  <c r="H905" i="13"/>
  <c r="I905" i="13"/>
  <c r="K905" i="13"/>
  <c r="O905" i="13" s="1"/>
  <c r="L905" i="13"/>
  <c r="M905" i="13"/>
  <c r="Q905" i="13"/>
  <c r="R905" i="13"/>
  <c r="N1010" i="13" l="1"/>
  <c r="N1012" i="13"/>
  <c r="N1005" i="13"/>
  <c r="N1018" i="13"/>
  <c r="N1006" i="13"/>
  <c r="N1007" i="13"/>
  <c r="N1009" i="13"/>
  <c r="N1011" i="13"/>
  <c r="N1015" i="13"/>
  <c r="N1008" i="13"/>
  <c r="N1017" i="13"/>
  <c r="N1014" i="13"/>
  <c r="N1013" i="13"/>
  <c r="N1016" i="13"/>
  <c r="N992" i="13"/>
  <c r="N981" i="13"/>
  <c r="N984" i="13"/>
  <c r="N976" i="13"/>
  <c r="N969" i="13"/>
  <c r="N963" i="13"/>
  <c r="J947" i="13"/>
  <c r="J945" i="13"/>
  <c r="J949" i="13"/>
  <c r="N948" i="13"/>
  <c r="J946" i="13"/>
  <c r="J944" i="13"/>
  <c r="J942" i="13"/>
  <c r="N939" i="13"/>
  <c r="J940" i="13"/>
  <c r="J941" i="13"/>
  <c r="J936" i="13"/>
  <c r="J937" i="13"/>
  <c r="P933" i="13"/>
  <c r="P918" i="13"/>
  <c r="P906" i="13"/>
  <c r="P885" i="13"/>
  <c r="N936" i="13"/>
  <c r="N934" i="13"/>
  <c r="J934" i="13"/>
  <c r="P901" i="13"/>
  <c r="P902" i="13"/>
  <c r="P884" i="13"/>
  <c r="P880" i="13"/>
  <c r="P876" i="13"/>
  <c r="P954" i="13"/>
  <c r="P953" i="13"/>
  <c r="P952" i="13"/>
  <c r="P951" i="13"/>
  <c r="P950" i="13"/>
  <c r="P946" i="13"/>
  <c r="P945" i="13"/>
  <c r="P942" i="13"/>
  <c r="P941" i="13"/>
  <c r="P938" i="13"/>
  <c r="P937" i="13"/>
  <c r="P875" i="13"/>
  <c r="P917" i="13"/>
  <c r="P894" i="13"/>
  <c r="P890" i="13"/>
  <c r="P886" i="13"/>
  <c r="P911" i="13"/>
  <c r="P907" i="13"/>
  <c r="P903" i="13"/>
  <c r="P925" i="13"/>
  <c r="P878" i="13"/>
  <c r="P921" i="13"/>
  <c r="P916" i="13"/>
  <c r="P904" i="13"/>
  <c r="P900" i="13"/>
  <c r="P930" i="13"/>
  <c r="P926" i="13"/>
  <c r="P892" i="13"/>
  <c r="P888" i="13"/>
  <c r="P913" i="13"/>
  <c r="P934" i="13"/>
  <c r="P957" i="13"/>
  <c r="P956" i="13"/>
  <c r="P955" i="13"/>
  <c r="P932" i="13"/>
  <c r="P899" i="13"/>
  <c r="P949" i="13"/>
  <c r="P948" i="13"/>
  <c r="P947" i="13"/>
  <c r="P924" i="13"/>
  <c r="P895" i="13"/>
  <c r="P929" i="13"/>
  <c r="P914" i="13"/>
  <c r="P910" i="13"/>
  <c r="P893" i="13"/>
  <c r="P889" i="13"/>
  <c r="P879" i="13"/>
  <c r="P928" i="13"/>
  <c r="P922" i="13"/>
  <c r="P919" i="13"/>
  <c r="P881" i="13"/>
  <c r="P936" i="13"/>
  <c r="P935" i="13"/>
  <c r="P931" i="13"/>
  <c r="N921" i="13"/>
  <c r="J919" i="13"/>
  <c r="P912" i="13"/>
  <c r="J931" i="13"/>
  <c r="P920" i="13"/>
  <c r="P908" i="13"/>
  <c r="P944" i="13"/>
  <c r="P943" i="13"/>
  <c r="P923" i="13"/>
  <c r="P891" i="13"/>
  <c r="P887" i="13"/>
  <c r="P877" i="13"/>
  <c r="N925" i="13"/>
  <c r="J923" i="13"/>
  <c r="P915" i="13"/>
  <c r="P909" i="13"/>
  <c r="P898" i="13"/>
  <c r="P940" i="13"/>
  <c r="P939" i="13"/>
  <c r="P927" i="13"/>
  <c r="N929" i="13"/>
  <c r="J927" i="13"/>
  <c r="N917" i="13"/>
  <c r="J915" i="13"/>
  <c r="N931" i="13"/>
  <c r="J929" i="13"/>
  <c r="N927" i="13"/>
  <c r="J925" i="13"/>
  <c r="N923" i="13"/>
  <c r="J921" i="13"/>
  <c r="N919" i="13"/>
  <c r="J917" i="13"/>
  <c r="N915" i="13"/>
  <c r="J932" i="13"/>
  <c r="N930" i="13"/>
  <c r="J928" i="13"/>
  <c r="N926" i="13"/>
  <c r="J924" i="13"/>
  <c r="N922" i="13"/>
  <c r="J920" i="13"/>
  <c r="N918" i="13"/>
  <c r="J916" i="13"/>
  <c r="N914" i="13"/>
  <c r="P897" i="13"/>
  <c r="P896" i="13"/>
  <c r="N932" i="13"/>
  <c r="J930" i="13"/>
  <c r="N928" i="13"/>
  <c r="J926" i="13"/>
  <c r="N924" i="13"/>
  <c r="J922" i="13"/>
  <c r="N920" i="13"/>
  <c r="J918" i="13"/>
  <c r="N916" i="13"/>
  <c r="J914" i="13"/>
  <c r="P905" i="13"/>
  <c r="P883" i="13"/>
  <c r="P882" i="13"/>
  <c r="N943" i="13" l="1"/>
  <c r="N938" i="13"/>
  <c r="N935" i="13"/>
  <c r="N933" i="13"/>
  <c r="J908" i="13" l="1"/>
  <c r="J907" i="13" l="1"/>
  <c r="J906" i="13"/>
  <c r="J898" i="13"/>
  <c r="J904" i="13"/>
  <c r="J903" i="13"/>
  <c r="J895" i="13"/>
  <c r="J905" i="13"/>
  <c r="J897" i="13"/>
  <c r="J896" i="13"/>
  <c r="J910" i="13"/>
  <c r="J902" i="13"/>
  <c r="J913" i="13"/>
  <c r="J909" i="13"/>
  <c r="J901" i="13"/>
  <c r="J912" i="13"/>
  <c r="J899" i="13"/>
  <c r="J900" i="13"/>
  <c r="J911" i="13"/>
  <c r="N899" i="13" l="1"/>
  <c r="N913" i="13"/>
  <c r="N897" i="13"/>
  <c r="N904" i="13"/>
  <c r="N912" i="13"/>
  <c r="N902" i="13"/>
  <c r="N905" i="13"/>
  <c r="N898" i="13"/>
  <c r="N908" i="13"/>
  <c r="N911" i="13"/>
  <c r="N901" i="13"/>
  <c r="N910" i="13"/>
  <c r="N895" i="13"/>
  <c r="N906" i="13"/>
  <c r="N900" i="13"/>
  <c r="N909" i="13"/>
  <c r="N896" i="13"/>
  <c r="N903" i="13"/>
  <c r="N907" i="13"/>
  <c r="J846" i="13"/>
  <c r="N847" i="13"/>
  <c r="N848" i="13"/>
  <c r="J854" i="13"/>
  <c r="N855" i="13"/>
  <c r="N856" i="13"/>
  <c r="N860" i="13"/>
  <c r="J862" i="13"/>
  <c r="N868" i="13"/>
  <c r="J869" i="13"/>
  <c r="J870" i="13"/>
  <c r="N871" i="13"/>
  <c r="N872" i="13"/>
  <c r="N874" i="13"/>
  <c r="N800" i="13"/>
  <c r="J801" i="13"/>
  <c r="N802" i="13"/>
  <c r="N805" i="13"/>
  <c r="N806" i="13"/>
  <c r="N807" i="13"/>
  <c r="N808" i="13"/>
  <c r="J809" i="13"/>
  <c r="J810" i="13"/>
  <c r="N811" i="13"/>
  <c r="N813" i="13"/>
  <c r="N814" i="13"/>
  <c r="N815" i="13"/>
  <c r="N816" i="13"/>
  <c r="J817" i="13"/>
  <c r="N818" i="13"/>
  <c r="N821" i="13"/>
  <c r="N822" i="13"/>
  <c r="N823" i="13"/>
  <c r="N824" i="13"/>
  <c r="J825" i="13"/>
  <c r="N826" i="13"/>
  <c r="J827" i="13"/>
  <c r="N829" i="13"/>
  <c r="N830" i="13"/>
  <c r="N831" i="13"/>
  <c r="N832" i="13"/>
  <c r="J833" i="13"/>
  <c r="N834" i="13"/>
  <c r="N837" i="13"/>
  <c r="N838" i="13"/>
  <c r="N839" i="13"/>
  <c r="N840" i="13"/>
  <c r="J841" i="13"/>
  <c r="N842" i="13"/>
  <c r="N843" i="13"/>
  <c r="J844" i="13"/>
  <c r="A750" i="13"/>
  <c r="B750" i="13"/>
  <c r="C750" i="13"/>
  <c r="D750" i="13"/>
  <c r="E750" i="13"/>
  <c r="F750" i="13"/>
  <c r="G750" i="13"/>
  <c r="H750" i="13"/>
  <c r="I750" i="13"/>
  <c r="K750" i="13"/>
  <c r="O750" i="13" s="1"/>
  <c r="L750" i="13"/>
  <c r="M750" i="13"/>
  <c r="Q750" i="13"/>
  <c r="R750" i="13"/>
  <c r="A751" i="13"/>
  <c r="B751" i="13"/>
  <c r="C751" i="13"/>
  <c r="D751" i="13"/>
  <c r="E751" i="13"/>
  <c r="F751" i="13"/>
  <c r="G751" i="13"/>
  <c r="H751" i="13"/>
  <c r="I751" i="13"/>
  <c r="K751" i="13"/>
  <c r="O751" i="13" s="1"/>
  <c r="L751" i="13"/>
  <c r="M751" i="13"/>
  <c r="Q751" i="13"/>
  <c r="R751" i="13"/>
  <c r="A752" i="13"/>
  <c r="B752" i="13"/>
  <c r="C752" i="13"/>
  <c r="D752" i="13"/>
  <c r="E752" i="13"/>
  <c r="F752" i="13"/>
  <c r="G752" i="13"/>
  <c r="H752" i="13"/>
  <c r="I752" i="13"/>
  <c r="K752" i="13"/>
  <c r="O752" i="13" s="1"/>
  <c r="L752" i="13"/>
  <c r="M752" i="13"/>
  <c r="Q752" i="13"/>
  <c r="R752" i="13"/>
  <c r="A753" i="13"/>
  <c r="B753" i="13"/>
  <c r="C753" i="13"/>
  <c r="D753" i="13"/>
  <c r="E753" i="13"/>
  <c r="F753" i="13"/>
  <c r="G753" i="13"/>
  <c r="H753" i="13"/>
  <c r="I753" i="13"/>
  <c r="K753" i="13"/>
  <c r="O753" i="13" s="1"/>
  <c r="L753" i="13"/>
  <c r="M753" i="13"/>
  <c r="Q753" i="13"/>
  <c r="R753" i="13"/>
  <c r="A754" i="13"/>
  <c r="B754" i="13"/>
  <c r="C754" i="13"/>
  <c r="D754" i="13"/>
  <c r="E754" i="13"/>
  <c r="F754" i="13"/>
  <c r="G754" i="13"/>
  <c r="H754" i="13"/>
  <c r="I754" i="13"/>
  <c r="K754" i="13"/>
  <c r="O754" i="13" s="1"/>
  <c r="L754" i="13"/>
  <c r="M754" i="13"/>
  <c r="Q754" i="13"/>
  <c r="R754" i="13"/>
  <c r="A755" i="13"/>
  <c r="B755" i="13"/>
  <c r="C755" i="13"/>
  <c r="D755" i="13"/>
  <c r="E755" i="13"/>
  <c r="F755" i="13"/>
  <c r="G755" i="13"/>
  <c r="H755" i="13"/>
  <c r="I755" i="13"/>
  <c r="K755" i="13"/>
  <c r="O755" i="13" s="1"/>
  <c r="L755" i="13"/>
  <c r="M755" i="13"/>
  <c r="Q755" i="13"/>
  <c r="R755" i="13"/>
  <c r="A756" i="13"/>
  <c r="B756" i="13"/>
  <c r="C756" i="13"/>
  <c r="D756" i="13"/>
  <c r="E756" i="13"/>
  <c r="F756" i="13"/>
  <c r="G756" i="13"/>
  <c r="H756" i="13"/>
  <c r="I756" i="13"/>
  <c r="K756" i="13"/>
  <c r="O756" i="13" s="1"/>
  <c r="L756" i="13"/>
  <c r="M756" i="13"/>
  <c r="Q756" i="13"/>
  <c r="R756" i="13"/>
  <c r="A757" i="13"/>
  <c r="B757" i="13"/>
  <c r="C757" i="13"/>
  <c r="D757" i="13"/>
  <c r="E757" i="13"/>
  <c r="F757" i="13"/>
  <c r="G757" i="13"/>
  <c r="H757" i="13"/>
  <c r="I757" i="13"/>
  <c r="K757" i="13"/>
  <c r="O757" i="13" s="1"/>
  <c r="L757" i="13"/>
  <c r="M757" i="13"/>
  <c r="Q757" i="13"/>
  <c r="R757" i="13"/>
  <c r="A758" i="13"/>
  <c r="B758" i="13"/>
  <c r="C758" i="13"/>
  <c r="D758" i="13"/>
  <c r="E758" i="13"/>
  <c r="F758" i="13"/>
  <c r="G758" i="13"/>
  <c r="H758" i="13"/>
  <c r="I758" i="13"/>
  <c r="K758" i="13"/>
  <c r="O758" i="13" s="1"/>
  <c r="L758" i="13"/>
  <c r="M758" i="13"/>
  <c r="Q758" i="13"/>
  <c r="R758" i="13"/>
  <c r="A759" i="13"/>
  <c r="B759" i="13"/>
  <c r="C759" i="13"/>
  <c r="D759" i="13"/>
  <c r="E759" i="13"/>
  <c r="F759" i="13"/>
  <c r="G759" i="13"/>
  <c r="H759" i="13"/>
  <c r="I759" i="13"/>
  <c r="K759" i="13"/>
  <c r="O759" i="13" s="1"/>
  <c r="L759" i="13"/>
  <c r="M759" i="13"/>
  <c r="Q759" i="13"/>
  <c r="R759" i="13"/>
  <c r="A760" i="13"/>
  <c r="B760" i="13"/>
  <c r="C760" i="13"/>
  <c r="D760" i="13"/>
  <c r="E760" i="13"/>
  <c r="F760" i="13"/>
  <c r="G760" i="13"/>
  <c r="H760" i="13"/>
  <c r="I760" i="13"/>
  <c r="K760" i="13"/>
  <c r="O760" i="13" s="1"/>
  <c r="L760" i="13"/>
  <c r="M760" i="13"/>
  <c r="Q760" i="13"/>
  <c r="R760" i="13"/>
  <c r="A761" i="13"/>
  <c r="B761" i="13"/>
  <c r="C761" i="13"/>
  <c r="D761" i="13"/>
  <c r="E761" i="13"/>
  <c r="F761" i="13"/>
  <c r="G761" i="13"/>
  <c r="H761" i="13"/>
  <c r="I761" i="13"/>
  <c r="K761" i="13"/>
  <c r="O761" i="13" s="1"/>
  <c r="L761" i="13"/>
  <c r="M761" i="13"/>
  <c r="Q761" i="13"/>
  <c r="R761" i="13"/>
  <c r="A762" i="13"/>
  <c r="B762" i="13"/>
  <c r="C762" i="13"/>
  <c r="D762" i="13"/>
  <c r="E762" i="13"/>
  <c r="F762" i="13"/>
  <c r="G762" i="13"/>
  <c r="H762" i="13"/>
  <c r="I762" i="13"/>
  <c r="K762" i="13"/>
  <c r="O762" i="13" s="1"/>
  <c r="L762" i="13"/>
  <c r="M762" i="13"/>
  <c r="Q762" i="13"/>
  <c r="R762" i="13"/>
  <c r="A763" i="13"/>
  <c r="B763" i="13"/>
  <c r="C763" i="13"/>
  <c r="D763" i="13"/>
  <c r="E763" i="13"/>
  <c r="F763" i="13"/>
  <c r="G763" i="13"/>
  <c r="H763" i="13"/>
  <c r="I763" i="13"/>
  <c r="K763" i="13"/>
  <c r="O763" i="13" s="1"/>
  <c r="L763" i="13"/>
  <c r="M763" i="13"/>
  <c r="Q763" i="13"/>
  <c r="R763" i="13"/>
  <c r="A764" i="13"/>
  <c r="B764" i="13"/>
  <c r="C764" i="13"/>
  <c r="D764" i="13"/>
  <c r="E764" i="13"/>
  <c r="F764" i="13"/>
  <c r="G764" i="13"/>
  <c r="H764" i="13"/>
  <c r="I764" i="13"/>
  <c r="K764" i="13"/>
  <c r="O764" i="13" s="1"/>
  <c r="L764" i="13"/>
  <c r="M764" i="13"/>
  <c r="Q764" i="13"/>
  <c r="R764" i="13"/>
  <c r="A765" i="13"/>
  <c r="B765" i="13"/>
  <c r="C765" i="13"/>
  <c r="D765" i="13"/>
  <c r="E765" i="13"/>
  <c r="F765" i="13"/>
  <c r="G765" i="13"/>
  <c r="H765" i="13"/>
  <c r="I765" i="13"/>
  <c r="K765" i="13"/>
  <c r="O765" i="13" s="1"/>
  <c r="L765" i="13"/>
  <c r="M765" i="13"/>
  <c r="Q765" i="13"/>
  <c r="R765" i="13"/>
  <c r="A766" i="13"/>
  <c r="B766" i="13"/>
  <c r="C766" i="13"/>
  <c r="D766" i="13"/>
  <c r="E766" i="13"/>
  <c r="F766" i="13"/>
  <c r="G766" i="13"/>
  <c r="H766" i="13"/>
  <c r="I766" i="13"/>
  <c r="K766" i="13"/>
  <c r="O766" i="13" s="1"/>
  <c r="L766" i="13"/>
  <c r="M766" i="13"/>
  <c r="Q766" i="13"/>
  <c r="R766" i="13"/>
  <c r="A767" i="13"/>
  <c r="B767" i="13"/>
  <c r="C767" i="13"/>
  <c r="D767" i="13"/>
  <c r="E767" i="13"/>
  <c r="F767" i="13"/>
  <c r="G767" i="13"/>
  <c r="H767" i="13"/>
  <c r="I767" i="13"/>
  <c r="K767" i="13"/>
  <c r="O767" i="13" s="1"/>
  <c r="L767" i="13"/>
  <c r="M767" i="13"/>
  <c r="Q767" i="13"/>
  <c r="R767" i="13"/>
  <c r="A768" i="13"/>
  <c r="B768" i="13"/>
  <c r="C768" i="13"/>
  <c r="D768" i="13"/>
  <c r="E768" i="13"/>
  <c r="F768" i="13"/>
  <c r="G768" i="13"/>
  <c r="H768" i="13"/>
  <c r="I768" i="13"/>
  <c r="K768" i="13"/>
  <c r="O768" i="13" s="1"/>
  <c r="L768" i="13"/>
  <c r="M768" i="13"/>
  <c r="Q768" i="13"/>
  <c r="R768" i="13"/>
  <c r="A769" i="13"/>
  <c r="B769" i="13"/>
  <c r="C769" i="13"/>
  <c r="D769" i="13"/>
  <c r="E769" i="13"/>
  <c r="F769" i="13"/>
  <c r="G769" i="13"/>
  <c r="H769" i="13"/>
  <c r="I769" i="13"/>
  <c r="K769" i="13"/>
  <c r="O769" i="13" s="1"/>
  <c r="L769" i="13"/>
  <c r="M769" i="13"/>
  <c r="Q769" i="13"/>
  <c r="R769" i="13"/>
  <c r="A770" i="13"/>
  <c r="B770" i="13"/>
  <c r="C770" i="13"/>
  <c r="D770" i="13"/>
  <c r="E770" i="13"/>
  <c r="F770" i="13"/>
  <c r="G770" i="13"/>
  <c r="H770" i="13"/>
  <c r="I770" i="13"/>
  <c r="K770" i="13"/>
  <c r="O770" i="13" s="1"/>
  <c r="L770" i="13"/>
  <c r="M770" i="13"/>
  <c r="Q770" i="13"/>
  <c r="R770" i="13"/>
  <c r="A771" i="13"/>
  <c r="B771" i="13"/>
  <c r="C771" i="13"/>
  <c r="D771" i="13"/>
  <c r="E771" i="13"/>
  <c r="F771" i="13"/>
  <c r="G771" i="13"/>
  <c r="H771" i="13"/>
  <c r="I771" i="13"/>
  <c r="K771" i="13"/>
  <c r="O771" i="13" s="1"/>
  <c r="L771" i="13"/>
  <c r="M771" i="13"/>
  <c r="Q771" i="13"/>
  <c r="R771" i="13"/>
  <c r="A772" i="13"/>
  <c r="B772" i="13"/>
  <c r="C772" i="13"/>
  <c r="D772" i="13"/>
  <c r="E772" i="13"/>
  <c r="F772" i="13"/>
  <c r="G772" i="13"/>
  <c r="H772" i="13"/>
  <c r="I772" i="13"/>
  <c r="K772" i="13"/>
  <c r="O772" i="13" s="1"/>
  <c r="L772" i="13"/>
  <c r="M772" i="13"/>
  <c r="Q772" i="13"/>
  <c r="R772" i="13"/>
  <c r="A773" i="13"/>
  <c r="B773" i="13"/>
  <c r="C773" i="13"/>
  <c r="D773" i="13"/>
  <c r="E773" i="13"/>
  <c r="F773" i="13"/>
  <c r="G773" i="13"/>
  <c r="H773" i="13"/>
  <c r="I773" i="13"/>
  <c r="K773" i="13"/>
  <c r="O773" i="13" s="1"/>
  <c r="L773" i="13"/>
  <c r="M773" i="13"/>
  <c r="Q773" i="13"/>
  <c r="R773" i="13"/>
  <c r="A774" i="13"/>
  <c r="B774" i="13"/>
  <c r="C774" i="13"/>
  <c r="D774" i="13"/>
  <c r="E774" i="13"/>
  <c r="F774" i="13"/>
  <c r="G774" i="13"/>
  <c r="H774" i="13"/>
  <c r="I774" i="13"/>
  <c r="K774" i="13"/>
  <c r="O774" i="13" s="1"/>
  <c r="L774" i="13"/>
  <c r="M774" i="13"/>
  <c r="Q774" i="13"/>
  <c r="R774" i="13"/>
  <c r="A775" i="13"/>
  <c r="B775" i="13"/>
  <c r="C775" i="13"/>
  <c r="D775" i="13"/>
  <c r="E775" i="13"/>
  <c r="F775" i="13"/>
  <c r="G775" i="13"/>
  <c r="H775" i="13"/>
  <c r="I775" i="13"/>
  <c r="K775" i="13"/>
  <c r="O775" i="13" s="1"/>
  <c r="L775" i="13"/>
  <c r="M775" i="13"/>
  <c r="Q775" i="13"/>
  <c r="R775" i="13"/>
  <c r="A776" i="13"/>
  <c r="B776" i="13"/>
  <c r="C776" i="13"/>
  <c r="D776" i="13"/>
  <c r="E776" i="13"/>
  <c r="F776" i="13"/>
  <c r="G776" i="13"/>
  <c r="H776" i="13"/>
  <c r="I776" i="13"/>
  <c r="K776" i="13"/>
  <c r="O776" i="13" s="1"/>
  <c r="L776" i="13"/>
  <c r="M776" i="13"/>
  <c r="Q776" i="13"/>
  <c r="R776" i="13"/>
  <c r="A777" i="13"/>
  <c r="B777" i="13"/>
  <c r="C777" i="13"/>
  <c r="D777" i="13"/>
  <c r="E777" i="13"/>
  <c r="F777" i="13"/>
  <c r="G777" i="13"/>
  <c r="H777" i="13"/>
  <c r="I777" i="13"/>
  <c r="K777" i="13"/>
  <c r="O777" i="13" s="1"/>
  <c r="L777" i="13"/>
  <c r="M777" i="13"/>
  <c r="Q777" i="13"/>
  <c r="R777" i="13"/>
  <c r="A778" i="13"/>
  <c r="B778" i="13"/>
  <c r="C778" i="13"/>
  <c r="D778" i="13"/>
  <c r="E778" i="13"/>
  <c r="F778" i="13"/>
  <c r="G778" i="13"/>
  <c r="H778" i="13"/>
  <c r="I778" i="13"/>
  <c r="K778" i="13"/>
  <c r="O778" i="13" s="1"/>
  <c r="L778" i="13"/>
  <c r="M778" i="13"/>
  <c r="Q778" i="13"/>
  <c r="R778" i="13"/>
  <c r="A779" i="13"/>
  <c r="B779" i="13"/>
  <c r="C779" i="13"/>
  <c r="D779" i="13"/>
  <c r="E779" i="13"/>
  <c r="F779" i="13"/>
  <c r="G779" i="13"/>
  <c r="H779" i="13"/>
  <c r="I779" i="13"/>
  <c r="K779" i="13"/>
  <c r="O779" i="13" s="1"/>
  <c r="L779" i="13"/>
  <c r="M779" i="13"/>
  <c r="Q779" i="13"/>
  <c r="R779" i="13"/>
  <c r="A780" i="13"/>
  <c r="B780" i="13"/>
  <c r="C780" i="13"/>
  <c r="D780" i="13"/>
  <c r="E780" i="13"/>
  <c r="F780" i="13"/>
  <c r="G780" i="13"/>
  <c r="H780" i="13"/>
  <c r="I780" i="13"/>
  <c r="K780" i="13"/>
  <c r="O780" i="13" s="1"/>
  <c r="L780" i="13"/>
  <c r="M780" i="13"/>
  <c r="Q780" i="13"/>
  <c r="R780" i="13"/>
  <c r="A781" i="13"/>
  <c r="B781" i="13"/>
  <c r="C781" i="13"/>
  <c r="D781" i="13"/>
  <c r="E781" i="13"/>
  <c r="F781" i="13"/>
  <c r="G781" i="13"/>
  <c r="H781" i="13"/>
  <c r="I781" i="13"/>
  <c r="K781" i="13"/>
  <c r="O781" i="13" s="1"/>
  <c r="L781" i="13"/>
  <c r="M781" i="13"/>
  <c r="Q781" i="13"/>
  <c r="R781" i="13"/>
  <c r="A782" i="13"/>
  <c r="B782" i="13"/>
  <c r="C782" i="13"/>
  <c r="D782" i="13"/>
  <c r="E782" i="13"/>
  <c r="F782" i="13"/>
  <c r="G782" i="13"/>
  <c r="H782" i="13"/>
  <c r="I782" i="13"/>
  <c r="K782" i="13"/>
  <c r="O782" i="13" s="1"/>
  <c r="L782" i="13"/>
  <c r="M782" i="13"/>
  <c r="Q782" i="13"/>
  <c r="R782" i="13"/>
  <c r="A783" i="13"/>
  <c r="B783" i="13"/>
  <c r="C783" i="13"/>
  <c r="D783" i="13"/>
  <c r="E783" i="13"/>
  <c r="F783" i="13"/>
  <c r="G783" i="13"/>
  <c r="H783" i="13"/>
  <c r="I783" i="13"/>
  <c r="K783" i="13"/>
  <c r="O783" i="13" s="1"/>
  <c r="L783" i="13"/>
  <c r="M783" i="13"/>
  <c r="Q783" i="13"/>
  <c r="R783" i="13"/>
  <c r="A784" i="13"/>
  <c r="B784" i="13"/>
  <c r="C784" i="13"/>
  <c r="D784" i="13"/>
  <c r="E784" i="13"/>
  <c r="F784" i="13"/>
  <c r="G784" i="13"/>
  <c r="H784" i="13"/>
  <c r="I784" i="13"/>
  <c r="K784" i="13"/>
  <c r="O784" i="13" s="1"/>
  <c r="L784" i="13"/>
  <c r="M784" i="13"/>
  <c r="Q784" i="13"/>
  <c r="R784" i="13"/>
  <c r="A785" i="13"/>
  <c r="B785" i="13"/>
  <c r="C785" i="13"/>
  <c r="D785" i="13"/>
  <c r="E785" i="13"/>
  <c r="F785" i="13"/>
  <c r="G785" i="13"/>
  <c r="H785" i="13"/>
  <c r="I785" i="13"/>
  <c r="K785" i="13"/>
  <c r="O785" i="13" s="1"/>
  <c r="L785" i="13"/>
  <c r="M785" i="13"/>
  <c r="Q785" i="13"/>
  <c r="R785" i="13"/>
  <c r="A786" i="13"/>
  <c r="B786" i="13"/>
  <c r="C786" i="13"/>
  <c r="D786" i="13"/>
  <c r="E786" i="13"/>
  <c r="F786" i="13"/>
  <c r="G786" i="13"/>
  <c r="H786" i="13"/>
  <c r="I786" i="13"/>
  <c r="K786" i="13"/>
  <c r="O786" i="13" s="1"/>
  <c r="L786" i="13"/>
  <c r="M786" i="13"/>
  <c r="Q786" i="13"/>
  <c r="R786" i="13"/>
  <c r="A787" i="13"/>
  <c r="B787" i="13"/>
  <c r="C787" i="13"/>
  <c r="D787" i="13"/>
  <c r="E787" i="13"/>
  <c r="F787" i="13"/>
  <c r="G787" i="13"/>
  <c r="H787" i="13"/>
  <c r="I787" i="13"/>
  <c r="K787" i="13"/>
  <c r="O787" i="13" s="1"/>
  <c r="L787" i="13"/>
  <c r="M787" i="13"/>
  <c r="Q787" i="13"/>
  <c r="R787" i="13"/>
  <c r="A788" i="13"/>
  <c r="B788" i="13"/>
  <c r="C788" i="13"/>
  <c r="D788" i="13"/>
  <c r="E788" i="13"/>
  <c r="F788" i="13"/>
  <c r="G788" i="13"/>
  <c r="H788" i="13"/>
  <c r="I788" i="13"/>
  <c r="K788" i="13"/>
  <c r="O788" i="13" s="1"/>
  <c r="L788" i="13"/>
  <c r="M788" i="13"/>
  <c r="Q788" i="13"/>
  <c r="R788" i="13"/>
  <c r="A789" i="13"/>
  <c r="B789" i="13"/>
  <c r="C789" i="13"/>
  <c r="D789" i="13"/>
  <c r="E789" i="13"/>
  <c r="F789" i="13"/>
  <c r="G789" i="13"/>
  <c r="H789" i="13"/>
  <c r="I789" i="13"/>
  <c r="K789" i="13"/>
  <c r="O789" i="13" s="1"/>
  <c r="L789" i="13"/>
  <c r="M789" i="13"/>
  <c r="Q789" i="13"/>
  <c r="R789" i="13"/>
  <c r="A790" i="13"/>
  <c r="B790" i="13"/>
  <c r="C790" i="13"/>
  <c r="D790" i="13"/>
  <c r="E790" i="13"/>
  <c r="F790" i="13"/>
  <c r="G790" i="13"/>
  <c r="H790" i="13"/>
  <c r="I790" i="13"/>
  <c r="K790" i="13"/>
  <c r="O790" i="13" s="1"/>
  <c r="L790" i="13"/>
  <c r="M790" i="13"/>
  <c r="Q790" i="13"/>
  <c r="R790" i="13"/>
  <c r="A791" i="13"/>
  <c r="B791" i="13"/>
  <c r="C791" i="13"/>
  <c r="D791" i="13"/>
  <c r="E791" i="13"/>
  <c r="F791" i="13"/>
  <c r="G791" i="13"/>
  <c r="H791" i="13"/>
  <c r="I791" i="13"/>
  <c r="K791" i="13"/>
  <c r="O791" i="13" s="1"/>
  <c r="L791" i="13"/>
  <c r="M791" i="13"/>
  <c r="Q791" i="13"/>
  <c r="R791" i="13"/>
  <c r="A792" i="13"/>
  <c r="B792" i="13"/>
  <c r="C792" i="13"/>
  <c r="D792" i="13"/>
  <c r="E792" i="13"/>
  <c r="F792" i="13"/>
  <c r="G792" i="13"/>
  <c r="H792" i="13"/>
  <c r="I792" i="13"/>
  <c r="K792" i="13"/>
  <c r="O792" i="13" s="1"/>
  <c r="L792" i="13"/>
  <c r="M792" i="13"/>
  <c r="Q792" i="13"/>
  <c r="R792" i="13"/>
  <c r="A793" i="13"/>
  <c r="B793" i="13"/>
  <c r="C793" i="13"/>
  <c r="D793" i="13"/>
  <c r="E793" i="13"/>
  <c r="F793" i="13"/>
  <c r="G793" i="13"/>
  <c r="H793" i="13"/>
  <c r="I793" i="13"/>
  <c r="K793" i="13"/>
  <c r="O793" i="13" s="1"/>
  <c r="L793" i="13"/>
  <c r="M793" i="13"/>
  <c r="Q793" i="13"/>
  <c r="R793" i="13"/>
  <c r="A794" i="13"/>
  <c r="B794" i="13"/>
  <c r="C794" i="13"/>
  <c r="D794" i="13"/>
  <c r="E794" i="13"/>
  <c r="F794" i="13"/>
  <c r="G794" i="13"/>
  <c r="H794" i="13"/>
  <c r="I794" i="13"/>
  <c r="K794" i="13"/>
  <c r="O794" i="13" s="1"/>
  <c r="L794" i="13"/>
  <c r="M794" i="13"/>
  <c r="Q794" i="13"/>
  <c r="R794" i="13"/>
  <c r="A795" i="13"/>
  <c r="B795" i="13"/>
  <c r="C795" i="13"/>
  <c r="D795" i="13"/>
  <c r="E795" i="13"/>
  <c r="F795" i="13"/>
  <c r="G795" i="13"/>
  <c r="H795" i="13"/>
  <c r="I795" i="13"/>
  <c r="K795" i="13"/>
  <c r="O795" i="13" s="1"/>
  <c r="L795" i="13"/>
  <c r="M795" i="13"/>
  <c r="Q795" i="13"/>
  <c r="R795" i="13"/>
  <c r="A796" i="13"/>
  <c r="B796" i="13"/>
  <c r="C796" i="13"/>
  <c r="D796" i="13"/>
  <c r="E796" i="13"/>
  <c r="F796" i="13"/>
  <c r="G796" i="13"/>
  <c r="H796" i="13"/>
  <c r="I796" i="13"/>
  <c r="K796" i="13"/>
  <c r="O796" i="13" s="1"/>
  <c r="L796" i="13"/>
  <c r="M796" i="13"/>
  <c r="Q796" i="13"/>
  <c r="R796" i="13"/>
  <c r="A797" i="13"/>
  <c r="B797" i="13"/>
  <c r="C797" i="13"/>
  <c r="D797" i="13"/>
  <c r="E797" i="13"/>
  <c r="F797" i="13"/>
  <c r="G797" i="13"/>
  <c r="H797" i="13"/>
  <c r="I797" i="13"/>
  <c r="K797" i="13"/>
  <c r="O797" i="13" s="1"/>
  <c r="L797" i="13"/>
  <c r="M797" i="13"/>
  <c r="Q797" i="13"/>
  <c r="R797" i="13"/>
  <c r="A798" i="13"/>
  <c r="B798" i="13"/>
  <c r="C798" i="13"/>
  <c r="D798" i="13"/>
  <c r="E798" i="13"/>
  <c r="F798" i="13"/>
  <c r="G798" i="13"/>
  <c r="H798" i="13"/>
  <c r="I798" i="13"/>
  <c r="K798" i="13"/>
  <c r="O798" i="13" s="1"/>
  <c r="L798" i="13"/>
  <c r="M798" i="13"/>
  <c r="Q798" i="13"/>
  <c r="R798" i="13"/>
  <c r="A799" i="13"/>
  <c r="B799" i="13"/>
  <c r="C799" i="13"/>
  <c r="D799" i="13"/>
  <c r="E799" i="13"/>
  <c r="F799" i="13"/>
  <c r="G799" i="13"/>
  <c r="H799" i="13"/>
  <c r="I799" i="13"/>
  <c r="K799" i="13"/>
  <c r="O799" i="13" s="1"/>
  <c r="L799" i="13"/>
  <c r="M799" i="13"/>
  <c r="Q799" i="13"/>
  <c r="R799" i="13"/>
  <c r="A800" i="13"/>
  <c r="B800" i="13"/>
  <c r="C800" i="13"/>
  <c r="D800" i="13"/>
  <c r="E800" i="13"/>
  <c r="F800" i="13"/>
  <c r="G800" i="13"/>
  <c r="H800" i="13"/>
  <c r="I800" i="13"/>
  <c r="K800" i="13"/>
  <c r="O800" i="13" s="1"/>
  <c r="L800" i="13"/>
  <c r="M800" i="13"/>
  <c r="Q800" i="13"/>
  <c r="R800" i="13"/>
  <c r="A801" i="13"/>
  <c r="B801" i="13"/>
  <c r="C801" i="13"/>
  <c r="D801" i="13"/>
  <c r="E801" i="13"/>
  <c r="F801" i="13"/>
  <c r="G801" i="13"/>
  <c r="H801" i="13"/>
  <c r="I801" i="13"/>
  <c r="K801" i="13"/>
  <c r="O801" i="13" s="1"/>
  <c r="L801" i="13"/>
  <c r="M801" i="13"/>
  <c r="Q801" i="13"/>
  <c r="R801" i="13"/>
  <c r="A802" i="13"/>
  <c r="B802" i="13"/>
  <c r="C802" i="13"/>
  <c r="D802" i="13"/>
  <c r="E802" i="13"/>
  <c r="F802" i="13"/>
  <c r="G802" i="13"/>
  <c r="H802" i="13"/>
  <c r="I802" i="13"/>
  <c r="K802" i="13"/>
  <c r="O802" i="13" s="1"/>
  <c r="L802" i="13"/>
  <c r="M802" i="13"/>
  <c r="Q802" i="13"/>
  <c r="R802" i="13"/>
  <c r="A803" i="13"/>
  <c r="B803" i="13"/>
  <c r="C803" i="13"/>
  <c r="D803" i="13"/>
  <c r="E803" i="13"/>
  <c r="F803" i="13"/>
  <c r="G803" i="13"/>
  <c r="H803" i="13"/>
  <c r="I803" i="13"/>
  <c r="K803" i="13"/>
  <c r="O803" i="13" s="1"/>
  <c r="L803" i="13"/>
  <c r="M803" i="13"/>
  <c r="Q803" i="13"/>
  <c r="R803" i="13"/>
  <c r="A804" i="13"/>
  <c r="B804" i="13"/>
  <c r="C804" i="13"/>
  <c r="D804" i="13"/>
  <c r="E804" i="13"/>
  <c r="F804" i="13"/>
  <c r="G804" i="13"/>
  <c r="H804" i="13"/>
  <c r="I804" i="13"/>
  <c r="K804" i="13"/>
  <c r="O804" i="13" s="1"/>
  <c r="L804" i="13"/>
  <c r="M804" i="13"/>
  <c r="Q804" i="13"/>
  <c r="R804" i="13"/>
  <c r="A805" i="13"/>
  <c r="B805" i="13"/>
  <c r="C805" i="13"/>
  <c r="D805" i="13"/>
  <c r="E805" i="13"/>
  <c r="F805" i="13"/>
  <c r="G805" i="13"/>
  <c r="H805" i="13"/>
  <c r="I805" i="13"/>
  <c r="K805" i="13"/>
  <c r="O805" i="13" s="1"/>
  <c r="L805" i="13"/>
  <c r="M805" i="13"/>
  <c r="Q805" i="13"/>
  <c r="R805" i="13"/>
  <c r="A806" i="13"/>
  <c r="B806" i="13"/>
  <c r="C806" i="13"/>
  <c r="D806" i="13"/>
  <c r="E806" i="13"/>
  <c r="F806" i="13"/>
  <c r="G806" i="13"/>
  <c r="H806" i="13"/>
  <c r="I806" i="13"/>
  <c r="K806" i="13"/>
  <c r="O806" i="13" s="1"/>
  <c r="L806" i="13"/>
  <c r="M806" i="13"/>
  <c r="Q806" i="13"/>
  <c r="R806" i="13"/>
  <c r="A807" i="13"/>
  <c r="B807" i="13"/>
  <c r="C807" i="13"/>
  <c r="D807" i="13"/>
  <c r="E807" i="13"/>
  <c r="F807" i="13"/>
  <c r="G807" i="13"/>
  <c r="H807" i="13"/>
  <c r="I807" i="13"/>
  <c r="K807" i="13"/>
  <c r="O807" i="13" s="1"/>
  <c r="L807" i="13"/>
  <c r="M807" i="13"/>
  <c r="Q807" i="13"/>
  <c r="R807" i="13"/>
  <c r="A808" i="13"/>
  <c r="B808" i="13"/>
  <c r="C808" i="13"/>
  <c r="D808" i="13"/>
  <c r="E808" i="13"/>
  <c r="F808" i="13"/>
  <c r="G808" i="13"/>
  <c r="H808" i="13"/>
  <c r="I808" i="13"/>
  <c r="K808" i="13"/>
  <c r="O808" i="13" s="1"/>
  <c r="L808" i="13"/>
  <c r="M808" i="13"/>
  <c r="Q808" i="13"/>
  <c r="R808" i="13"/>
  <c r="A809" i="13"/>
  <c r="B809" i="13"/>
  <c r="C809" i="13"/>
  <c r="D809" i="13"/>
  <c r="E809" i="13"/>
  <c r="F809" i="13"/>
  <c r="G809" i="13"/>
  <c r="H809" i="13"/>
  <c r="I809" i="13"/>
  <c r="K809" i="13"/>
  <c r="O809" i="13" s="1"/>
  <c r="L809" i="13"/>
  <c r="M809" i="13"/>
  <c r="Q809" i="13"/>
  <c r="R809" i="13"/>
  <c r="A810" i="13"/>
  <c r="B810" i="13"/>
  <c r="C810" i="13"/>
  <c r="D810" i="13"/>
  <c r="E810" i="13"/>
  <c r="F810" i="13"/>
  <c r="G810" i="13"/>
  <c r="H810" i="13"/>
  <c r="I810" i="13"/>
  <c r="K810" i="13"/>
  <c r="O810" i="13" s="1"/>
  <c r="L810" i="13"/>
  <c r="M810" i="13"/>
  <c r="Q810" i="13"/>
  <c r="R810" i="13"/>
  <c r="A811" i="13"/>
  <c r="B811" i="13"/>
  <c r="C811" i="13"/>
  <c r="D811" i="13"/>
  <c r="E811" i="13"/>
  <c r="F811" i="13"/>
  <c r="G811" i="13"/>
  <c r="H811" i="13"/>
  <c r="I811" i="13"/>
  <c r="K811" i="13"/>
  <c r="O811" i="13" s="1"/>
  <c r="L811" i="13"/>
  <c r="M811" i="13"/>
  <c r="Q811" i="13"/>
  <c r="R811" i="13"/>
  <c r="A812" i="13"/>
  <c r="B812" i="13"/>
  <c r="C812" i="13"/>
  <c r="D812" i="13"/>
  <c r="E812" i="13"/>
  <c r="F812" i="13"/>
  <c r="G812" i="13"/>
  <c r="H812" i="13"/>
  <c r="I812" i="13"/>
  <c r="K812" i="13"/>
  <c r="O812" i="13" s="1"/>
  <c r="L812" i="13"/>
  <c r="M812" i="13"/>
  <c r="Q812" i="13"/>
  <c r="R812" i="13"/>
  <c r="A813" i="13"/>
  <c r="B813" i="13"/>
  <c r="C813" i="13"/>
  <c r="D813" i="13"/>
  <c r="E813" i="13"/>
  <c r="F813" i="13"/>
  <c r="G813" i="13"/>
  <c r="H813" i="13"/>
  <c r="I813" i="13"/>
  <c r="K813" i="13"/>
  <c r="O813" i="13" s="1"/>
  <c r="L813" i="13"/>
  <c r="M813" i="13"/>
  <c r="Q813" i="13"/>
  <c r="R813" i="13"/>
  <c r="A814" i="13"/>
  <c r="B814" i="13"/>
  <c r="C814" i="13"/>
  <c r="D814" i="13"/>
  <c r="E814" i="13"/>
  <c r="F814" i="13"/>
  <c r="G814" i="13"/>
  <c r="H814" i="13"/>
  <c r="I814" i="13"/>
  <c r="K814" i="13"/>
  <c r="O814" i="13" s="1"/>
  <c r="L814" i="13"/>
  <c r="M814" i="13"/>
  <c r="Q814" i="13"/>
  <c r="R814" i="13"/>
  <c r="A815" i="13"/>
  <c r="B815" i="13"/>
  <c r="C815" i="13"/>
  <c r="D815" i="13"/>
  <c r="E815" i="13"/>
  <c r="F815" i="13"/>
  <c r="G815" i="13"/>
  <c r="H815" i="13"/>
  <c r="I815" i="13"/>
  <c r="K815" i="13"/>
  <c r="O815" i="13" s="1"/>
  <c r="L815" i="13"/>
  <c r="M815" i="13"/>
  <c r="Q815" i="13"/>
  <c r="R815" i="13"/>
  <c r="A816" i="13"/>
  <c r="B816" i="13"/>
  <c r="C816" i="13"/>
  <c r="D816" i="13"/>
  <c r="E816" i="13"/>
  <c r="F816" i="13"/>
  <c r="G816" i="13"/>
  <c r="H816" i="13"/>
  <c r="I816" i="13"/>
  <c r="K816" i="13"/>
  <c r="O816" i="13" s="1"/>
  <c r="L816" i="13"/>
  <c r="M816" i="13"/>
  <c r="Q816" i="13"/>
  <c r="R816" i="13"/>
  <c r="A817" i="13"/>
  <c r="B817" i="13"/>
  <c r="C817" i="13"/>
  <c r="D817" i="13"/>
  <c r="E817" i="13"/>
  <c r="F817" i="13"/>
  <c r="G817" i="13"/>
  <c r="H817" i="13"/>
  <c r="I817" i="13"/>
  <c r="K817" i="13"/>
  <c r="O817" i="13" s="1"/>
  <c r="L817" i="13"/>
  <c r="M817" i="13"/>
  <c r="Q817" i="13"/>
  <c r="R817" i="13"/>
  <c r="A818" i="13"/>
  <c r="B818" i="13"/>
  <c r="C818" i="13"/>
  <c r="D818" i="13"/>
  <c r="E818" i="13"/>
  <c r="F818" i="13"/>
  <c r="G818" i="13"/>
  <c r="H818" i="13"/>
  <c r="I818" i="13"/>
  <c r="K818" i="13"/>
  <c r="O818" i="13" s="1"/>
  <c r="L818" i="13"/>
  <c r="M818" i="13"/>
  <c r="Q818" i="13"/>
  <c r="R818" i="13"/>
  <c r="A819" i="13"/>
  <c r="B819" i="13"/>
  <c r="C819" i="13"/>
  <c r="D819" i="13"/>
  <c r="E819" i="13"/>
  <c r="F819" i="13"/>
  <c r="G819" i="13"/>
  <c r="H819" i="13"/>
  <c r="I819" i="13"/>
  <c r="K819" i="13"/>
  <c r="O819" i="13" s="1"/>
  <c r="L819" i="13"/>
  <c r="M819" i="13"/>
  <c r="Q819" i="13"/>
  <c r="R819" i="13"/>
  <c r="A820" i="13"/>
  <c r="B820" i="13"/>
  <c r="C820" i="13"/>
  <c r="D820" i="13"/>
  <c r="E820" i="13"/>
  <c r="F820" i="13"/>
  <c r="G820" i="13"/>
  <c r="H820" i="13"/>
  <c r="I820" i="13"/>
  <c r="J820" i="13"/>
  <c r="K820" i="13"/>
  <c r="O820" i="13" s="1"/>
  <c r="L820" i="13"/>
  <c r="M820" i="13"/>
  <c r="Q820" i="13"/>
  <c r="R820" i="13"/>
  <c r="A821" i="13"/>
  <c r="B821" i="13"/>
  <c r="C821" i="13"/>
  <c r="D821" i="13"/>
  <c r="E821" i="13"/>
  <c r="F821" i="13"/>
  <c r="G821" i="13"/>
  <c r="H821" i="13"/>
  <c r="I821" i="13"/>
  <c r="K821" i="13"/>
  <c r="O821" i="13" s="1"/>
  <c r="L821" i="13"/>
  <c r="M821" i="13"/>
  <c r="Q821" i="13"/>
  <c r="R821" i="13"/>
  <c r="A822" i="13"/>
  <c r="B822" i="13"/>
  <c r="C822" i="13"/>
  <c r="D822" i="13"/>
  <c r="E822" i="13"/>
  <c r="F822" i="13"/>
  <c r="G822" i="13"/>
  <c r="H822" i="13"/>
  <c r="I822" i="13"/>
  <c r="K822" i="13"/>
  <c r="O822" i="13" s="1"/>
  <c r="L822" i="13"/>
  <c r="M822" i="13"/>
  <c r="Q822" i="13"/>
  <c r="R822" i="13"/>
  <c r="A823" i="13"/>
  <c r="B823" i="13"/>
  <c r="C823" i="13"/>
  <c r="D823" i="13"/>
  <c r="E823" i="13"/>
  <c r="F823" i="13"/>
  <c r="G823" i="13"/>
  <c r="H823" i="13"/>
  <c r="I823" i="13"/>
  <c r="K823" i="13"/>
  <c r="O823" i="13" s="1"/>
  <c r="L823" i="13"/>
  <c r="M823" i="13"/>
  <c r="Q823" i="13"/>
  <c r="R823" i="13"/>
  <c r="A824" i="13"/>
  <c r="B824" i="13"/>
  <c r="C824" i="13"/>
  <c r="D824" i="13"/>
  <c r="E824" i="13"/>
  <c r="F824" i="13"/>
  <c r="G824" i="13"/>
  <c r="H824" i="13"/>
  <c r="I824" i="13"/>
  <c r="K824" i="13"/>
  <c r="O824" i="13" s="1"/>
  <c r="L824" i="13"/>
  <c r="M824" i="13"/>
  <c r="Q824" i="13"/>
  <c r="R824" i="13"/>
  <c r="A825" i="13"/>
  <c r="B825" i="13"/>
  <c r="C825" i="13"/>
  <c r="D825" i="13"/>
  <c r="E825" i="13"/>
  <c r="F825" i="13"/>
  <c r="G825" i="13"/>
  <c r="H825" i="13"/>
  <c r="I825" i="13"/>
  <c r="K825" i="13"/>
  <c r="O825" i="13" s="1"/>
  <c r="L825" i="13"/>
  <c r="M825" i="13"/>
  <c r="Q825" i="13"/>
  <c r="R825" i="13"/>
  <c r="A826" i="13"/>
  <c r="B826" i="13"/>
  <c r="C826" i="13"/>
  <c r="D826" i="13"/>
  <c r="E826" i="13"/>
  <c r="F826" i="13"/>
  <c r="G826" i="13"/>
  <c r="H826" i="13"/>
  <c r="I826" i="13"/>
  <c r="K826" i="13"/>
  <c r="O826" i="13" s="1"/>
  <c r="L826" i="13"/>
  <c r="M826" i="13"/>
  <c r="Q826" i="13"/>
  <c r="R826" i="13"/>
  <c r="A827" i="13"/>
  <c r="B827" i="13"/>
  <c r="C827" i="13"/>
  <c r="D827" i="13"/>
  <c r="E827" i="13"/>
  <c r="F827" i="13"/>
  <c r="G827" i="13"/>
  <c r="H827" i="13"/>
  <c r="I827" i="13"/>
  <c r="K827" i="13"/>
  <c r="O827" i="13" s="1"/>
  <c r="L827" i="13"/>
  <c r="M827" i="13"/>
  <c r="Q827" i="13"/>
  <c r="R827" i="13"/>
  <c r="A828" i="13"/>
  <c r="B828" i="13"/>
  <c r="C828" i="13"/>
  <c r="D828" i="13"/>
  <c r="E828" i="13"/>
  <c r="F828" i="13"/>
  <c r="G828" i="13"/>
  <c r="H828" i="13"/>
  <c r="I828" i="13"/>
  <c r="K828" i="13"/>
  <c r="O828" i="13" s="1"/>
  <c r="L828" i="13"/>
  <c r="M828" i="13"/>
  <c r="Q828" i="13"/>
  <c r="R828" i="13"/>
  <c r="A829" i="13"/>
  <c r="B829" i="13"/>
  <c r="C829" i="13"/>
  <c r="D829" i="13"/>
  <c r="E829" i="13"/>
  <c r="F829" i="13"/>
  <c r="G829" i="13"/>
  <c r="H829" i="13"/>
  <c r="I829" i="13"/>
  <c r="K829" i="13"/>
  <c r="O829" i="13" s="1"/>
  <c r="L829" i="13"/>
  <c r="M829" i="13"/>
  <c r="Q829" i="13"/>
  <c r="R829" i="13"/>
  <c r="A830" i="13"/>
  <c r="B830" i="13"/>
  <c r="C830" i="13"/>
  <c r="D830" i="13"/>
  <c r="E830" i="13"/>
  <c r="F830" i="13"/>
  <c r="G830" i="13"/>
  <c r="H830" i="13"/>
  <c r="I830" i="13"/>
  <c r="K830" i="13"/>
  <c r="O830" i="13" s="1"/>
  <c r="L830" i="13"/>
  <c r="M830" i="13"/>
  <c r="Q830" i="13"/>
  <c r="R830" i="13"/>
  <c r="A831" i="13"/>
  <c r="B831" i="13"/>
  <c r="C831" i="13"/>
  <c r="D831" i="13"/>
  <c r="E831" i="13"/>
  <c r="F831" i="13"/>
  <c r="G831" i="13"/>
  <c r="H831" i="13"/>
  <c r="I831" i="13"/>
  <c r="K831" i="13"/>
  <c r="O831" i="13" s="1"/>
  <c r="L831" i="13"/>
  <c r="M831" i="13"/>
  <c r="Q831" i="13"/>
  <c r="R831" i="13"/>
  <c r="A832" i="13"/>
  <c r="B832" i="13"/>
  <c r="C832" i="13"/>
  <c r="D832" i="13"/>
  <c r="E832" i="13"/>
  <c r="F832" i="13"/>
  <c r="G832" i="13"/>
  <c r="H832" i="13"/>
  <c r="I832" i="13"/>
  <c r="K832" i="13"/>
  <c r="O832" i="13" s="1"/>
  <c r="L832" i="13"/>
  <c r="M832" i="13"/>
  <c r="Q832" i="13"/>
  <c r="R832" i="13"/>
  <c r="A833" i="13"/>
  <c r="B833" i="13"/>
  <c r="C833" i="13"/>
  <c r="D833" i="13"/>
  <c r="E833" i="13"/>
  <c r="F833" i="13"/>
  <c r="G833" i="13"/>
  <c r="H833" i="13"/>
  <c r="I833" i="13"/>
  <c r="K833" i="13"/>
  <c r="O833" i="13" s="1"/>
  <c r="L833" i="13"/>
  <c r="M833" i="13"/>
  <c r="Q833" i="13"/>
  <c r="R833" i="13"/>
  <c r="A834" i="13"/>
  <c r="B834" i="13"/>
  <c r="C834" i="13"/>
  <c r="D834" i="13"/>
  <c r="E834" i="13"/>
  <c r="F834" i="13"/>
  <c r="G834" i="13"/>
  <c r="H834" i="13"/>
  <c r="I834" i="13"/>
  <c r="K834" i="13"/>
  <c r="O834" i="13" s="1"/>
  <c r="L834" i="13"/>
  <c r="M834" i="13"/>
  <c r="Q834" i="13"/>
  <c r="R834" i="13"/>
  <c r="A835" i="13"/>
  <c r="B835" i="13"/>
  <c r="C835" i="13"/>
  <c r="D835" i="13"/>
  <c r="E835" i="13"/>
  <c r="F835" i="13"/>
  <c r="G835" i="13"/>
  <c r="H835" i="13"/>
  <c r="I835" i="13"/>
  <c r="K835" i="13"/>
  <c r="O835" i="13" s="1"/>
  <c r="L835" i="13"/>
  <c r="M835" i="13"/>
  <c r="Q835" i="13"/>
  <c r="R835" i="13"/>
  <c r="A836" i="13"/>
  <c r="B836" i="13"/>
  <c r="C836" i="13"/>
  <c r="D836" i="13"/>
  <c r="E836" i="13"/>
  <c r="F836" i="13"/>
  <c r="G836" i="13"/>
  <c r="H836" i="13"/>
  <c r="I836" i="13"/>
  <c r="K836" i="13"/>
  <c r="O836" i="13" s="1"/>
  <c r="L836" i="13"/>
  <c r="M836" i="13"/>
  <c r="Q836" i="13"/>
  <c r="R836" i="13"/>
  <c r="A837" i="13"/>
  <c r="B837" i="13"/>
  <c r="C837" i="13"/>
  <c r="D837" i="13"/>
  <c r="E837" i="13"/>
  <c r="F837" i="13"/>
  <c r="G837" i="13"/>
  <c r="H837" i="13"/>
  <c r="I837" i="13"/>
  <c r="K837" i="13"/>
  <c r="O837" i="13" s="1"/>
  <c r="L837" i="13"/>
  <c r="M837" i="13"/>
  <c r="Q837" i="13"/>
  <c r="R837" i="13"/>
  <c r="A838" i="13"/>
  <c r="B838" i="13"/>
  <c r="C838" i="13"/>
  <c r="D838" i="13"/>
  <c r="E838" i="13"/>
  <c r="F838" i="13"/>
  <c r="G838" i="13"/>
  <c r="H838" i="13"/>
  <c r="I838" i="13"/>
  <c r="K838" i="13"/>
  <c r="O838" i="13" s="1"/>
  <c r="L838" i="13"/>
  <c r="M838" i="13"/>
  <c r="Q838" i="13"/>
  <c r="R838" i="13"/>
  <c r="A839" i="13"/>
  <c r="B839" i="13"/>
  <c r="C839" i="13"/>
  <c r="D839" i="13"/>
  <c r="E839" i="13"/>
  <c r="F839" i="13"/>
  <c r="G839" i="13"/>
  <c r="H839" i="13"/>
  <c r="I839" i="13"/>
  <c r="K839" i="13"/>
  <c r="O839" i="13" s="1"/>
  <c r="L839" i="13"/>
  <c r="M839" i="13"/>
  <c r="Q839" i="13"/>
  <c r="R839" i="13"/>
  <c r="A840" i="13"/>
  <c r="B840" i="13"/>
  <c r="C840" i="13"/>
  <c r="D840" i="13"/>
  <c r="E840" i="13"/>
  <c r="F840" i="13"/>
  <c r="G840" i="13"/>
  <c r="H840" i="13"/>
  <c r="I840" i="13"/>
  <c r="K840" i="13"/>
  <c r="O840" i="13" s="1"/>
  <c r="L840" i="13"/>
  <c r="M840" i="13"/>
  <c r="Q840" i="13"/>
  <c r="R840" i="13"/>
  <c r="A841" i="13"/>
  <c r="B841" i="13"/>
  <c r="C841" i="13"/>
  <c r="D841" i="13"/>
  <c r="E841" i="13"/>
  <c r="F841" i="13"/>
  <c r="G841" i="13"/>
  <c r="H841" i="13"/>
  <c r="I841" i="13"/>
  <c r="K841" i="13"/>
  <c r="O841" i="13" s="1"/>
  <c r="L841" i="13"/>
  <c r="M841" i="13"/>
  <c r="Q841" i="13"/>
  <c r="R841" i="13"/>
  <c r="A842" i="13"/>
  <c r="B842" i="13"/>
  <c r="C842" i="13"/>
  <c r="D842" i="13"/>
  <c r="E842" i="13"/>
  <c r="F842" i="13"/>
  <c r="G842" i="13"/>
  <c r="H842" i="13"/>
  <c r="I842" i="13"/>
  <c r="K842" i="13"/>
  <c r="O842" i="13" s="1"/>
  <c r="L842" i="13"/>
  <c r="M842" i="13"/>
  <c r="Q842" i="13"/>
  <c r="R842" i="13"/>
  <c r="A843" i="13"/>
  <c r="B843" i="13"/>
  <c r="C843" i="13"/>
  <c r="D843" i="13"/>
  <c r="E843" i="13"/>
  <c r="F843" i="13"/>
  <c r="G843" i="13"/>
  <c r="H843" i="13"/>
  <c r="I843" i="13"/>
  <c r="K843" i="13"/>
  <c r="O843" i="13" s="1"/>
  <c r="L843" i="13"/>
  <c r="M843" i="13"/>
  <c r="Q843" i="13"/>
  <c r="R843" i="13"/>
  <c r="A844" i="13"/>
  <c r="B844" i="13"/>
  <c r="C844" i="13"/>
  <c r="D844" i="13"/>
  <c r="E844" i="13"/>
  <c r="F844" i="13"/>
  <c r="G844" i="13"/>
  <c r="H844" i="13"/>
  <c r="I844" i="13"/>
  <c r="K844" i="13"/>
  <c r="O844" i="13" s="1"/>
  <c r="L844" i="13"/>
  <c r="M844" i="13"/>
  <c r="Q844" i="13"/>
  <c r="R844" i="13"/>
  <c r="A845" i="13"/>
  <c r="B845" i="13"/>
  <c r="C845" i="13"/>
  <c r="D845" i="13"/>
  <c r="E845" i="13"/>
  <c r="F845" i="13"/>
  <c r="G845" i="13"/>
  <c r="H845" i="13"/>
  <c r="I845" i="13"/>
  <c r="K845" i="13"/>
  <c r="O845" i="13" s="1"/>
  <c r="L845" i="13"/>
  <c r="M845" i="13"/>
  <c r="Q845" i="13"/>
  <c r="R845" i="13"/>
  <c r="A846" i="13"/>
  <c r="B846" i="13"/>
  <c r="C846" i="13"/>
  <c r="D846" i="13"/>
  <c r="E846" i="13"/>
  <c r="F846" i="13"/>
  <c r="G846" i="13"/>
  <c r="H846" i="13"/>
  <c r="I846" i="13"/>
  <c r="K846" i="13"/>
  <c r="O846" i="13" s="1"/>
  <c r="L846" i="13"/>
  <c r="M846" i="13"/>
  <c r="Q846" i="13"/>
  <c r="R846" i="13"/>
  <c r="A847" i="13"/>
  <c r="B847" i="13"/>
  <c r="C847" i="13"/>
  <c r="D847" i="13"/>
  <c r="E847" i="13"/>
  <c r="F847" i="13"/>
  <c r="G847" i="13"/>
  <c r="H847" i="13"/>
  <c r="I847" i="13"/>
  <c r="K847" i="13"/>
  <c r="O847" i="13" s="1"/>
  <c r="L847" i="13"/>
  <c r="M847" i="13"/>
  <c r="Q847" i="13"/>
  <c r="R847" i="13"/>
  <c r="A848" i="13"/>
  <c r="B848" i="13"/>
  <c r="C848" i="13"/>
  <c r="D848" i="13"/>
  <c r="E848" i="13"/>
  <c r="F848" i="13"/>
  <c r="G848" i="13"/>
  <c r="H848" i="13"/>
  <c r="I848" i="13"/>
  <c r="K848" i="13"/>
  <c r="O848" i="13" s="1"/>
  <c r="L848" i="13"/>
  <c r="M848" i="13"/>
  <c r="Q848" i="13"/>
  <c r="R848" i="13"/>
  <c r="A849" i="13"/>
  <c r="B849" i="13"/>
  <c r="C849" i="13"/>
  <c r="D849" i="13"/>
  <c r="E849" i="13"/>
  <c r="F849" i="13"/>
  <c r="G849" i="13"/>
  <c r="H849" i="13"/>
  <c r="I849" i="13"/>
  <c r="K849" i="13"/>
  <c r="O849" i="13" s="1"/>
  <c r="L849" i="13"/>
  <c r="M849" i="13"/>
  <c r="Q849" i="13"/>
  <c r="R849" i="13"/>
  <c r="A850" i="13"/>
  <c r="B850" i="13"/>
  <c r="C850" i="13"/>
  <c r="D850" i="13"/>
  <c r="E850" i="13"/>
  <c r="F850" i="13"/>
  <c r="G850" i="13"/>
  <c r="H850" i="13"/>
  <c r="I850" i="13"/>
  <c r="K850" i="13"/>
  <c r="O850" i="13" s="1"/>
  <c r="L850" i="13"/>
  <c r="M850" i="13"/>
  <c r="Q850" i="13"/>
  <c r="R850" i="13"/>
  <c r="A851" i="13"/>
  <c r="B851" i="13"/>
  <c r="C851" i="13"/>
  <c r="D851" i="13"/>
  <c r="E851" i="13"/>
  <c r="F851" i="13"/>
  <c r="G851" i="13"/>
  <c r="H851" i="13"/>
  <c r="I851" i="13"/>
  <c r="K851" i="13"/>
  <c r="O851" i="13" s="1"/>
  <c r="L851" i="13"/>
  <c r="M851" i="13"/>
  <c r="Q851" i="13"/>
  <c r="R851" i="13"/>
  <c r="A852" i="13"/>
  <c r="B852" i="13"/>
  <c r="C852" i="13"/>
  <c r="D852" i="13"/>
  <c r="E852" i="13"/>
  <c r="F852" i="13"/>
  <c r="G852" i="13"/>
  <c r="H852" i="13"/>
  <c r="I852" i="13"/>
  <c r="K852" i="13"/>
  <c r="O852" i="13" s="1"/>
  <c r="L852" i="13"/>
  <c r="M852" i="13"/>
  <c r="Q852" i="13"/>
  <c r="R852" i="13"/>
  <c r="A853" i="13"/>
  <c r="B853" i="13"/>
  <c r="C853" i="13"/>
  <c r="D853" i="13"/>
  <c r="E853" i="13"/>
  <c r="F853" i="13"/>
  <c r="G853" i="13"/>
  <c r="H853" i="13"/>
  <c r="I853" i="13"/>
  <c r="K853" i="13"/>
  <c r="O853" i="13" s="1"/>
  <c r="L853" i="13"/>
  <c r="M853" i="13"/>
  <c r="Q853" i="13"/>
  <c r="R853" i="13"/>
  <c r="A854" i="13"/>
  <c r="B854" i="13"/>
  <c r="C854" i="13"/>
  <c r="D854" i="13"/>
  <c r="E854" i="13"/>
  <c r="F854" i="13"/>
  <c r="G854" i="13"/>
  <c r="H854" i="13"/>
  <c r="I854" i="13"/>
  <c r="K854" i="13"/>
  <c r="O854" i="13" s="1"/>
  <c r="L854" i="13"/>
  <c r="M854" i="13"/>
  <c r="Q854" i="13"/>
  <c r="R854" i="13"/>
  <c r="A855" i="13"/>
  <c r="B855" i="13"/>
  <c r="C855" i="13"/>
  <c r="D855" i="13"/>
  <c r="E855" i="13"/>
  <c r="F855" i="13"/>
  <c r="G855" i="13"/>
  <c r="H855" i="13"/>
  <c r="I855" i="13"/>
  <c r="K855" i="13"/>
  <c r="O855" i="13" s="1"/>
  <c r="L855" i="13"/>
  <c r="M855" i="13"/>
  <c r="Q855" i="13"/>
  <c r="R855" i="13"/>
  <c r="A856" i="13"/>
  <c r="B856" i="13"/>
  <c r="C856" i="13"/>
  <c r="D856" i="13"/>
  <c r="E856" i="13"/>
  <c r="F856" i="13"/>
  <c r="G856" i="13"/>
  <c r="H856" i="13"/>
  <c r="I856" i="13"/>
  <c r="K856" i="13"/>
  <c r="O856" i="13" s="1"/>
  <c r="L856" i="13"/>
  <c r="M856" i="13"/>
  <c r="Q856" i="13"/>
  <c r="R856" i="13"/>
  <c r="A857" i="13"/>
  <c r="B857" i="13"/>
  <c r="C857" i="13"/>
  <c r="D857" i="13"/>
  <c r="E857" i="13"/>
  <c r="F857" i="13"/>
  <c r="G857" i="13"/>
  <c r="H857" i="13"/>
  <c r="I857" i="13"/>
  <c r="K857" i="13"/>
  <c r="O857" i="13" s="1"/>
  <c r="L857" i="13"/>
  <c r="M857" i="13"/>
  <c r="Q857" i="13"/>
  <c r="R857" i="13"/>
  <c r="A858" i="13"/>
  <c r="B858" i="13"/>
  <c r="C858" i="13"/>
  <c r="D858" i="13"/>
  <c r="E858" i="13"/>
  <c r="F858" i="13"/>
  <c r="G858" i="13"/>
  <c r="H858" i="13"/>
  <c r="I858" i="13"/>
  <c r="K858" i="13"/>
  <c r="O858" i="13" s="1"/>
  <c r="L858" i="13"/>
  <c r="M858" i="13"/>
  <c r="Q858" i="13"/>
  <c r="R858" i="13"/>
  <c r="A859" i="13"/>
  <c r="B859" i="13"/>
  <c r="C859" i="13"/>
  <c r="D859" i="13"/>
  <c r="E859" i="13"/>
  <c r="F859" i="13"/>
  <c r="G859" i="13"/>
  <c r="H859" i="13"/>
  <c r="I859" i="13"/>
  <c r="K859" i="13"/>
  <c r="O859" i="13" s="1"/>
  <c r="L859" i="13"/>
  <c r="M859" i="13"/>
  <c r="Q859" i="13"/>
  <c r="R859" i="13"/>
  <c r="A860" i="13"/>
  <c r="B860" i="13"/>
  <c r="C860" i="13"/>
  <c r="D860" i="13"/>
  <c r="E860" i="13"/>
  <c r="F860" i="13"/>
  <c r="G860" i="13"/>
  <c r="H860" i="13"/>
  <c r="I860" i="13"/>
  <c r="K860" i="13"/>
  <c r="O860" i="13" s="1"/>
  <c r="L860" i="13"/>
  <c r="M860" i="13"/>
  <c r="Q860" i="13"/>
  <c r="R860" i="13"/>
  <c r="A861" i="13"/>
  <c r="B861" i="13"/>
  <c r="C861" i="13"/>
  <c r="D861" i="13"/>
  <c r="E861" i="13"/>
  <c r="F861" i="13"/>
  <c r="G861" i="13"/>
  <c r="H861" i="13"/>
  <c r="I861" i="13"/>
  <c r="K861" i="13"/>
  <c r="O861" i="13" s="1"/>
  <c r="L861" i="13"/>
  <c r="M861" i="13"/>
  <c r="Q861" i="13"/>
  <c r="R861" i="13"/>
  <c r="A862" i="13"/>
  <c r="B862" i="13"/>
  <c r="C862" i="13"/>
  <c r="D862" i="13"/>
  <c r="E862" i="13"/>
  <c r="F862" i="13"/>
  <c r="G862" i="13"/>
  <c r="H862" i="13"/>
  <c r="I862" i="13"/>
  <c r="K862" i="13"/>
  <c r="O862" i="13" s="1"/>
  <c r="L862" i="13"/>
  <c r="M862" i="13"/>
  <c r="Q862" i="13"/>
  <c r="R862" i="13"/>
  <c r="A863" i="13"/>
  <c r="B863" i="13"/>
  <c r="C863" i="13"/>
  <c r="D863" i="13"/>
  <c r="E863" i="13"/>
  <c r="F863" i="13"/>
  <c r="G863" i="13"/>
  <c r="H863" i="13"/>
  <c r="I863" i="13"/>
  <c r="K863" i="13"/>
  <c r="O863" i="13" s="1"/>
  <c r="L863" i="13"/>
  <c r="M863" i="13"/>
  <c r="Q863" i="13"/>
  <c r="R863" i="13"/>
  <c r="A864" i="13"/>
  <c r="B864" i="13"/>
  <c r="C864" i="13"/>
  <c r="D864" i="13"/>
  <c r="E864" i="13"/>
  <c r="F864" i="13"/>
  <c r="G864" i="13"/>
  <c r="H864" i="13"/>
  <c r="I864" i="13"/>
  <c r="K864" i="13"/>
  <c r="O864" i="13" s="1"/>
  <c r="L864" i="13"/>
  <c r="M864" i="13"/>
  <c r="Q864" i="13"/>
  <c r="R864" i="13"/>
  <c r="A865" i="13"/>
  <c r="B865" i="13"/>
  <c r="C865" i="13"/>
  <c r="D865" i="13"/>
  <c r="E865" i="13"/>
  <c r="F865" i="13"/>
  <c r="G865" i="13"/>
  <c r="H865" i="13"/>
  <c r="I865" i="13"/>
  <c r="K865" i="13"/>
  <c r="O865" i="13" s="1"/>
  <c r="L865" i="13"/>
  <c r="M865" i="13"/>
  <c r="Q865" i="13"/>
  <c r="R865" i="13"/>
  <c r="A866" i="13"/>
  <c r="B866" i="13"/>
  <c r="C866" i="13"/>
  <c r="D866" i="13"/>
  <c r="E866" i="13"/>
  <c r="F866" i="13"/>
  <c r="G866" i="13"/>
  <c r="H866" i="13"/>
  <c r="I866" i="13"/>
  <c r="K866" i="13"/>
  <c r="O866" i="13" s="1"/>
  <c r="L866" i="13"/>
  <c r="M866" i="13"/>
  <c r="Q866" i="13"/>
  <c r="R866" i="13"/>
  <c r="A867" i="13"/>
  <c r="B867" i="13"/>
  <c r="C867" i="13"/>
  <c r="D867" i="13"/>
  <c r="E867" i="13"/>
  <c r="F867" i="13"/>
  <c r="G867" i="13"/>
  <c r="H867" i="13"/>
  <c r="I867" i="13"/>
  <c r="K867" i="13"/>
  <c r="O867" i="13" s="1"/>
  <c r="L867" i="13"/>
  <c r="M867" i="13"/>
  <c r="Q867" i="13"/>
  <c r="R867" i="13"/>
  <c r="A868" i="13"/>
  <c r="B868" i="13"/>
  <c r="C868" i="13"/>
  <c r="D868" i="13"/>
  <c r="E868" i="13"/>
  <c r="F868" i="13"/>
  <c r="G868" i="13"/>
  <c r="H868" i="13"/>
  <c r="I868" i="13"/>
  <c r="K868" i="13"/>
  <c r="O868" i="13" s="1"/>
  <c r="L868" i="13"/>
  <c r="M868" i="13"/>
  <c r="Q868" i="13"/>
  <c r="R868" i="13"/>
  <c r="A869" i="13"/>
  <c r="B869" i="13"/>
  <c r="C869" i="13"/>
  <c r="D869" i="13"/>
  <c r="E869" i="13"/>
  <c r="F869" i="13"/>
  <c r="G869" i="13"/>
  <c r="H869" i="13"/>
  <c r="I869" i="13"/>
  <c r="K869" i="13"/>
  <c r="O869" i="13" s="1"/>
  <c r="L869" i="13"/>
  <c r="M869" i="13"/>
  <c r="Q869" i="13"/>
  <c r="R869" i="13"/>
  <c r="A870" i="13"/>
  <c r="B870" i="13"/>
  <c r="C870" i="13"/>
  <c r="D870" i="13"/>
  <c r="E870" i="13"/>
  <c r="F870" i="13"/>
  <c r="G870" i="13"/>
  <c r="H870" i="13"/>
  <c r="I870" i="13"/>
  <c r="K870" i="13"/>
  <c r="O870" i="13" s="1"/>
  <c r="L870" i="13"/>
  <c r="M870" i="13"/>
  <c r="Q870" i="13"/>
  <c r="R870" i="13"/>
  <c r="A871" i="13"/>
  <c r="B871" i="13"/>
  <c r="C871" i="13"/>
  <c r="D871" i="13"/>
  <c r="E871" i="13"/>
  <c r="F871" i="13"/>
  <c r="G871" i="13"/>
  <c r="H871" i="13"/>
  <c r="I871" i="13"/>
  <c r="K871" i="13"/>
  <c r="O871" i="13" s="1"/>
  <c r="L871" i="13"/>
  <c r="M871" i="13"/>
  <c r="Q871" i="13"/>
  <c r="R871" i="13"/>
  <c r="A872" i="13"/>
  <c r="B872" i="13"/>
  <c r="C872" i="13"/>
  <c r="D872" i="13"/>
  <c r="E872" i="13"/>
  <c r="F872" i="13"/>
  <c r="G872" i="13"/>
  <c r="H872" i="13"/>
  <c r="I872" i="13"/>
  <c r="K872" i="13"/>
  <c r="O872" i="13" s="1"/>
  <c r="L872" i="13"/>
  <c r="M872" i="13"/>
  <c r="Q872" i="13"/>
  <c r="R872" i="13"/>
  <c r="A873" i="13"/>
  <c r="B873" i="13"/>
  <c r="C873" i="13"/>
  <c r="D873" i="13"/>
  <c r="E873" i="13"/>
  <c r="F873" i="13"/>
  <c r="G873" i="13"/>
  <c r="H873" i="13"/>
  <c r="I873" i="13"/>
  <c r="K873" i="13"/>
  <c r="O873" i="13" s="1"/>
  <c r="L873" i="13"/>
  <c r="M873" i="13"/>
  <c r="Q873" i="13"/>
  <c r="R873" i="13"/>
  <c r="A874" i="13"/>
  <c r="B874" i="13"/>
  <c r="C874" i="13"/>
  <c r="D874" i="13"/>
  <c r="E874" i="13"/>
  <c r="F874" i="13"/>
  <c r="G874" i="13"/>
  <c r="H874" i="13"/>
  <c r="I874" i="13"/>
  <c r="K874" i="13"/>
  <c r="O874" i="13" s="1"/>
  <c r="L874" i="13"/>
  <c r="M874" i="13"/>
  <c r="Q874" i="13"/>
  <c r="R874" i="13"/>
  <c r="A682" i="13"/>
  <c r="B682" i="13"/>
  <c r="C682" i="13"/>
  <c r="D682" i="13"/>
  <c r="E682" i="13"/>
  <c r="F682" i="13"/>
  <c r="G682" i="13"/>
  <c r="H682" i="13"/>
  <c r="I682" i="13"/>
  <c r="K682" i="13"/>
  <c r="O682" i="13" s="1"/>
  <c r="L682" i="13"/>
  <c r="M682" i="13"/>
  <c r="Q682" i="13"/>
  <c r="R682" i="13"/>
  <c r="A683" i="13"/>
  <c r="B683" i="13"/>
  <c r="C683" i="13"/>
  <c r="D683" i="13"/>
  <c r="E683" i="13"/>
  <c r="F683" i="13"/>
  <c r="G683" i="13"/>
  <c r="H683" i="13"/>
  <c r="I683" i="13"/>
  <c r="K683" i="13"/>
  <c r="O683" i="13" s="1"/>
  <c r="L683" i="13"/>
  <c r="M683" i="13"/>
  <c r="Q683" i="13"/>
  <c r="R683" i="13"/>
  <c r="A684" i="13"/>
  <c r="B684" i="13"/>
  <c r="C684" i="13"/>
  <c r="D684" i="13"/>
  <c r="E684" i="13"/>
  <c r="F684" i="13"/>
  <c r="G684" i="13"/>
  <c r="H684" i="13"/>
  <c r="I684" i="13"/>
  <c r="K684" i="13"/>
  <c r="O684" i="13" s="1"/>
  <c r="L684" i="13"/>
  <c r="M684" i="13"/>
  <c r="Q684" i="13"/>
  <c r="R684" i="13"/>
  <c r="A685" i="13"/>
  <c r="B685" i="13"/>
  <c r="C685" i="13"/>
  <c r="D685" i="13"/>
  <c r="E685" i="13"/>
  <c r="F685" i="13"/>
  <c r="G685" i="13"/>
  <c r="H685" i="13"/>
  <c r="I685" i="13"/>
  <c r="K685" i="13"/>
  <c r="O685" i="13" s="1"/>
  <c r="L685" i="13"/>
  <c r="M685" i="13"/>
  <c r="Q685" i="13"/>
  <c r="R685" i="13"/>
  <c r="A686" i="13"/>
  <c r="B686" i="13"/>
  <c r="C686" i="13"/>
  <c r="D686" i="13"/>
  <c r="E686" i="13"/>
  <c r="F686" i="13"/>
  <c r="G686" i="13"/>
  <c r="H686" i="13"/>
  <c r="I686" i="13"/>
  <c r="K686" i="13"/>
  <c r="O686" i="13" s="1"/>
  <c r="L686" i="13"/>
  <c r="M686" i="13"/>
  <c r="Q686" i="13"/>
  <c r="R686" i="13"/>
  <c r="A687" i="13"/>
  <c r="B687" i="13"/>
  <c r="C687" i="13"/>
  <c r="D687" i="13"/>
  <c r="E687" i="13"/>
  <c r="F687" i="13"/>
  <c r="G687" i="13"/>
  <c r="H687" i="13"/>
  <c r="I687" i="13"/>
  <c r="K687" i="13"/>
  <c r="O687" i="13" s="1"/>
  <c r="L687" i="13"/>
  <c r="M687" i="13"/>
  <c r="Q687" i="13"/>
  <c r="R687" i="13"/>
  <c r="A688" i="13"/>
  <c r="B688" i="13"/>
  <c r="C688" i="13"/>
  <c r="D688" i="13"/>
  <c r="E688" i="13"/>
  <c r="F688" i="13"/>
  <c r="G688" i="13"/>
  <c r="H688" i="13"/>
  <c r="I688" i="13"/>
  <c r="K688" i="13"/>
  <c r="O688" i="13" s="1"/>
  <c r="L688" i="13"/>
  <c r="M688" i="13"/>
  <c r="Q688" i="13"/>
  <c r="R688" i="13"/>
  <c r="A689" i="13"/>
  <c r="B689" i="13"/>
  <c r="C689" i="13"/>
  <c r="D689" i="13"/>
  <c r="E689" i="13"/>
  <c r="F689" i="13"/>
  <c r="G689" i="13"/>
  <c r="H689" i="13"/>
  <c r="I689" i="13"/>
  <c r="K689" i="13"/>
  <c r="O689" i="13" s="1"/>
  <c r="L689" i="13"/>
  <c r="M689" i="13"/>
  <c r="Q689" i="13"/>
  <c r="R689" i="13"/>
  <c r="A690" i="13"/>
  <c r="B690" i="13"/>
  <c r="C690" i="13"/>
  <c r="D690" i="13"/>
  <c r="E690" i="13"/>
  <c r="F690" i="13"/>
  <c r="G690" i="13"/>
  <c r="H690" i="13"/>
  <c r="I690" i="13"/>
  <c r="K690" i="13"/>
  <c r="O690" i="13" s="1"/>
  <c r="L690" i="13"/>
  <c r="M690" i="13"/>
  <c r="Q690" i="13"/>
  <c r="R690" i="13"/>
  <c r="A691" i="13"/>
  <c r="B691" i="13"/>
  <c r="C691" i="13"/>
  <c r="D691" i="13"/>
  <c r="E691" i="13"/>
  <c r="F691" i="13"/>
  <c r="G691" i="13"/>
  <c r="H691" i="13"/>
  <c r="I691" i="13"/>
  <c r="K691" i="13"/>
  <c r="O691" i="13" s="1"/>
  <c r="L691" i="13"/>
  <c r="M691" i="13"/>
  <c r="Q691" i="13"/>
  <c r="R691" i="13"/>
  <c r="A692" i="13"/>
  <c r="B692" i="13"/>
  <c r="C692" i="13"/>
  <c r="D692" i="13"/>
  <c r="E692" i="13"/>
  <c r="F692" i="13"/>
  <c r="G692" i="13"/>
  <c r="H692" i="13"/>
  <c r="I692" i="13"/>
  <c r="K692" i="13"/>
  <c r="O692" i="13" s="1"/>
  <c r="L692" i="13"/>
  <c r="M692" i="13"/>
  <c r="Q692" i="13"/>
  <c r="R692" i="13"/>
  <c r="A693" i="13"/>
  <c r="B693" i="13"/>
  <c r="C693" i="13"/>
  <c r="D693" i="13"/>
  <c r="E693" i="13"/>
  <c r="F693" i="13"/>
  <c r="G693" i="13"/>
  <c r="H693" i="13"/>
  <c r="I693" i="13"/>
  <c r="K693" i="13"/>
  <c r="O693" i="13" s="1"/>
  <c r="L693" i="13"/>
  <c r="M693" i="13"/>
  <c r="Q693" i="13"/>
  <c r="R693" i="13"/>
  <c r="A694" i="13"/>
  <c r="B694" i="13"/>
  <c r="C694" i="13"/>
  <c r="D694" i="13"/>
  <c r="E694" i="13"/>
  <c r="F694" i="13"/>
  <c r="G694" i="13"/>
  <c r="H694" i="13"/>
  <c r="I694" i="13"/>
  <c r="K694" i="13"/>
  <c r="O694" i="13" s="1"/>
  <c r="L694" i="13"/>
  <c r="M694" i="13"/>
  <c r="Q694" i="13"/>
  <c r="R694" i="13"/>
  <c r="A695" i="13"/>
  <c r="B695" i="13"/>
  <c r="C695" i="13"/>
  <c r="D695" i="13"/>
  <c r="E695" i="13"/>
  <c r="F695" i="13"/>
  <c r="G695" i="13"/>
  <c r="H695" i="13"/>
  <c r="I695" i="13"/>
  <c r="K695" i="13"/>
  <c r="O695" i="13" s="1"/>
  <c r="L695" i="13"/>
  <c r="M695" i="13"/>
  <c r="Q695" i="13"/>
  <c r="R695" i="13"/>
  <c r="A696" i="13"/>
  <c r="B696" i="13"/>
  <c r="C696" i="13"/>
  <c r="D696" i="13"/>
  <c r="E696" i="13"/>
  <c r="F696" i="13"/>
  <c r="G696" i="13"/>
  <c r="H696" i="13"/>
  <c r="I696" i="13"/>
  <c r="K696" i="13"/>
  <c r="O696" i="13" s="1"/>
  <c r="L696" i="13"/>
  <c r="M696" i="13"/>
  <c r="Q696" i="13"/>
  <c r="R696" i="13"/>
  <c r="A697" i="13"/>
  <c r="B697" i="13"/>
  <c r="C697" i="13"/>
  <c r="D697" i="13"/>
  <c r="E697" i="13"/>
  <c r="F697" i="13"/>
  <c r="G697" i="13"/>
  <c r="H697" i="13"/>
  <c r="I697" i="13"/>
  <c r="K697" i="13"/>
  <c r="O697" i="13" s="1"/>
  <c r="L697" i="13"/>
  <c r="M697" i="13"/>
  <c r="Q697" i="13"/>
  <c r="R697" i="13"/>
  <c r="A698" i="13"/>
  <c r="B698" i="13"/>
  <c r="C698" i="13"/>
  <c r="D698" i="13"/>
  <c r="E698" i="13"/>
  <c r="F698" i="13"/>
  <c r="G698" i="13"/>
  <c r="H698" i="13"/>
  <c r="I698" i="13"/>
  <c r="K698" i="13"/>
  <c r="O698" i="13" s="1"/>
  <c r="L698" i="13"/>
  <c r="M698" i="13"/>
  <c r="Q698" i="13"/>
  <c r="R698" i="13"/>
  <c r="A699" i="13"/>
  <c r="B699" i="13"/>
  <c r="C699" i="13"/>
  <c r="D699" i="13"/>
  <c r="E699" i="13"/>
  <c r="F699" i="13"/>
  <c r="G699" i="13"/>
  <c r="H699" i="13"/>
  <c r="I699" i="13"/>
  <c r="K699" i="13"/>
  <c r="O699" i="13" s="1"/>
  <c r="L699" i="13"/>
  <c r="M699" i="13"/>
  <c r="Q699" i="13"/>
  <c r="R699" i="13"/>
  <c r="A700" i="13"/>
  <c r="B700" i="13"/>
  <c r="C700" i="13"/>
  <c r="D700" i="13"/>
  <c r="E700" i="13"/>
  <c r="F700" i="13"/>
  <c r="G700" i="13"/>
  <c r="H700" i="13"/>
  <c r="I700" i="13"/>
  <c r="K700" i="13"/>
  <c r="O700" i="13" s="1"/>
  <c r="L700" i="13"/>
  <c r="M700" i="13"/>
  <c r="Q700" i="13"/>
  <c r="R700" i="13"/>
  <c r="A701" i="13"/>
  <c r="B701" i="13"/>
  <c r="C701" i="13"/>
  <c r="D701" i="13"/>
  <c r="E701" i="13"/>
  <c r="F701" i="13"/>
  <c r="G701" i="13"/>
  <c r="H701" i="13"/>
  <c r="I701" i="13"/>
  <c r="K701" i="13"/>
  <c r="O701" i="13" s="1"/>
  <c r="L701" i="13"/>
  <c r="M701" i="13"/>
  <c r="Q701" i="13"/>
  <c r="R701" i="13"/>
  <c r="A702" i="13"/>
  <c r="B702" i="13"/>
  <c r="C702" i="13"/>
  <c r="D702" i="13"/>
  <c r="E702" i="13"/>
  <c r="F702" i="13"/>
  <c r="G702" i="13"/>
  <c r="H702" i="13"/>
  <c r="I702" i="13"/>
  <c r="K702" i="13"/>
  <c r="O702" i="13" s="1"/>
  <c r="L702" i="13"/>
  <c r="M702" i="13"/>
  <c r="Q702" i="13"/>
  <c r="R702" i="13"/>
  <c r="A703" i="13"/>
  <c r="B703" i="13"/>
  <c r="C703" i="13"/>
  <c r="D703" i="13"/>
  <c r="E703" i="13"/>
  <c r="F703" i="13"/>
  <c r="G703" i="13"/>
  <c r="H703" i="13"/>
  <c r="I703" i="13"/>
  <c r="K703" i="13"/>
  <c r="O703" i="13" s="1"/>
  <c r="L703" i="13"/>
  <c r="M703" i="13"/>
  <c r="Q703" i="13"/>
  <c r="R703" i="13"/>
  <c r="A704" i="13"/>
  <c r="B704" i="13"/>
  <c r="C704" i="13"/>
  <c r="D704" i="13"/>
  <c r="E704" i="13"/>
  <c r="F704" i="13"/>
  <c r="G704" i="13"/>
  <c r="H704" i="13"/>
  <c r="I704" i="13"/>
  <c r="K704" i="13"/>
  <c r="O704" i="13" s="1"/>
  <c r="L704" i="13"/>
  <c r="M704" i="13"/>
  <c r="Q704" i="13"/>
  <c r="R704" i="13"/>
  <c r="A705" i="13"/>
  <c r="B705" i="13"/>
  <c r="C705" i="13"/>
  <c r="D705" i="13"/>
  <c r="E705" i="13"/>
  <c r="F705" i="13"/>
  <c r="G705" i="13"/>
  <c r="H705" i="13"/>
  <c r="I705" i="13"/>
  <c r="K705" i="13"/>
  <c r="O705" i="13" s="1"/>
  <c r="L705" i="13"/>
  <c r="M705" i="13"/>
  <c r="Q705" i="13"/>
  <c r="R705" i="13"/>
  <c r="A706" i="13"/>
  <c r="B706" i="13"/>
  <c r="C706" i="13"/>
  <c r="D706" i="13"/>
  <c r="E706" i="13"/>
  <c r="F706" i="13"/>
  <c r="G706" i="13"/>
  <c r="H706" i="13"/>
  <c r="I706" i="13"/>
  <c r="K706" i="13"/>
  <c r="O706" i="13" s="1"/>
  <c r="L706" i="13"/>
  <c r="M706" i="13"/>
  <c r="Q706" i="13"/>
  <c r="R706" i="13"/>
  <c r="A707" i="13"/>
  <c r="B707" i="13"/>
  <c r="C707" i="13"/>
  <c r="D707" i="13"/>
  <c r="E707" i="13"/>
  <c r="F707" i="13"/>
  <c r="G707" i="13"/>
  <c r="H707" i="13"/>
  <c r="I707" i="13"/>
  <c r="K707" i="13"/>
  <c r="O707" i="13" s="1"/>
  <c r="L707" i="13"/>
  <c r="M707" i="13"/>
  <c r="Q707" i="13"/>
  <c r="R707" i="13"/>
  <c r="A708" i="13"/>
  <c r="B708" i="13"/>
  <c r="C708" i="13"/>
  <c r="D708" i="13"/>
  <c r="E708" i="13"/>
  <c r="F708" i="13"/>
  <c r="G708" i="13"/>
  <c r="H708" i="13"/>
  <c r="I708" i="13"/>
  <c r="K708" i="13"/>
  <c r="O708" i="13" s="1"/>
  <c r="L708" i="13"/>
  <c r="M708" i="13"/>
  <c r="Q708" i="13"/>
  <c r="R708" i="13"/>
  <c r="A709" i="13"/>
  <c r="B709" i="13"/>
  <c r="C709" i="13"/>
  <c r="D709" i="13"/>
  <c r="E709" i="13"/>
  <c r="F709" i="13"/>
  <c r="G709" i="13"/>
  <c r="H709" i="13"/>
  <c r="I709" i="13"/>
  <c r="K709" i="13"/>
  <c r="O709" i="13" s="1"/>
  <c r="L709" i="13"/>
  <c r="M709" i="13"/>
  <c r="Q709" i="13"/>
  <c r="R709" i="13"/>
  <c r="A710" i="13"/>
  <c r="B710" i="13"/>
  <c r="C710" i="13"/>
  <c r="D710" i="13"/>
  <c r="E710" i="13"/>
  <c r="F710" i="13"/>
  <c r="G710" i="13"/>
  <c r="H710" i="13"/>
  <c r="I710" i="13"/>
  <c r="K710" i="13"/>
  <c r="O710" i="13" s="1"/>
  <c r="L710" i="13"/>
  <c r="M710" i="13"/>
  <c r="Q710" i="13"/>
  <c r="R710" i="13"/>
  <c r="A711" i="13"/>
  <c r="B711" i="13"/>
  <c r="C711" i="13"/>
  <c r="D711" i="13"/>
  <c r="E711" i="13"/>
  <c r="F711" i="13"/>
  <c r="G711" i="13"/>
  <c r="H711" i="13"/>
  <c r="I711" i="13"/>
  <c r="K711" i="13"/>
  <c r="O711" i="13" s="1"/>
  <c r="L711" i="13"/>
  <c r="M711" i="13"/>
  <c r="Q711" i="13"/>
  <c r="R711" i="13"/>
  <c r="A712" i="13"/>
  <c r="B712" i="13"/>
  <c r="C712" i="13"/>
  <c r="D712" i="13"/>
  <c r="E712" i="13"/>
  <c r="F712" i="13"/>
  <c r="G712" i="13"/>
  <c r="H712" i="13"/>
  <c r="I712" i="13"/>
  <c r="K712" i="13"/>
  <c r="O712" i="13" s="1"/>
  <c r="L712" i="13"/>
  <c r="M712" i="13"/>
  <c r="Q712" i="13"/>
  <c r="R712" i="13"/>
  <c r="A713" i="13"/>
  <c r="B713" i="13"/>
  <c r="C713" i="13"/>
  <c r="D713" i="13"/>
  <c r="E713" i="13"/>
  <c r="F713" i="13"/>
  <c r="G713" i="13"/>
  <c r="H713" i="13"/>
  <c r="I713" i="13"/>
  <c r="K713" i="13"/>
  <c r="O713" i="13" s="1"/>
  <c r="L713" i="13"/>
  <c r="M713" i="13"/>
  <c r="Q713" i="13"/>
  <c r="R713" i="13"/>
  <c r="A714" i="13"/>
  <c r="B714" i="13"/>
  <c r="C714" i="13"/>
  <c r="D714" i="13"/>
  <c r="E714" i="13"/>
  <c r="F714" i="13"/>
  <c r="G714" i="13"/>
  <c r="H714" i="13"/>
  <c r="I714" i="13"/>
  <c r="K714" i="13"/>
  <c r="O714" i="13" s="1"/>
  <c r="L714" i="13"/>
  <c r="M714" i="13"/>
  <c r="Q714" i="13"/>
  <c r="R714" i="13"/>
  <c r="A715" i="13"/>
  <c r="B715" i="13"/>
  <c r="C715" i="13"/>
  <c r="D715" i="13"/>
  <c r="E715" i="13"/>
  <c r="F715" i="13"/>
  <c r="G715" i="13"/>
  <c r="H715" i="13"/>
  <c r="I715" i="13"/>
  <c r="K715" i="13"/>
  <c r="O715" i="13" s="1"/>
  <c r="L715" i="13"/>
  <c r="M715" i="13"/>
  <c r="Q715" i="13"/>
  <c r="R715" i="13"/>
  <c r="A716" i="13"/>
  <c r="B716" i="13"/>
  <c r="C716" i="13"/>
  <c r="D716" i="13"/>
  <c r="E716" i="13"/>
  <c r="F716" i="13"/>
  <c r="G716" i="13"/>
  <c r="H716" i="13"/>
  <c r="I716" i="13"/>
  <c r="K716" i="13"/>
  <c r="O716" i="13" s="1"/>
  <c r="L716" i="13"/>
  <c r="M716" i="13"/>
  <c r="Q716" i="13"/>
  <c r="R716" i="13"/>
  <c r="A717" i="13"/>
  <c r="B717" i="13"/>
  <c r="C717" i="13"/>
  <c r="D717" i="13"/>
  <c r="E717" i="13"/>
  <c r="F717" i="13"/>
  <c r="G717" i="13"/>
  <c r="H717" i="13"/>
  <c r="I717" i="13"/>
  <c r="K717" i="13"/>
  <c r="O717" i="13" s="1"/>
  <c r="L717" i="13"/>
  <c r="M717" i="13"/>
  <c r="Q717" i="13"/>
  <c r="R717" i="13"/>
  <c r="A718" i="13"/>
  <c r="B718" i="13"/>
  <c r="C718" i="13"/>
  <c r="D718" i="13"/>
  <c r="E718" i="13"/>
  <c r="F718" i="13"/>
  <c r="G718" i="13"/>
  <c r="H718" i="13"/>
  <c r="I718" i="13"/>
  <c r="K718" i="13"/>
  <c r="O718" i="13" s="1"/>
  <c r="L718" i="13"/>
  <c r="M718" i="13"/>
  <c r="Q718" i="13"/>
  <c r="R718" i="13"/>
  <c r="A719" i="13"/>
  <c r="B719" i="13"/>
  <c r="C719" i="13"/>
  <c r="D719" i="13"/>
  <c r="E719" i="13"/>
  <c r="F719" i="13"/>
  <c r="G719" i="13"/>
  <c r="H719" i="13"/>
  <c r="I719" i="13"/>
  <c r="K719" i="13"/>
  <c r="O719" i="13" s="1"/>
  <c r="L719" i="13"/>
  <c r="M719" i="13"/>
  <c r="Q719" i="13"/>
  <c r="R719" i="13"/>
  <c r="A720" i="13"/>
  <c r="B720" i="13"/>
  <c r="C720" i="13"/>
  <c r="D720" i="13"/>
  <c r="E720" i="13"/>
  <c r="F720" i="13"/>
  <c r="G720" i="13"/>
  <c r="H720" i="13"/>
  <c r="I720" i="13"/>
  <c r="K720" i="13"/>
  <c r="O720" i="13" s="1"/>
  <c r="L720" i="13"/>
  <c r="M720" i="13"/>
  <c r="Q720" i="13"/>
  <c r="R720" i="13"/>
  <c r="A721" i="13"/>
  <c r="B721" i="13"/>
  <c r="C721" i="13"/>
  <c r="D721" i="13"/>
  <c r="E721" i="13"/>
  <c r="F721" i="13"/>
  <c r="G721" i="13"/>
  <c r="H721" i="13"/>
  <c r="I721" i="13"/>
  <c r="K721" i="13"/>
  <c r="O721" i="13" s="1"/>
  <c r="L721" i="13"/>
  <c r="M721" i="13"/>
  <c r="Q721" i="13"/>
  <c r="R721" i="13"/>
  <c r="A722" i="13"/>
  <c r="B722" i="13"/>
  <c r="C722" i="13"/>
  <c r="D722" i="13"/>
  <c r="E722" i="13"/>
  <c r="F722" i="13"/>
  <c r="G722" i="13"/>
  <c r="H722" i="13"/>
  <c r="I722" i="13"/>
  <c r="K722" i="13"/>
  <c r="O722" i="13" s="1"/>
  <c r="L722" i="13"/>
  <c r="M722" i="13"/>
  <c r="Q722" i="13"/>
  <c r="R722" i="13"/>
  <c r="A723" i="13"/>
  <c r="B723" i="13"/>
  <c r="C723" i="13"/>
  <c r="D723" i="13"/>
  <c r="E723" i="13"/>
  <c r="F723" i="13"/>
  <c r="G723" i="13"/>
  <c r="H723" i="13"/>
  <c r="I723" i="13"/>
  <c r="K723" i="13"/>
  <c r="O723" i="13" s="1"/>
  <c r="L723" i="13"/>
  <c r="M723" i="13"/>
  <c r="Q723" i="13"/>
  <c r="R723" i="13"/>
  <c r="A724" i="13"/>
  <c r="B724" i="13"/>
  <c r="C724" i="13"/>
  <c r="D724" i="13"/>
  <c r="E724" i="13"/>
  <c r="F724" i="13"/>
  <c r="G724" i="13"/>
  <c r="H724" i="13"/>
  <c r="I724" i="13"/>
  <c r="K724" i="13"/>
  <c r="O724" i="13" s="1"/>
  <c r="L724" i="13"/>
  <c r="M724" i="13"/>
  <c r="Q724" i="13"/>
  <c r="R724" i="13"/>
  <c r="A725" i="13"/>
  <c r="B725" i="13"/>
  <c r="C725" i="13"/>
  <c r="D725" i="13"/>
  <c r="E725" i="13"/>
  <c r="F725" i="13"/>
  <c r="G725" i="13"/>
  <c r="H725" i="13"/>
  <c r="I725" i="13"/>
  <c r="K725" i="13"/>
  <c r="O725" i="13" s="1"/>
  <c r="L725" i="13"/>
  <c r="M725" i="13"/>
  <c r="Q725" i="13"/>
  <c r="R725" i="13"/>
  <c r="A726" i="13"/>
  <c r="B726" i="13"/>
  <c r="C726" i="13"/>
  <c r="D726" i="13"/>
  <c r="E726" i="13"/>
  <c r="F726" i="13"/>
  <c r="G726" i="13"/>
  <c r="H726" i="13"/>
  <c r="I726" i="13"/>
  <c r="K726" i="13"/>
  <c r="O726" i="13" s="1"/>
  <c r="L726" i="13"/>
  <c r="M726" i="13"/>
  <c r="Q726" i="13"/>
  <c r="R726" i="13"/>
  <c r="A727" i="13"/>
  <c r="B727" i="13"/>
  <c r="C727" i="13"/>
  <c r="D727" i="13"/>
  <c r="E727" i="13"/>
  <c r="F727" i="13"/>
  <c r="G727" i="13"/>
  <c r="H727" i="13"/>
  <c r="I727" i="13"/>
  <c r="K727" i="13"/>
  <c r="O727" i="13" s="1"/>
  <c r="L727" i="13"/>
  <c r="M727" i="13"/>
  <c r="Q727" i="13"/>
  <c r="R727" i="13"/>
  <c r="A728" i="13"/>
  <c r="B728" i="13"/>
  <c r="C728" i="13"/>
  <c r="D728" i="13"/>
  <c r="E728" i="13"/>
  <c r="F728" i="13"/>
  <c r="G728" i="13"/>
  <c r="H728" i="13"/>
  <c r="I728" i="13"/>
  <c r="K728" i="13"/>
  <c r="O728" i="13" s="1"/>
  <c r="L728" i="13"/>
  <c r="M728" i="13"/>
  <c r="Q728" i="13"/>
  <c r="R728" i="13"/>
  <c r="A729" i="13"/>
  <c r="B729" i="13"/>
  <c r="C729" i="13"/>
  <c r="D729" i="13"/>
  <c r="E729" i="13"/>
  <c r="F729" i="13"/>
  <c r="G729" i="13"/>
  <c r="H729" i="13"/>
  <c r="I729" i="13"/>
  <c r="K729" i="13"/>
  <c r="O729" i="13" s="1"/>
  <c r="L729" i="13"/>
  <c r="M729" i="13"/>
  <c r="Q729" i="13"/>
  <c r="R729" i="13"/>
  <c r="A730" i="13"/>
  <c r="B730" i="13"/>
  <c r="C730" i="13"/>
  <c r="D730" i="13"/>
  <c r="E730" i="13"/>
  <c r="F730" i="13"/>
  <c r="G730" i="13"/>
  <c r="H730" i="13"/>
  <c r="I730" i="13"/>
  <c r="K730" i="13"/>
  <c r="O730" i="13" s="1"/>
  <c r="L730" i="13"/>
  <c r="M730" i="13"/>
  <c r="Q730" i="13"/>
  <c r="R730" i="13"/>
  <c r="A731" i="13"/>
  <c r="B731" i="13"/>
  <c r="C731" i="13"/>
  <c r="D731" i="13"/>
  <c r="E731" i="13"/>
  <c r="F731" i="13"/>
  <c r="G731" i="13"/>
  <c r="H731" i="13"/>
  <c r="I731" i="13"/>
  <c r="K731" i="13"/>
  <c r="O731" i="13" s="1"/>
  <c r="L731" i="13"/>
  <c r="M731" i="13"/>
  <c r="Q731" i="13"/>
  <c r="R731" i="13"/>
  <c r="A732" i="13"/>
  <c r="B732" i="13"/>
  <c r="C732" i="13"/>
  <c r="D732" i="13"/>
  <c r="E732" i="13"/>
  <c r="F732" i="13"/>
  <c r="G732" i="13"/>
  <c r="H732" i="13"/>
  <c r="I732" i="13"/>
  <c r="K732" i="13"/>
  <c r="O732" i="13" s="1"/>
  <c r="L732" i="13"/>
  <c r="M732" i="13"/>
  <c r="Q732" i="13"/>
  <c r="R732" i="13"/>
  <c r="A733" i="13"/>
  <c r="B733" i="13"/>
  <c r="C733" i="13"/>
  <c r="D733" i="13"/>
  <c r="E733" i="13"/>
  <c r="F733" i="13"/>
  <c r="G733" i="13"/>
  <c r="H733" i="13"/>
  <c r="I733" i="13"/>
  <c r="K733" i="13"/>
  <c r="O733" i="13" s="1"/>
  <c r="L733" i="13"/>
  <c r="M733" i="13"/>
  <c r="Q733" i="13"/>
  <c r="R733" i="13"/>
  <c r="A734" i="13"/>
  <c r="B734" i="13"/>
  <c r="C734" i="13"/>
  <c r="D734" i="13"/>
  <c r="E734" i="13"/>
  <c r="F734" i="13"/>
  <c r="G734" i="13"/>
  <c r="H734" i="13"/>
  <c r="I734" i="13"/>
  <c r="K734" i="13"/>
  <c r="O734" i="13" s="1"/>
  <c r="L734" i="13"/>
  <c r="M734" i="13"/>
  <c r="Q734" i="13"/>
  <c r="R734" i="13"/>
  <c r="A735" i="13"/>
  <c r="B735" i="13"/>
  <c r="C735" i="13"/>
  <c r="D735" i="13"/>
  <c r="E735" i="13"/>
  <c r="F735" i="13"/>
  <c r="G735" i="13"/>
  <c r="H735" i="13"/>
  <c r="I735" i="13"/>
  <c r="K735" i="13"/>
  <c r="O735" i="13" s="1"/>
  <c r="L735" i="13"/>
  <c r="M735" i="13"/>
  <c r="Q735" i="13"/>
  <c r="R735" i="13"/>
  <c r="A736" i="13"/>
  <c r="B736" i="13"/>
  <c r="C736" i="13"/>
  <c r="D736" i="13"/>
  <c r="E736" i="13"/>
  <c r="F736" i="13"/>
  <c r="G736" i="13"/>
  <c r="H736" i="13"/>
  <c r="I736" i="13"/>
  <c r="K736" i="13"/>
  <c r="O736" i="13" s="1"/>
  <c r="L736" i="13"/>
  <c r="M736" i="13"/>
  <c r="Q736" i="13"/>
  <c r="R736" i="13"/>
  <c r="A737" i="13"/>
  <c r="B737" i="13"/>
  <c r="C737" i="13"/>
  <c r="D737" i="13"/>
  <c r="E737" i="13"/>
  <c r="F737" i="13"/>
  <c r="G737" i="13"/>
  <c r="H737" i="13"/>
  <c r="I737" i="13"/>
  <c r="K737" i="13"/>
  <c r="O737" i="13" s="1"/>
  <c r="L737" i="13"/>
  <c r="M737" i="13"/>
  <c r="Q737" i="13"/>
  <c r="R737" i="13"/>
  <c r="A738" i="13"/>
  <c r="B738" i="13"/>
  <c r="C738" i="13"/>
  <c r="D738" i="13"/>
  <c r="E738" i="13"/>
  <c r="F738" i="13"/>
  <c r="G738" i="13"/>
  <c r="H738" i="13"/>
  <c r="I738" i="13"/>
  <c r="K738" i="13"/>
  <c r="O738" i="13" s="1"/>
  <c r="L738" i="13"/>
  <c r="M738" i="13"/>
  <c r="Q738" i="13"/>
  <c r="R738" i="13"/>
  <c r="A739" i="13"/>
  <c r="B739" i="13"/>
  <c r="C739" i="13"/>
  <c r="D739" i="13"/>
  <c r="E739" i="13"/>
  <c r="F739" i="13"/>
  <c r="G739" i="13"/>
  <c r="H739" i="13"/>
  <c r="I739" i="13"/>
  <c r="K739" i="13"/>
  <c r="O739" i="13" s="1"/>
  <c r="L739" i="13"/>
  <c r="M739" i="13"/>
  <c r="Q739" i="13"/>
  <c r="R739" i="13"/>
  <c r="A740" i="13"/>
  <c r="B740" i="13"/>
  <c r="C740" i="13"/>
  <c r="D740" i="13"/>
  <c r="E740" i="13"/>
  <c r="F740" i="13"/>
  <c r="G740" i="13"/>
  <c r="H740" i="13"/>
  <c r="I740" i="13"/>
  <c r="K740" i="13"/>
  <c r="O740" i="13" s="1"/>
  <c r="L740" i="13"/>
  <c r="M740" i="13"/>
  <c r="Q740" i="13"/>
  <c r="R740" i="13"/>
  <c r="A741" i="13"/>
  <c r="B741" i="13"/>
  <c r="C741" i="13"/>
  <c r="D741" i="13"/>
  <c r="E741" i="13"/>
  <c r="F741" i="13"/>
  <c r="G741" i="13"/>
  <c r="H741" i="13"/>
  <c r="I741" i="13"/>
  <c r="K741" i="13"/>
  <c r="O741" i="13" s="1"/>
  <c r="L741" i="13"/>
  <c r="M741" i="13"/>
  <c r="Q741" i="13"/>
  <c r="R741" i="13"/>
  <c r="A742" i="13"/>
  <c r="B742" i="13"/>
  <c r="C742" i="13"/>
  <c r="D742" i="13"/>
  <c r="E742" i="13"/>
  <c r="F742" i="13"/>
  <c r="G742" i="13"/>
  <c r="H742" i="13"/>
  <c r="I742" i="13"/>
  <c r="K742" i="13"/>
  <c r="O742" i="13" s="1"/>
  <c r="L742" i="13"/>
  <c r="M742" i="13"/>
  <c r="Q742" i="13"/>
  <c r="R742" i="13"/>
  <c r="A743" i="13"/>
  <c r="B743" i="13"/>
  <c r="C743" i="13"/>
  <c r="D743" i="13"/>
  <c r="E743" i="13"/>
  <c r="F743" i="13"/>
  <c r="G743" i="13"/>
  <c r="H743" i="13"/>
  <c r="I743" i="13"/>
  <c r="K743" i="13"/>
  <c r="O743" i="13" s="1"/>
  <c r="L743" i="13"/>
  <c r="M743" i="13"/>
  <c r="Q743" i="13"/>
  <c r="R743" i="13"/>
  <c r="A744" i="13"/>
  <c r="B744" i="13"/>
  <c r="C744" i="13"/>
  <c r="D744" i="13"/>
  <c r="E744" i="13"/>
  <c r="F744" i="13"/>
  <c r="G744" i="13"/>
  <c r="H744" i="13"/>
  <c r="I744" i="13"/>
  <c r="K744" i="13"/>
  <c r="O744" i="13" s="1"/>
  <c r="L744" i="13"/>
  <c r="M744" i="13"/>
  <c r="Q744" i="13"/>
  <c r="R744" i="13"/>
  <c r="A745" i="13"/>
  <c r="B745" i="13"/>
  <c r="C745" i="13"/>
  <c r="D745" i="13"/>
  <c r="E745" i="13"/>
  <c r="F745" i="13"/>
  <c r="G745" i="13"/>
  <c r="H745" i="13"/>
  <c r="I745" i="13"/>
  <c r="K745" i="13"/>
  <c r="O745" i="13" s="1"/>
  <c r="L745" i="13"/>
  <c r="M745" i="13"/>
  <c r="Q745" i="13"/>
  <c r="R745" i="13"/>
  <c r="A746" i="13"/>
  <c r="B746" i="13"/>
  <c r="C746" i="13"/>
  <c r="D746" i="13"/>
  <c r="E746" i="13"/>
  <c r="F746" i="13"/>
  <c r="G746" i="13"/>
  <c r="H746" i="13"/>
  <c r="I746" i="13"/>
  <c r="K746" i="13"/>
  <c r="O746" i="13" s="1"/>
  <c r="L746" i="13"/>
  <c r="M746" i="13"/>
  <c r="Q746" i="13"/>
  <c r="R746" i="13"/>
  <c r="A747" i="13"/>
  <c r="B747" i="13"/>
  <c r="C747" i="13"/>
  <c r="D747" i="13"/>
  <c r="E747" i="13"/>
  <c r="F747" i="13"/>
  <c r="G747" i="13"/>
  <c r="H747" i="13"/>
  <c r="I747" i="13"/>
  <c r="K747" i="13"/>
  <c r="O747" i="13" s="1"/>
  <c r="L747" i="13"/>
  <c r="M747" i="13"/>
  <c r="Q747" i="13"/>
  <c r="R747" i="13"/>
  <c r="A748" i="13"/>
  <c r="B748" i="13"/>
  <c r="C748" i="13"/>
  <c r="D748" i="13"/>
  <c r="E748" i="13"/>
  <c r="F748" i="13"/>
  <c r="G748" i="13"/>
  <c r="H748" i="13"/>
  <c r="I748" i="13"/>
  <c r="K748" i="13"/>
  <c r="O748" i="13" s="1"/>
  <c r="L748" i="13"/>
  <c r="M748" i="13"/>
  <c r="Q748" i="13"/>
  <c r="R748" i="13"/>
  <c r="A749" i="13"/>
  <c r="B749" i="13"/>
  <c r="C749" i="13"/>
  <c r="D749" i="13"/>
  <c r="E749" i="13"/>
  <c r="F749" i="13"/>
  <c r="G749" i="13"/>
  <c r="H749" i="13"/>
  <c r="I749" i="13"/>
  <c r="K749" i="13"/>
  <c r="O749" i="13" s="1"/>
  <c r="L749" i="13"/>
  <c r="M749" i="13"/>
  <c r="Q749" i="13"/>
  <c r="R749" i="13"/>
  <c r="A640" i="13"/>
  <c r="B640" i="13"/>
  <c r="C640" i="13"/>
  <c r="D640" i="13"/>
  <c r="E640" i="13"/>
  <c r="F640" i="13"/>
  <c r="G640" i="13"/>
  <c r="H640" i="13"/>
  <c r="I640" i="13"/>
  <c r="K640" i="13"/>
  <c r="O640" i="13" s="1"/>
  <c r="L640" i="13"/>
  <c r="M640" i="13"/>
  <c r="Q640" i="13"/>
  <c r="R640" i="13"/>
  <c r="A641" i="13"/>
  <c r="B641" i="13"/>
  <c r="C641" i="13"/>
  <c r="D641" i="13"/>
  <c r="E641" i="13"/>
  <c r="F641" i="13"/>
  <c r="G641" i="13"/>
  <c r="H641" i="13"/>
  <c r="I641" i="13"/>
  <c r="K641" i="13"/>
  <c r="O641" i="13" s="1"/>
  <c r="L641" i="13"/>
  <c r="M641" i="13"/>
  <c r="Q641" i="13"/>
  <c r="R641" i="13"/>
  <c r="A642" i="13"/>
  <c r="B642" i="13"/>
  <c r="C642" i="13"/>
  <c r="D642" i="13"/>
  <c r="E642" i="13"/>
  <c r="F642" i="13"/>
  <c r="G642" i="13"/>
  <c r="H642" i="13"/>
  <c r="I642" i="13"/>
  <c r="K642" i="13"/>
  <c r="O642" i="13" s="1"/>
  <c r="L642" i="13"/>
  <c r="M642" i="13"/>
  <c r="Q642" i="13"/>
  <c r="R642" i="13"/>
  <c r="A643" i="13"/>
  <c r="B643" i="13"/>
  <c r="C643" i="13"/>
  <c r="D643" i="13"/>
  <c r="E643" i="13"/>
  <c r="F643" i="13"/>
  <c r="G643" i="13"/>
  <c r="H643" i="13"/>
  <c r="I643" i="13"/>
  <c r="K643" i="13"/>
  <c r="O643" i="13" s="1"/>
  <c r="L643" i="13"/>
  <c r="M643" i="13"/>
  <c r="Q643" i="13"/>
  <c r="R643" i="13"/>
  <c r="A644" i="13"/>
  <c r="B644" i="13"/>
  <c r="C644" i="13"/>
  <c r="D644" i="13"/>
  <c r="E644" i="13"/>
  <c r="F644" i="13"/>
  <c r="G644" i="13"/>
  <c r="H644" i="13"/>
  <c r="I644" i="13"/>
  <c r="K644" i="13"/>
  <c r="O644" i="13" s="1"/>
  <c r="L644" i="13"/>
  <c r="M644" i="13"/>
  <c r="Q644" i="13"/>
  <c r="R644" i="13"/>
  <c r="A645" i="13"/>
  <c r="B645" i="13"/>
  <c r="C645" i="13"/>
  <c r="D645" i="13"/>
  <c r="E645" i="13"/>
  <c r="F645" i="13"/>
  <c r="G645" i="13"/>
  <c r="H645" i="13"/>
  <c r="I645" i="13"/>
  <c r="K645" i="13"/>
  <c r="O645" i="13" s="1"/>
  <c r="L645" i="13"/>
  <c r="M645" i="13"/>
  <c r="Q645" i="13"/>
  <c r="R645" i="13"/>
  <c r="A646" i="13"/>
  <c r="B646" i="13"/>
  <c r="C646" i="13"/>
  <c r="D646" i="13"/>
  <c r="E646" i="13"/>
  <c r="F646" i="13"/>
  <c r="G646" i="13"/>
  <c r="H646" i="13"/>
  <c r="I646" i="13"/>
  <c r="K646" i="13"/>
  <c r="O646" i="13" s="1"/>
  <c r="L646" i="13"/>
  <c r="M646" i="13"/>
  <c r="Q646" i="13"/>
  <c r="R646" i="13"/>
  <c r="A647" i="13"/>
  <c r="B647" i="13"/>
  <c r="C647" i="13"/>
  <c r="D647" i="13"/>
  <c r="E647" i="13"/>
  <c r="F647" i="13"/>
  <c r="G647" i="13"/>
  <c r="H647" i="13"/>
  <c r="I647" i="13"/>
  <c r="K647" i="13"/>
  <c r="O647" i="13" s="1"/>
  <c r="L647" i="13"/>
  <c r="M647" i="13"/>
  <c r="Q647" i="13"/>
  <c r="R647" i="13"/>
  <c r="A648" i="13"/>
  <c r="B648" i="13"/>
  <c r="C648" i="13"/>
  <c r="D648" i="13"/>
  <c r="E648" i="13"/>
  <c r="F648" i="13"/>
  <c r="G648" i="13"/>
  <c r="H648" i="13"/>
  <c r="I648" i="13"/>
  <c r="K648" i="13"/>
  <c r="O648" i="13" s="1"/>
  <c r="L648" i="13"/>
  <c r="M648" i="13"/>
  <c r="Q648" i="13"/>
  <c r="R648" i="13"/>
  <c r="A649" i="13"/>
  <c r="B649" i="13"/>
  <c r="C649" i="13"/>
  <c r="D649" i="13"/>
  <c r="E649" i="13"/>
  <c r="F649" i="13"/>
  <c r="G649" i="13"/>
  <c r="H649" i="13"/>
  <c r="I649" i="13"/>
  <c r="K649" i="13"/>
  <c r="O649" i="13" s="1"/>
  <c r="L649" i="13"/>
  <c r="M649" i="13"/>
  <c r="Q649" i="13"/>
  <c r="R649" i="13"/>
  <c r="A650" i="13"/>
  <c r="B650" i="13"/>
  <c r="C650" i="13"/>
  <c r="D650" i="13"/>
  <c r="E650" i="13"/>
  <c r="F650" i="13"/>
  <c r="G650" i="13"/>
  <c r="H650" i="13"/>
  <c r="I650" i="13"/>
  <c r="K650" i="13"/>
  <c r="O650" i="13" s="1"/>
  <c r="L650" i="13"/>
  <c r="M650" i="13"/>
  <c r="Q650" i="13"/>
  <c r="R650" i="13"/>
  <c r="A651" i="13"/>
  <c r="B651" i="13"/>
  <c r="C651" i="13"/>
  <c r="D651" i="13"/>
  <c r="E651" i="13"/>
  <c r="F651" i="13"/>
  <c r="G651" i="13"/>
  <c r="H651" i="13"/>
  <c r="I651" i="13"/>
  <c r="K651" i="13"/>
  <c r="O651" i="13" s="1"/>
  <c r="L651" i="13"/>
  <c r="M651" i="13"/>
  <c r="Q651" i="13"/>
  <c r="R651" i="13"/>
  <c r="A652" i="13"/>
  <c r="B652" i="13"/>
  <c r="C652" i="13"/>
  <c r="D652" i="13"/>
  <c r="E652" i="13"/>
  <c r="F652" i="13"/>
  <c r="G652" i="13"/>
  <c r="H652" i="13"/>
  <c r="I652" i="13"/>
  <c r="K652" i="13"/>
  <c r="O652" i="13" s="1"/>
  <c r="L652" i="13"/>
  <c r="M652" i="13"/>
  <c r="Q652" i="13"/>
  <c r="R652" i="13"/>
  <c r="A653" i="13"/>
  <c r="B653" i="13"/>
  <c r="C653" i="13"/>
  <c r="D653" i="13"/>
  <c r="E653" i="13"/>
  <c r="F653" i="13"/>
  <c r="G653" i="13"/>
  <c r="H653" i="13"/>
  <c r="I653" i="13"/>
  <c r="K653" i="13"/>
  <c r="O653" i="13" s="1"/>
  <c r="L653" i="13"/>
  <c r="M653" i="13"/>
  <c r="Q653" i="13"/>
  <c r="R653" i="13"/>
  <c r="A654" i="13"/>
  <c r="B654" i="13"/>
  <c r="C654" i="13"/>
  <c r="D654" i="13"/>
  <c r="E654" i="13"/>
  <c r="F654" i="13"/>
  <c r="G654" i="13"/>
  <c r="H654" i="13"/>
  <c r="I654" i="13"/>
  <c r="K654" i="13"/>
  <c r="O654" i="13" s="1"/>
  <c r="L654" i="13"/>
  <c r="M654" i="13"/>
  <c r="Q654" i="13"/>
  <c r="R654" i="13"/>
  <c r="A655" i="13"/>
  <c r="B655" i="13"/>
  <c r="C655" i="13"/>
  <c r="D655" i="13"/>
  <c r="E655" i="13"/>
  <c r="F655" i="13"/>
  <c r="G655" i="13"/>
  <c r="H655" i="13"/>
  <c r="I655" i="13"/>
  <c r="K655" i="13"/>
  <c r="O655" i="13" s="1"/>
  <c r="L655" i="13"/>
  <c r="M655" i="13"/>
  <c r="Q655" i="13"/>
  <c r="R655" i="13"/>
  <c r="A656" i="13"/>
  <c r="B656" i="13"/>
  <c r="C656" i="13"/>
  <c r="D656" i="13"/>
  <c r="E656" i="13"/>
  <c r="F656" i="13"/>
  <c r="G656" i="13"/>
  <c r="H656" i="13"/>
  <c r="I656" i="13"/>
  <c r="K656" i="13"/>
  <c r="O656" i="13" s="1"/>
  <c r="L656" i="13"/>
  <c r="M656" i="13"/>
  <c r="Q656" i="13"/>
  <c r="R656" i="13"/>
  <c r="A657" i="13"/>
  <c r="B657" i="13"/>
  <c r="C657" i="13"/>
  <c r="D657" i="13"/>
  <c r="E657" i="13"/>
  <c r="F657" i="13"/>
  <c r="G657" i="13"/>
  <c r="H657" i="13"/>
  <c r="I657" i="13"/>
  <c r="K657" i="13"/>
  <c r="O657" i="13" s="1"/>
  <c r="L657" i="13"/>
  <c r="M657" i="13"/>
  <c r="Q657" i="13"/>
  <c r="R657" i="13"/>
  <c r="A658" i="13"/>
  <c r="B658" i="13"/>
  <c r="C658" i="13"/>
  <c r="D658" i="13"/>
  <c r="E658" i="13"/>
  <c r="F658" i="13"/>
  <c r="G658" i="13"/>
  <c r="H658" i="13"/>
  <c r="I658" i="13"/>
  <c r="K658" i="13"/>
  <c r="O658" i="13" s="1"/>
  <c r="L658" i="13"/>
  <c r="M658" i="13"/>
  <c r="Q658" i="13"/>
  <c r="R658" i="13"/>
  <c r="A659" i="13"/>
  <c r="B659" i="13"/>
  <c r="C659" i="13"/>
  <c r="D659" i="13"/>
  <c r="E659" i="13"/>
  <c r="F659" i="13"/>
  <c r="G659" i="13"/>
  <c r="H659" i="13"/>
  <c r="I659" i="13"/>
  <c r="K659" i="13"/>
  <c r="O659" i="13" s="1"/>
  <c r="L659" i="13"/>
  <c r="M659" i="13"/>
  <c r="Q659" i="13"/>
  <c r="R659" i="13"/>
  <c r="A660" i="13"/>
  <c r="B660" i="13"/>
  <c r="C660" i="13"/>
  <c r="D660" i="13"/>
  <c r="E660" i="13"/>
  <c r="F660" i="13"/>
  <c r="G660" i="13"/>
  <c r="H660" i="13"/>
  <c r="I660" i="13"/>
  <c r="K660" i="13"/>
  <c r="O660" i="13" s="1"/>
  <c r="L660" i="13"/>
  <c r="M660" i="13"/>
  <c r="Q660" i="13"/>
  <c r="R660" i="13"/>
  <c r="A661" i="13"/>
  <c r="B661" i="13"/>
  <c r="C661" i="13"/>
  <c r="D661" i="13"/>
  <c r="E661" i="13"/>
  <c r="F661" i="13"/>
  <c r="G661" i="13"/>
  <c r="H661" i="13"/>
  <c r="I661" i="13"/>
  <c r="K661" i="13"/>
  <c r="O661" i="13" s="1"/>
  <c r="L661" i="13"/>
  <c r="M661" i="13"/>
  <c r="Q661" i="13"/>
  <c r="R661" i="13"/>
  <c r="A662" i="13"/>
  <c r="B662" i="13"/>
  <c r="C662" i="13"/>
  <c r="D662" i="13"/>
  <c r="E662" i="13"/>
  <c r="F662" i="13"/>
  <c r="G662" i="13"/>
  <c r="H662" i="13"/>
  <c r="I662" i="13"/>
  <c r="K662" i="13"/>
  <c r="O662" i="13" s="1"/>
  <c r="L662" i="13"/>
  <c r="M662" i="13"/>
  <c r="Q662" i="13"/>
  <c r="R662" i="13"/>
  <c r="A663" i="13"/>
  <c r="B663" i="13"/>
  <c r="C663" i="13"/>
  <c r="D663" i="13"/>
  <c r="E663" i="13"/>
  <c r="F663" i="13"/>
  <c r="G663" i="13"/>
  <c r="H663" i="13"/>
  <c r="I663" i="13"/>
  <c r="K663" i="13"/>
  <c r="O663" i="13" s="1"/>
  <c r="L663" i="13"/>
  <c r="M663" i="13"/>
  <c r="Q663" i="13"/>
  <c r="R663" i="13"/>
  <c r="A664" i="13"/>
  <c r="B664" i="13"/>
  <c r="C664" i="13"/>
  <c r="D664" i="13"/>
  <c r="E664" i="13"/>
  <c r="F664" i="13"/>
  <c r="G664" i="13"/>
  <c r="H664" i="13"/>
  <c r="I664" i="13"/>
  <c r="K664" i="13"/>
  <c r="O664" i="13" s="1"/>
  <c r="L664" i="13"/>
  <c r="M664" i="13"/>
  <c r="Q664" i="13"/>
  <c r="R664" i="13"/>
  <c r="A665" i="13"/>
  <c r="B665" i="13"/>
  <c r="C665" i="13"/>
  <c r="D665" i="13"/>
  <c r="E665" i="13"/>
  <c r="F665" i="13"/>
  <c r="G665" i="13"/>
  <c r="H665" i="13"/>
  <c r="I665" i="13"/>
  <c r="K665" i="13"/>
  <c r="O665" i="13" s="1"/>
  <c r="L665" i="13"/>
  <c r="M665" i="13"/>
  <c r="Q665" i="13"/>
  <c r="R665" i="13"/>
  <c r="A666" i="13"/>
  <c r="B666" i="13"/>
  <c r="C666" i="13"/>
  <c r="D666" i="13"/>
  <c r="E666" i="13"/>
  <c r="F666" i="13"/>
  <c r="G666" i="13"/>
  <c r="H666" i="13"/>
  <c r="I666" i="13"/>
  <c r="K666" i="13"/>
  <c r="O666" i="13" s="1"/>
  <c r="L666" i="13"/>
  <c r="M666" i="13"/>
  <c r="Q666" i="13"/>
  <c r="R666" i="13"/>
  <c r="A667" i="13"/>
  <c r="B667" i="13"/>
  <c r="C667" i="13"/>
  <c r="D667" i="13"/>
  <c r="E667" i="13"/>
  <c r="F667" i="13"/>
  <c r="G667" i="13"/>
  <c r="H667" i="13"/>
  <c r="I667" i="13"/>
  <c r="K667" i="13"/>
  <c r="O667" i="13" s="1"/>
  <c r="L667" i="13"/>
  <c r="M667" i="13"/>
  <c r="Q667" i="13"/>
  <c r="R667" i="13"/>
  <c r="A668" i="13"/>
  <c r="B668" i="13"/>
  <c r="C668" i="13"/>
  <c r="D668" i="13"/>
  <c r="E668" i="13"/>
  <c r="F668" i="13"/>
  <c r="G668" i="13"/>
  <c r="H668" i="13"/>
  <c r="I668" i="13"/>
  <c r="K668" i="13"/>
  <c r="O668" i="13" s="1"/>
  <c r="L668" i="13"/>
  <c r="M668" i="13"/>
  <c r="Q668" i="13"/>
  <c r="R668" i="13"/>
  <c r="A669" i="13"/>
  <c r="B669" i="13"/>
  <c r="C669" i="13"/>
  <c r="D669" i="13"/>
  <c r="E669" i="13"/>
  <c r="F669" i="13"/>
  <c r="G669" i="13"/>
  <c r="H669" i="13"/>
  <c r="I669" i="13"/>
  <c r="K669" i="13"/>
  <c r="O669" i="13" s="1"/>
  <c r="L669" i="13"/>
  <c r="M669" i="13"/>
  <c r="Q669" i="13"/>
  <c r="R669" i="13"/>
  <c r="A670" i="13"/>
  <c r="B670" i="13"/>
  <c r="C670" i="13"/>
  <c r="D670" i="13"/>
  <c r="E670" i="13"/>
  <c r="F670" i="13"/>
  <c r="G670" i="13"/>
  <c r="H670" i="13"/>
  <c r="I670" i="13"/>
  <c r="K670" i="13"/>
  <c r="O670" i="13" s="1"/>
  <c r="L670" i="13"/>
  <c r="M670" i="13"/>
  <c r="Q670" i="13"/>
  <c r="R670" i="13"/>
  <c r="A671" i="13"/>
  <c r="B671" i="13"/>
  <c r="C671" i="13"/>
  <c r="D671" i="13"/>
  <c r="E671" i="13"/>
  <c r="F671" i="13"/>
  <c r="G671" i="13"/>
  <c r="H671" i="13"/>
  <c r="I671" i="13"/>
  <c r="K671" i="13"/>
  <c r="O671" i="13" s="1"/>
  <c r="L671" i="13"/>
  <c r="M671" i="13"/>
  <c r="Q671" i="13"/>
  <c r="R671" i="13"/>
  <c r="A672" i="13"/>
  <c r="B672" i="13"/>
  <c r="C672" i="13"/>
  <c r="D672" i="13"/>
  <c r="E672" i="13"/>
  <c r="F672" i="13"/>
  <c r="G672" i="13"/>
  <c r="H672" i="13"/>
  <c r="I672" i="13"/>
  <c r="K672" i="13"/>
  <c r="O672" i="13" s="1"/>
  <c r="L672" i="13"/>
  <c r="M672" i="13"/>
  <c r="Q672" i="13"/>
  <c r="R672" i="13"/>
  <c r="A673" i="13"/>
  <c r="B673" i="13"/>
  <c r="C673" i="13"/>
  <c r="D673" i="13"/>
  <c r="E673" i="13"/>
  <c r="F673" i="13"/>
  <c r="G673" i="13"/>
  <c r="H673" i="13"/>
  <c r="I673" i="13"/>
  <c r="K673" i="13"/>
  <c r="O673" i="13" s="1"/>
  <c r="L673" i="13"/>
  <c r="M673" i="13"/>
  <c r="Q673" i="13"/>
  <c r="R673" i="13"/>
  <c r="A674" i="13"/>
  <c r="B674" i="13"/>
  <c r="C674" i="13"/>
  <c r="D674" i="13"/>
  <c r="E674" i="13"/>
  <c r="F674" i="13"/>
  <c r="G674" i="13"/>
  <c r="H674" i="13"/>
  <c r="I674" i="13"/>
  <c r="K674" i="13"/>
  <c r="O674" i="13" s="1"/>
  <c r="L674" i="13"/>
  <c r="M674" i="13"/>
  <c r="Q674" i="13"/>
  <c r="R674" i="13"/>
  <c r="A675" i="13"/>
  <c r="B675" i="13"/>
  <c r="C675" i="13"/>
  <c r="D675" i="13"/>
  <c r="E675" i="13"/>
  <c r="F675" i="13"/>
  <c r="G675" i="13"/>
  <c r="H675" i="13"/>
  <c r="I675" i="13"/>
  <c r="K675" i="13"/>
  <c r="O675" i="13" s="1"/>
  <c r="L675" i="13"/>
  <c r="M675" i="13"/>
  <c r="Q675" i="13"/>
  <c r="R675" i="13"/>
  <c r="A676" i="13"/>
  <c r="B676" i="13"/>
  <c r="C676" i="13"/>
  <c r="D676" i="13"/>
  <c r="E676" i="13"/>
  <c r="F676" i="13"/>
  <c r="G676" i="13"/>
  <c r="H676" i="13"/>
  <c r="I676" i="13"/>
  <c r="K676" i="13"/>
  <c r="O676" i="13" s="1"/>
  <c r="L676" i="13"/>
  <c r="M676" i="13"/>
  <c r="Q676" i="13"/>
  <c r="R676" i="13"/>
  <c r="A677" i="13"/>
  <c r="B677" i="13"/>
  <c r="C677" i="13"/>
  <c r="D677" i="13"/>
  <c r="E677" i="13"/>
  <c r="F677" i="13"/>
  <c r="G677" i="13"/>
  <c r="H677" i="13"/>
  <c r="I677" i="13"/>
  <c r="K677" i="13"/>
  <c r="O677" i="13" s="1"/>
  <c r="L677" i="13"/>
  <c r="M677" i="13"/>
  <c r="Q677" i="13"/>
  <c r="R677" i="13"/>
  <c r="A678" i="13"/>
  <c r="B678" i="13"/>
  <c r="C678" i="13"/>
  <c r="D678" i="13"/>
  <c r="E678" i="13"/>
  <c r="F678" i="13"/>
  <c r="G678" i="13"/>
  <c r="H678" i="13"/>
  <c r="I678" i="13"/>
  <c r="K678" i="13"/>
  <c r="O678" i="13" s="1"/>
  <c r="L678" i="13"/>
  <c r="M678" i="13"/>
  <c r="Q678" i="13"/>
  <c r="R678" i="13"/>
  <c r="A679" i="13"/>
  <c r="B679" i="13"/>
  <c r="C679" i="13"/>
  <c r="D679" i="13"/>
  <c r="E679" i="13"/>
  <c r="F679" i="13"/>
  <c r="G679" i="13"/>
  <c r="H679" i="13"/>
  <c r="I679" i="13"/>
  <c r="K679" i="13"/>
  <c r="O679" i="13" s="1"/>
  <c r="L679" i="13"/>
  <c r="M679" i="13"/>
  <c r="Q679" i="13"/>
  <c r="R679" i="13"/>
  <c r="A680" i="13"/>
  <c r="B680" i="13"/>
  <c r="C680" i="13"/>
  <c r="D680" i="13"/>
  <c r="E680" i="13"/>
  <c r="F680" i="13"/>
  <c r="G680" i="13"/>
  <c r="H680" i="13"/>
  <c r="I680" i="13"/>
  <c r="K680" i="13"/>
  <c r="O680" i="13" s="1"/>
  <c r="L680" i="13"/>
  <c r="M680" i="13"/>
  <c r="Q680" i="13"/>
  <c r="R680" i="13"/>
  <c r="A681" i="13"/>
  <c r="B681" i="13"/>
  <c r="C681" i="13"/>
  <c r="D681" i="13"/>
  <c r="E681" i="13"/>
  <c r="F681" i="13"/>
  <c r="G681" i="13"/>
  <c r="H681" i="13"/>
  <c r="I681" i="13"/>
  <c r="K681" i="13"/>
  <c r="O681" i="13" s="1"/>
  <c r="L681" i="13"/>
  <c r="M681" i="13"/>
  <c r="Q681" i="13"/>
  <c r="R681" i="13"/>
  <c r="A555" i="13"/>
  <c r="B555" i="13"/>
  <c r="C555" i="13"/>
  <c r="D555" i="13"/>
  <c r="E555" i="13"/>
  <c r="F555" i="13"/>
  <c r="G555" i="13"/>
  <c r="H555" i="13"/>
  <c r="I555" i="13"/>
  <c r="K555" i="13"/>
  <c r="O555" i="13" s="1"/>
  <c r="L555" i="13"/>
  <c r="M555" i="13"/>
  <c r="Q555" i="13"/>
  <c r="R555" i="13"/>
  <c r="A556" i="13"/>
  <c r="B556" i="13"/>
  <c r="C556" i="13"/>
  <c r="D556" i="13"/>
  <c r="E556" i="13"/>
  <c r="F556" i="13"/>
  <c r="G556" i="13"/>
  <c r="H556" i="13"/>
  <c r="I556" i="13"/>
  <c r="K556" i="13"/>
  <c r="O556" i="13" s="1"/>
  <c r="L556" i="13"/>
  <c r="M556" i="13"/>
  <c r="Q556" i="13"/>
  <c r="R556" i="13"/>
  <c r="A557" i="13"/>
  <c r="B557" i="13"/>
  <c r="C557" i="13"/>
  <c r="D557" i="13"/>
  <c r="E557" i="13"/>
  <c r="F557" i="13"/>
  <c r="G557" i="13"/>
  <c r="H557" i="13"/>
  <c r="I557" i="13"/>
  <c r="K557" i="13"/>
  <c r="O557" i="13" s="1"/>
  <c r="L557" i="13"/>
  <c r="M557" i="13"/>
  <c r="Q557" i="13"/>
  <c r="R557" i="13"/>
  <c r="A558" i="13"/>
  <c r="B558" i="13"/>
  <c r="C558" i="13"/>
  <c r="D558" i="13"/>
  <c r="E558" i="13"/>
  <c r="F558" i="13"/>
  <c r="G558" i="13"/>
  <c r="H558" i="13"/>
  <c r="I558" i="13"/>
  <c r="K558" i="13"/>
  <c r="O558" i="13" s="1"/>
  <c r="L558" i="13"/>
  <c r="M558" i="13"/>
  <c r="Q558" i="13"/>
  <c r="R558" i="13"/>
  <c r="A559" i="13"/>
  <c r="B559" i="13"/>
  <c r="C559" i="13"/>
  <c r="D559" i="13"/>
  <c r="E559" i="13"/>
  <c r="F559" i="13"/>
  <c r="G559" i="13"/>
  <c r="H559" i="13"/>
  <c r="I559" i="13"/>
  <c r="K559" i="13"/>
  <c r="O559" i="13" s="1"/>
  <c r="L559" i="13"/>
  <c r="M559" i="13"/>
  <c r="Q559" i="13"/>
  <c r="R559" i="13"/>
  <c r="A560" i="13"/>
  <c r="B560" i="13"/>
  <c r="C560" i="13"/>
  <c r="D560" i="13"/>
  <c r="E560" i="13"/>
  <c r="F560" i="13"/>
  <c r="G560" i="13"/>
  <c r="H560" i="13"/>
  <c r="I560" i="13"/>
  <c r="K560" i="13"/>
  <c r="O560" i="13" s="1"/>
  <c r="L560" i="13"/>
  <c r="M560" i="13"/>
  <c r="Q560" i="13"/>
  <c r="R560" i="13"/>
  <c r="A561" i="13"/>
  <c r="B561" i="13"/>
  <c r="C561" i="13"/>
  <c r="D561" i="13"/>
  <c r="E561" i="13"/>
  <c r="F561" i="13"/>
  <c r="G561" i="13"/>
  <c r="H561" i="13"/>
  <c r="I561" i="13"/>
  <c r="K561" i="13"/>
  <c r="O561" i="13" s="1"/>
  <c r="L561" i="13"/>
  <c r="M561" i="13"/>
  <c r="Q561" i="13"/>
  <c r="R561" i="13"/>
  <c r="A562" i="13"/>
  <c r="B562" i="13"/>
  <c r="C562" i="13"/>
  <c r="D562" i="13"/>
  <c r="E562" i="13"/>
  <c r="F562" i="13"/>
  <c r="G562" i="13"/>
  <c r="H562" i="13"/>
  <c r="I562" i="13"/>
  <c r="K562" i="13"/>
  <c r="O562" i="13" s="1"/>
  <c r="L562" i="13"/>
  <c r="M562" i="13"/>
  <c r="Q562" i="13"/>
  <c r="R562" i="13"/>
  <c r="A563" i="13"/>
  <c r="B563" i="13"/>
  <c r="C563" i="13"/>
  <c r="D563" i="13"/>
  <c r="E563" i="13"/>
  <c r="F563" i="13"/>
  <c r="G563" i="13"/>
  <c r="H563" i="13"/>
  <c r="I563" i="13"/>
  <c r="K563" i="13"/>
  <c r="O563" i="13" s="1"/>
  <c r="L563" i="13"/>
  <c r="M563" i="13"/>
  <c r="Q563" i="13"/>
  <c r="R563" i="13"/>
  <c r="A564" i="13"/>
  <c r="B564" i="13"/>
  <c r="C564" i="13"/>
  <c r="D564" i="13"/>
  <c r="E564" i="13"/>
  <c r="F564" i="13"/>
  <c r="G564" i="13"/>
  <c r="H564" i="13"/>
  <c r="I564" i="13"/>
  <c r="K564" i="13"/>
  <c r="O564" i="13" s="1"/>
  <c r="L564" i="13"/>
  <c r="M564" i="13"/>
  <c r="Q564" i="13"/>
  <c r="R564" i="13"/>
  <c r="A565" i="13"/>
  <c r="B565" i="13"/>
  <c r="C565" i="13"/>
  <c r="D565" i="13"/>
  <c r="E565" i="13"/>
  <c r="F565" i="13"/>
  <c r="G565" i="13"/>
  <c r="H565" i="13"/>
  <c r="I565" i="13"/>
  <c r="K565" i="13"/>
  <c r="O565" i="13" s="1"/>
  <c r="L565" i="13"/>
  <c r="M565" i="13"/>
  <c r="Q565" i="13"/>
  <c r="R565" i="13"/>
  <c r="A566" i="13"/>
  <c r="B566" i="13"/>
  <c r="C566" i="13"/>
  <c r="D566" i="13"/>
  <c r="E566" i="13"/>
  <c r="F566" i="13"/>
  <c r="G566" i="13"/>
  <c r="H566" i="13"/>
  <c r="I566" i="13"/>
  <c r="K566" i="13"/>
  <c r="O566" i="13" s="1"/>
  <c r="L566" i="13"/>
  <c r="M566" i="13"/>
  <c r="Q566" i="13"/>
  <c r="R566" i="13"/>
  <c r="A567" i="13"/>
  <c r="B567" i="13"/>
  <c r="C567" i="13"/>
  <c r="D567" i="13"/>
  <c r="E567" i="13"/>
  <c r="F567" i="13"/>
  <c r="G567" i="13"/>
  <c r="H567" i="13"/>
  <c r="I567" i="13"/>
  <c r="K567" i="13"/>
  <c r="O567" i="13" s="1"/>
  <c r="L567" i="13"/>
  <c r="M567" i="13"/>
  <c r="Q567" i="13"/>
  <c r="R567" i="13"/>
  <c r="A568" i="13"/>
  <c r="B568" i="13"/>
  <c r="C568" i="13"/>
  <c r="D568" i="13"/>
  <c r="E568" i="13"/>
  <c r="F568" i="13"/>
  <c r="G568" i="13"/>
  <c r="H568" i="13"/>
  <c r="I568" i="13"/>
  <c r="K568" i="13"/>
  <c r="O568" i="13" s="1"/>
  <c r="L568" i="13"/>
  <c r="M568" i="13"/>
  <c r="Q568" i="13"/>
  <c r="R568" i="13"/>
  <c r="A569" i="13"/>
  <c r="B569" i="13"/>
  <c r="C569" i="13"/>
  <c r="D569" i="13"/>
  <c r="E569" i="13"/>
  <c r="F569" i="13"/>
  <c r="G569" i="13"/>
  <c r="H569" i="13"/>
  <c r="I569" i="13"/>
  <c r="K569" i="13"/>
  <c r="O569" i="13" s="1"/>
  <c r="L569" i="13"/>
  <c r="M569" i="13"/>
  <c r="Q569" i="13"/>
  <c r="R569" i="13"/>
  <c r="A570" i="13"/>
  <c r="B570" i="13"/>
  <c r="C570" i="13"/>
  <c r="D570" i="13"/>
  <c r="E570" i="13"/>
  <c r="F570" i="13"/>
  <c r="G570" i="13"/>
  <c r="H570" i="13"/>
  <c r="I570" i="13"/>
  <c r="K570" i="13"/>
  <c r="O570" i="13" s="1"/>
  <c r="L570" i="13"/>
  <c r="M570" i="13"/>
  <c r="Q570" i="13"/>
  <c r="R570" i="13"/>
  <c r="A571" i="13"/>
  <c r="B571" i="13"/>
  <c r="C571" i="13"/>
  <c r="D571" i="13"/>
  <c r="E571" i="13"/>
  <c r="F571" i="13"/>
  <c r="G571" i="13"/>
  <c r="H571" i="13"/>
  <c r="I571" i="13"/>
  <c r="K571" i="13"/>
  <c r="O571" i="13" s="1"/>
  <c r="L571" i="13"/>
  <c r="M571" i="13"/>
  <c r="Q571" i="13"/>
  <c r="R571" i="13"/>
  <c r="A572" i="13"/>
  <c r="B572" i="13"/>
  <c r="C572" i="13"/>
  <c r="D572" i="13"/>
  <c r="E572" i="13"/>
  <c r="F572" i="13"/>
  <c r="G572" i="13"/>
  <c r="H572" i="13"/>
  <c r="I572" i="13"/>
  <c r="K572" i="13"/>
  <c r="O572" i="13" s="1"/>
  <c r="L572" i="13"/>
  <c r="M572" i="13"/>
  <c r="Q572" i="13"/>
  <c r="R572" i="13"/>
  <c r="A573" i="13"/>
  <c r="B573" i="13"/>
  <c r="C573" i="13"/>
  <c r="D573" i="13"/>
  <c r="E573" i="13"/>
  <c r="F573" i="13"/>
  <c r="G573" i="13"/>
  <c r="H573" i="13"/>
  <c r="I573" i="13"/>
  <c r="K573" i="13"/>
  <c r="O573" i="13" s="1"/>
  <c r="L573" i="13"/>
  <c r="M573" i="13"/>
  <c r="Q573" i="13"/>
  <c r="R573" i="13"/>
  <c r="A574" i="13"/>
  <c r="B574" i="13"/>
  <c r="C574" i="13"/>
  <c r="D574" i="13"/>
  <c r="E574" i="13"/>
  <c r="F574" i="13"/>
  <c r="G574" i="13"/>
  <c r="H574" i="13"/>
  <c r="I574" i="13"/>
  <c r="K574" i="13"/>
  <c r="O574" i="13" s="1"/>
  <c r="L574" i="13"/>
  <c r="M574" i="13"/>
  <c r="Q574" i="13"/>
  <c r="R574" i="13"/>
  <c r="A575" i="13"/>
  <c r="B575" i="13"/>
  <c r="C575" i="13"/>
  <c r="D575" i="13"/>
  <c r="E575" i="13"/>
  <c r="F575" i="13"/>
  <c r="G575" i="13"/>
  <c r="H575" i="13"/>
  <c r="I575" i="13"/>
  <c r="K575" i="13"/>
  <c r="O575" i="13" s="1"/>
  <c r="L575" i="13"/>
  <c r="M575" i="13"/>
  <c r="Q575" i="13"/>
  <c r="R575" i="13"/>
  <c r="A576" i="13"/>
  <c r="B576" i="13"/>
  <c r="C576" i="13"/>
  <c r="D576" i="13"/>
  <c r="E576" i="13"/>
  <c r="F576" i="13"/>
  <c r="G576" i="13"/>
  <c r="H576" i="13"/>
  <c r="I576" i="13"/>
  <c r="K576" i="13"/>
  <c r="O576" i="13" s="1"/>
  <c r="L576" i="13"/>
  <c r="M576" i="13"/>
  <c r="Q576" i="13"/>
  <c r="R576" i="13"/>
  <c r="A577" i="13"/>
  <c r="B577" i="13"/>
  <c r="C577" i="13"/>
  <c r="D577" i="13"/>
  <c r="E577" i="13"/>
  <c r="F577" i="13"/>
  <c r="G577" i="13"/>
  <c r="H577" i="13"/>
  <c r="I577" i="13"/>
  <c r="K577" i="13"/>
  <c r="O577" i="13" s="1"/>
  <c r="L577" i="13"/>
  <c r="M577" i="13"/>
  <c r="Q577" i="13"/>
  <c r="R577" i="13"/>
  <c r="A578" i="13"/>
  <c r="B578" i="13"/>
  <c r="C578" i="13"/>
  <c r="D578" i="13"/>
  <c r="E578" i="13"/>
  <c r="F578" i="13"/>
  <c r="G578" i="13"/>
  <c r="H578" i="13"/>
  <c r="I578" i="13"/>
  <c r="K578" i="13"/>
  <c r="O578" i="13" s="1"/>
  <c r="L578" i="13"/>
  <c r="M578" i="13"/>
  <c r="Q578" i="13"/>
  <c r="R578" i="13"/>
  <c r="A579" i="13"/>
  <c r="B579" i="13"/>
  <c r="C579" i="13"/>
  <c r="D579" i="13"/>
  <c r="E579" i="13"/>
  <c r="F579" i="13"/>
  <c r="G579" i="13"/>
  <c r="H579" i="13"/>
  <c r="I579" i="13"/>
  <c r="K579" i="13"/>
  <c r="O579" i="13" s="1"/>
  <c r="L579" i="13"/>
  <c r="M579" i="13"/>
  <c r="Q579" i="13"/>
  <c r="R579" i="13"/>
  <c r="A580" i="13"/>
  <c r="B580" i="13"/>
  <c r="C580" i="13"/>
  <c r="D580" i="13"/>
  <c r="E580" i="13"/>
  <c r="F580" i="13"/>
  <c r="G580" i="13"/>
  <c r="H580" i="13"/>
  <c r="I580" i="13"/>
  <c r="K580" i="13"/>
  <c r="O580" i="13" s="1"/>
  <c r="L580" i="13"/>
  <c r="M580" i="13"/>
  <c r="Q580" i="13"/>
  <c r="R580" i="13"/>
  <c r="A581" i="13"/>
  <c r="B581" i="13"/>
  <c r="C581" i="13"/>
  <c r="D581" i="13"/>
  <c r="E581" i="13"/>
  <c r="F581" i="13"/>
  <c r="G581" i="13"/>
  <c r="H581" i="13"/>
  <c r="I581" i="13"/>
  <c r="K581" i="13"/>
  <c r="O581" i="13" s="1"/>
  <c r="L581" i="13"/>
  <c r="M581" i="13"/>
  <c r="Q581" i="13"/>
  <c r="R581" i="13"/>
  <c r="A582" i="13"/>
  <c r="B582" i="13"/>
  <c r="C582" i="13"/>
  <c r="D582" i="13"/>
  <c r="E582" i="13"/>
  <c r="F582" i="13"/>
  <c r="G582" i="13"/>
  <c r="H582" i="13"/>
  <c r="I582" i="13"/>
  <c r="K582" i="13"/>
  <c r="O582" i="13" s="1"/>
  <c r="L582" i="13"/>
  <c r="M582" i="13"/>
  <c r="Q582" i="13"/>
  <c r="R582" i="13"/>
  <c r="A583" i="13"/>
  <c r="B583" i="13"/>
  <c r="C583" i="13"/>
  <c r="D583" i="13"/>
  <c r="E583" i="13"/>
  <c r="F583" i="13"/>
  <c r="G583" i="13"/>
  <c r="H583" i="13"/>
  <c r="I583" i="13"/>
  <c r="K583" i="13"/>
  <c r="O583" i="13" s="1"/>
  <c r="L583" i="13"/>
  <c r="M583" i="13"/>
  <c r="Q583" i="13"/>
  <c r="R583" i="13"/>
  <c r="A584" i="13"/>
  <c r="B584" i="13"/>
  <c r="C584" i="13"/>
  <c r="D584" i="13"/>
  <c r="E584" i="13"/>
  <c r="F584" i="13"/>
  <c r="G584" i="13"/>
  <c r="H584" i="13"/>
  <c r="I584" i="13"/>
  <c r="K584" i="13"/>
  <c r="O584" i="13" s="1"/>
  <c r="L584" i="13"/>
  <c r="M584" i="13"/>
  <c r="Q584" i="13"/>
  <c r="R584" i="13"/>
  <c r="A585" i="13"/>
  <c r="B585" i="13"/>
  <c r="C585" i="13"/>
  <c r="D585" i="13"/>
  <c r="E585" i="13"/>
  <c r="F585" i="13"/>
  <c r="G585" i="13"/>
  <c r="H585" i="13"/>
  <c r="I585" i="13"/>
  <c r="K585" i="13"/>
  <c r="O585" i="13" s="1"/>
  <c r="L585" i="13"/>
  <c r="M585" i="13"/>
  <c r="Q585" i="13"/>
  <c r="R585" i="13"/>
  <c r="A586" i="13"/>
  <c r="B586" i="13"/>
  <c r="C586" i="13"/>
  <c r="D586" i="13"/>
  <c r="E586" i="13"/>
  <c r="F586" i="13"/>
  <c r="G586" i="13"/>
  <c r="H586" i="13"/>
  <c r="I586" i="13"/>
  <c r="K586" i="13"/>
  <c r="O586" i="13" s="1"/>
  <c r="L586" i="13"/>
  <c r="M586" i="13"/>
  <c r="Q586" i="13"/>
  <c r="R586" i="13"/>
  <c r="A587" i="13"/>
  <c r="B587" i="13"/>
  <c r="C587" i="13"/>
  <c r="D587" i="13"/>
  <c r="E587" i="13"/>
  <c r="F587" i="13"/>
  <c r="G587" i="13"/>
  <c r="H587" i="13"/>
  <c r="I587" i="13"/>
  <c r="K587" i="13"/>
  <c r="O587" i="13" s="1"/>
  <c r="L587" i="13"/>
  <c r="M587" i="13"/>
  <c r="Q587" i="13"/>
  <c r="R587" i="13"/>
  <c r="A588" i="13"/>
  <c r="B588" i="13"/>
  <c r="C588" i="13"/>
  <c r="D588" i="13"/>
  <c r="E588" i="13"/>
  <c r="F588" i="13"/>
  <c r="G588" i="13"/>
  <c r="H588" i="13"/>
  <c r="I588" i="13"/>
  <c r="K588" i="13"/>
  <c r="O588" i="13" s="1"/>
  <c r="L588" i="13"/>
  <c r="M588" i="13"/>
  <c r="Q588" i="13"/>
  <c r="R588" i="13"/>
  <c r="A589" i="13"/>
  <c r="B589" i="13"/>
  <c r="C589" i="13"/>
  <c r="D589" i="13"/>
  <c r="E589" i="13"/>
  <c r="F589" i="13"/>
  <c r="G589" i="13"/>
  <c r="H589" i="13"/>
  <c r="I589" i="13"/>
  <c r="K589" i="13"/>
  <c r="O589" i="13" s="1"/>
  <c r="L589" i="13"/>
  <c r="M589" i="13"/>
  <c r="Q589" i="13"/>
  <c r="R589" i="13"/>
  <c r="A590" i="13"/>
  <c r="B590" i="13"/>
  <c r="C590" i="13"/>
  <c r="D590" i="13"/>
  <c r="E590" i="13"/>
  <c r="F590" i="13"/>
  <c r="G590" i="13"/>
  <c r="H590" i="13"/>
  <c r="I590" i="13"/>
  <c r="K590" i="13"/>
  <c r="O590" i="13" s="1"/>
  <c r="L590" i="13"/>
  <c r="M590" i="13"/>
  <c r="Q590" i="13"/>
  <c r="R590" i="13"/>
  <c r="A591" i="13"/>
  <c r="B591" i="13"/>
  <c r="C591" i="13"/>
  <c r="D591" i="13"/>
  <c r="E591" i="13"/>
  <c r="F591" i="13"/>
  <c r="G591" i="13"/>
  <c r="H591" i="13"/>
  <c r="I591" i="13"/>
  <c r="K591" i="13"/>
  <c r="O591" i="13" s="1"/>
  <c r="L591" i="13"/>
  <c r="M591" i="13"/>
  <c r="Q591" i="13"/>
  <c r="R591" i="13"/>
  <c r="A592" i="13"/>
  <c r="B592" i="13"/>
  <c r="C592" i="13"/>
  <c r="D592" i="13"/>
  <c r="E592" i="13"/>
  <c r="F592" i="13"/>
  <c r="G592" i="13"/>
  <c r="H592" i="13"/>
  <c r="I592" i="13"/>
  <c r="K592" i="13"/>
  <c r="O592" i="13" s="1"/>
  <c r="L592" i="13"/>
  <c r="M592" i="13"/>
  <c r="Q592" i="13"/>
  <c r="R592" i="13"/>
  <c r="A593" i="13"/>
  <c r="B593" i="13"/>
  <c r="C593" i="13"/>
  <c r="D593" i="13"/>
  <c r="E593" i="13"/>
  <c r="F593" i="13"/>
  <c r="G593" i="13"/>
  <c r="H593" i="13"/>
  <c r="I593" i="13"/>
  <c r="K593" i="13"/>
  <c r="O593" i="13" s="1"/>
  <c r="L593" i="13"/>
  <c r="M593" i="13"/>
  <c r="Q593" i="13"/>
  <c r="R593" i="13"/>
  <c r="A594" i="13"/>
  <c r="B594" i="13"/>
  <c r="C594" i="13"/>
  <c r="D594" i="13"/>
  <c r="E594" i="13"/>
  <c r="F594" i="13"/>
  <c r="G594" i="13"/>
  <c r="H594" i="13"/>
  <c r="I594" i="13"/>
  <c r="K594" i="13"/>
  <c r="O594" i="13" s="1"/>
  <c r="L594" i="13"/>
  <c r="M594" i="13"/>
  <c r="Q594" i="13"/>
  <c r="R594" i="13"/>
  <c r="A595" i="13"/>
  <c r="B595" i="13"/>
  <c r="C595" i="13"/>
  <c r="D595" i="13"/>
  <c r="E595" i="13"/>
  <c r="F595" i="13"/>
  <c r="G595" i="13"/>
  <c r="H595" i="13"/>
  <c r="I595" i="13"/>
  <c r="K595" i="13"/>
  <c r="O595" i="13" s="1"/>
  <c r="L595" i="13"/>
  <c r="M595" i="13"/>
  <c r="Q595" i="13"/>
  <c r="R595" i="13"/>
  <c r="A596" i="13"/>
  <c r="B596" i="13"/>
  <c r="C596" i="13"/>
  <c r="D596" i="13"/>
  <c r="E596" i="13"/>
  <c r="F596" i="13"/>
  <c r="G596" i="13"/>
  <c r="H596" i="13"/>
  <c r="I596" i="13"/>
  <c r="K596" i="13"/>
  <c r="O596" i="13" s="1"/>
  <c r="L596" i="13"/>
  <c r="M596" i="13"/>
  <c r="Q596" i="13"/>
  <c r="R596" i="13"/>
  <c r="A597" i="13"/>
  <c r="B597" i="13"/>
  <c r="C597" i="13"/>
  <c r="D597" i="13"/>
  <c r="E597" i="13"/>
  <c r="F597" i="13"/>
  <c r="G597" i="13"/>
  <c r="H597" i="13"/>
  <c r="I597" i="13"/>
  <c r="K597" i="13"/>
  <c r="O597" i="13" s="1"/>
  <c r="L597" i="13"/>
  <c r="M597" i="13"/>
  <c r="Q597" i="13"/>
  <c r="R597" i="13"/>
  <c r="A598" i="13"/>
  <c r="B598" i="13"/>
  <c r="C598" i="13"/>
  <c r="D598" i="13"/>
  <c r="E598" i="13"/>
  <c r="F598" i="13"/>
  <c r="G598" i="13"/>
  <c r="H598" i="13"/>
  <c r="I598" i="13"/>
  <c r="K598" i="13"/>
  <c r="O598" i="13" s="1"/>
  <c r="L598" i="13"/>
  <c r="M598" i="13"/>
  <c r="Q598" i="13"/>
  <c r="R598" i="13"/>
  <c r="A599" i="13"/>
  <c r="B599" i="13"/>
  <c r="C599" i="13"/>
  <c r="D599" i="13"/>
  <c r="E599" i="13"/>
  <c r="F599" i="13"/>
  <c r="G599" i="13"/>
  <c r="H599" i="13"/>
  <c r="I599" i="13"/>
  <c r="K599" i="13"/>
  <c r="O599" i="13" s="1"/>
  <c r="L599" i="13"/>
  <c r="M599" i="13"/>
  <c r="Q599" i="13"/>
  <c r="R599" i="13"/>
  <c r="A600" i="13"/>
  <c r="B600" i="13"/>
  <c r="C600" i="13"/>
  <c r="D600" i="13"/>
  <c r="E600" i="13"/>
  <c r="F600" i="13"/>
  <c r="G600" i="13"/>
  <c r="H600" i="13"/>
  <c r="I600" i="13"/>
  <c r="K600" i="13"/>
  <c r="O600" i="13" s="1"/>
  <c r="L600" i="13"/>
  <c r="M600" i="13"/>
  <c r="Q600" i="13"/>
  <c r="R600" i="13"/>
  <c r="A601" i="13"/>
  <c r="B601" i="13"/>
  <c r="C601" i="13"/>
  <c r="D601" i="13"/>
  <c r="E601" i="13"/>
  <c r="F601" i="13"/>
  <c r="G601" i="13"/>
  <c r="H601" i="13"/>
  <c r="I601" i="13"/>
  <c r="K601" i="13"/>
  <c r="O601" i="13" s="1"/>
  <c r="L601" i="13"/>
  <c r="M601" i="13"/>
  <c r="Q601" i="13"/>
  <c r="R601" i="13"/>
  <c r="A602" i="13"/>
  <c r="B602" i="13"/>
  <c r="C602" i="13"/>
  <c r="D602" i="13"/>
  <c r="E602" i="13"/>
  <c r="F602" i="13"/>
  <c r="G602" i="13"/>
  <c r="H602" i="13"/>
  <c r="I602" i="13"/>
  <c r="K602" i="13"/>
  <c r="O602" i="13" s="1"/>
  <c r="L602" i="13"/>
  <c r="M602" i="13"/>
  <c r="Q602" i="13"/>
  <c r="R602" i="13"/>
  <c r="A603" i="13"/>
  <c r="B603" i="13"/>
  <c r="C603" i="13"/>
  <c r="D603" i="13"/>
  <c r="E603" i="13"/>
  <c r="F603" i="13"/>
  <c r="G603" i="13"/>
  <c r="H603" i="13"/>
  <c r="I603" i="13"/>
  <c r="K603" i="13"/>
  <c r="O603" i="13" s="1"/>
  <c r="L603" i="13"/>
  <c r="M603" i="13"/>
  <c r="Q603" i="13"/>
  <c r="R603" i="13"/>
  <c r="A604" i="13"/>
  <c r="B604" i="13"/>
  <c r="C604" i="13"/>
  <c r="D604" i="13"/>
  <c r="E604" i="13"/>
  <c r="F604" i="13"/>
  <c r="G604" i="13"/>
  <c r="H604" i="13"/>
  <c r="I604" i="13"/>
  <c r="K604" i="13"/>
  <c r="O604" i="13" s="1"/>
  <c r="L604" i="13"/>
  <c r="M604" i="13"/>
  <c r="Q604" i="13"/>
  <c r="R604" i="13"/>
  <c r="A605" i="13"/>
  <c r="B605" i="13"/>
  <c r="C605" i="13"/>
  <c r="D605" i="13"/>
  <c r="E605" i="13"/>
  <c r="F605" i="13"/>
  <c r="G605" i="13"/>
  <c r="H605" i="13"/>
  <c r="I605" i="13"/>
  <c r="K605" i="13"/>
  <c r="O605" i="13" s="1"/>
  <c r="L605" i="13"/>
  <c r="M605" i="13"/>
  <c r="Q605" i="13"/>
  <c r="R605" i="13"/>
  <c r="A606" i="13"/>
  <c r="B606" i="13"/>
  <c r="C606" i="13"/>
  <c r="D606" i="13"/>
  <c r="E606" i="13"/>
  <c r="F606" i="13"/>
  <c r="G606" i="13"/>
  <c r="H606" i="13"/>
  <c r="I606" i="13"/>
  <c r="K606" i="13"/>
  <c r="O606" i="13" s="1"/>
  <c r="L606" i="13"/>
  <c r="M606" i="13"/>
  <c r="Q606" i="13"/>
  <c r="R606" i="13"/>
  <c r="A607" i="13"/>
  <c r="B607" i="13"/>
  <c r="C607" i="13"/>
  <c r="D607" i="13"/>
  <c r="E607" i="13"/>
  <c r="F607" i="13"/>
  <c r="G607" i="13"/>
  <c r="H607" i="13"/>
  <c r="I607" i="13"/>
  <c r="K607" i="13"/>
  <c r="O607" i="13" s="1"/>
  <c r="L607" i="13"/>
  <c r="M607" i="13"/>
  <c r="Q607" i="13"/>
  <c r="R607" i="13"/>
  <c r="A608" i="13"/>
  <c r="B608" i="13"/>
  <c r="C608" i="13"/>
  <c r="D608" i="13"/>
  <c r="E608" i="13"/>
  <c r="F608" i="13"/>
  <c r="G608" i="13"/>
  <c r="H608" i="13"/>
  <c r="I608" i="13"/>
  <c r="K608" i="13"/>
  <c r="O608" i="13" s="1"/>
  <c r="L608" i="13"/>
  <c r="M608" i="13"/>
  <c r="Q608" i="13"/>
  <c r="R608" i="13"/>
  <c r="A609" i="13"/>
  <c r="B609" i="13"/>
  <c r="C609" i="13"/>
  <c r="D609" i="13"/>
  <c r="E609" i="13"/>
  <c r="F609" i="13"/>
  <c r="G609" i="13"/>
  <c r="H609" i="13"/>
  <c r="I609" i="13"/>
  <c r="K609" i="13"/>
  <c r="O609" i="13" s="1"/>
  <c r="L609" i="13"/>
  <c r="M609" i="13"/>
  <c r="Q609" i="13"/>
  <c r="R609" i="13"/>
  <c r="A610" i="13"/>
  <c r="B610" i="13"/>
  <c r="C610" i="13"/>
  <c r="D610" i="13"/>
  <c r="E610" i="13"/>
  <c r="F610" i="13"/>
  <c r="G610" i="13"/>
  <c r="H610" i="13"/>
  <c r="I610" i="13"/>
  <c r="K610" i="13"/>
  <c r="O610" i="13" s="1"/>
  <c r="L610" i="13"/>
  <c r="M610" i="13"/>
  <c r="Q610" i="13"/>
  <c r="R610" i="13"/>
  <c r="A611" i="13"/>
  <c r="B611" i="13"/>
  <c r="C611" i="13"/>
  <c r="D611" i="13"/>
  <c r="E611" i="13"/>
  <c r="F611" i="13"/>
  <c r="G611" i="13"/>
  <c r="H611" i="13"/>
  <c r="I611" i="13"/>
  <c r="K611" i="13"/>
  <c r="O611" i="13" s="1"/>
  <c r="L611" i="13"/>
  <c r="M611" i="13"/>
  <c r="Q611" i="13"/>
  <c r="R611" i="13"/>
  <c r="A612" i="13"/>
  <c r="B612" i="13"/>
  <c r="C612" i="13"/>
  <c r="D612" i="13"/>
  <c r="E612" i="13"/>
  <c r="F612" i="13"/>
  <c r="G612" i="13"/>
  <c r="H612" i="13"/>
  <c r="I612" i="13"/>
  <c r="K612" i="13"/>
  <c r="O612" i="13" s="1"/>
  <c r="L612" i="13"/>
  <c r="M612" i="13"/>
  <c r="Q612" i="13"/>
  <c r="R612" i="13"/>
  <c r="A613" i="13"/>
  <c r="B613" i="13"/>
  <c r="C613" i="13"/>
  <c r="D613" i="13"/>
  <c r="E613" i="13"/>
  <c r="F613" i="13"/>
  <c r="G613" i="13"/>
  <c r="H613" i="13"/>
  <c r="I613" i="13"/>
  <c r="K613" i="13"/>
  <c r="O613" i="13" s="1"/>
  <c r="L613" i="13"/>
  <c r="M613" i="13"/>
  <c r="Q613" i="13"/>
  <c r="R613" i="13"/>
  <c r="A614" i="13"/>
  <c r="B614" i="13"/>
  <c r="C614" i="13"/>
  <c r="D614" i="13"/>
  <c r="E614" i="13"/>
  <c r="F614" i="13"/>
  <c r="G614" i="13"/>
  <c r="H614" i="13"/>
  <c r="I614" i="13"/>
  <c r="K614" i="13"/>
  <c r="O614" i="13" s="1"/>
  <c r="L614" i="13"/>
  <c r="M614" i="13"/>
  <c r="Q614" i="13"/>
  <c r="R614" i="13"/>
  <c r="A615" i="13"/>
  <c r="B615" i="13"/>
  <c r="C615" i="13"/>
  <c r="D615" i="13"/>
  <c r="E615" i="13"/>
  <c r="F615" i="13"/>
  <c r="G615" i="13"/>
  <c r="H615" i="13"/>
  <c r="I615" i="13"/>
  <c r="K615" i="13"/>
  <c r="O615" i="13" s="1"/>
  <c r="L615" i="13"/>
  <c r="M615" i="13"/>
  <c r="Q615" i="13"/>
  <c r="R615" i="13"/>
  <c r="A616" i="13"/>
  <c r="B616" i="13"/>
  <c r="C616" i="13"/>
  <c r="D616" i="13"/>
  <c r="E616" i="13"/>
  <c r="F616" i="13"/>
  <c r="G616" i="13"/>
  <c r="H616" i="13"/>
  <c r="I616" i="13"/>
  <c r="K616" i="13"/>
  <c r="O616" i="13" s="1"/>
  <c r="L616" i="13"/>
  <c r="M616" i="13"/>
  <c r="Q616" i="13"/>
  <c r="R616" i="13"/>
  <c r="A617" i="13"/>
  <c r="B617" i="13"/>
  <c r="C617" i="13"/>
  <c r="D617" i="13"/>
  <c r="E617" i="13"/>
  <c r="F617" i="13"/>
  <c r="G617" i="13"/>
  <c r="H617" i="13"/>
  <c r="I617" i="13"/>
  <c r="K617" i="13"/>
  <c r="O617" i="13" s="1"/>
  <c r="L617" i="13"/>
  <c r="M617" i="13"/>
  <c r="Q617" i="13"/>
  <c r="R617" i="13"/>
  <c r="A618" i="13"/>
  <c r="B618" i="13"/>
  <c r="C618" i="13"/>
  <c r="D618" i="13"/>
  <c r="E618" i="13"/>
  <c r="F618" i="13"/>
  <c r="G618" i="13"/>
  <c r="H618" i="13"/>
  <c r="I618" i="13"/>
  <c r="K618" i="13"/>
  <c r="O618" i="13" s="1"/>
  <c r="L618" i="13"/>
  <c r="M618" i="13"/>
  <c r="Q618" i="13"/>
  <c r="R618" i="13"/>
  <c r="A619" i="13"/>
  <c r="B619" i="13"/>
  <c r="C619" i="13"/>
  <c r="D619" i="13"/>
  <c r="E619" i="13"/>
  <c r="F619" i="13"/>
  <c r="G619" i="13"/>
  <c r="H619" i="13"/>
  <c r="I619" i="13"/>
  <c r="K619" i="13"/>
  <c r="O619" i="13" s="1"/>
  <c r="L619" i="13"/>
  <c r="M619" i="13"/>
  <c r="Q619" i="13"/>
  <c r="R619" i="13"/>
  <c r="A620" i="13"/>
  <c r="B620" i="13"/>
  <c r="C620" i="13"/>
  <c r="D620" i="13"/>
  <c r="E620" i="13"/>
  <c r="F620" i="13"/>
  <c r="G620" i="13"/>
  <c r="H620" i="13"/>
  <c r="I620" i="13"/>
  <c r="K620" i="13"/>
  <c r="O620" i="13" s="1"/>
  <c r="L620" i="13"/>
  <c r="M620" i="13"/>
  <c r="Q620" i="13"/>
  <c r="R620" i="13"/>
  <c r="A621" i="13"/>
  <c r="B621" i="13"/>
  <c r="C621" i="13"/>
  <c r="D621" i="13"/>
  <c r="E621" i="13"/>
  <c r="F621" i="13"/>
  <c r="G621" i="13"/>
  <c r="H621" i="13"/>
  <c r="I621" i="13"/>
  <c r="K621" i="13"/>
  <c r="O621" i="13" s="1"/>
  <c r="L621" i="13"/>
  <c r="M621" i="13"/>
  <c r="Q621" i="13"/>
  <c r="R621" i="13"/>
  <c r="A622" i="13"/>
  <c r="B622" i="13"/>
  <c r="C622" i="13"/>
  <c r="D622" i="13"/>
  <c r="E622" i="13"/>
  <c r="F622" i="13"/>
  <c r="G622" i="13"/>
  <c r="H622" i="13"/>
  <c r="I622" i="13"/>
  <c r="K622" i="13"/>
  <c r="O622" i="13" s="1"/>
  <c r="L622" i="13"/>
  <c r="M622" i="13"/>
  <c r="Q622" i="13"/>
  <c r="R622" i="13"/>
  <c r="A623" i="13"/>
  <c r="B623" i="13"/>
  <c r="C623" i="13"/>
  <c r="D623" i="13"/>
  <c r="E623" i="13"/>
  <c r="F623" i="13"/>
  <c r="G623" i="13"/>
  <c r="H623" i="13"/>
  <c r="I623" i="13"/>
  <c r="K623" i="13"/>
  <c r="O623" i="13" s="1"/>
  <c r="L623" i="13"/>
  <c r="M623" i="13"/>
  <c r="Q623" i="13"/>
  <c r="R623" i="13"/>
  <c r="A624" i="13"/>
  <c r="B624" i="13"/>
  <c r="C624" i="13"/>
  <c r="D624" i="13"/>
  <c r="E624" i="13"/>
  <c r="F624" i="13"/>
  <c r="G624" i="13"/>
  <c r="H624" i="13"/>
  <c r="I624" i="13"/>
  <c r="K624" i="13"/>
  <c r="O624" i="13" s="1"/>
  <c r="L624" i="13"/>
  <c r="M624" i="13"/>
  <c r="Q624" i="13"/>
  <c r="R624" i="13"/>
  <c r="A625" i="13"/>
  <c r="B625" i="13"/>
  <c r="C625" i="13"/>
  <c r="D625" i="13"/>
  <c r="E625" i="13"/>
  <c r="F625" i="13"/>
  <c r="G625" i="13"/>
  <c r="H625" i="13"/>
  <c r="I625" i="13"/>
  <c r="K625" i="13"/>
  <c r="O625" i="13" s="1"/>
  <c r="L625" i="13"/>
  <c r="M625" i="13"/>
  <c r="Q625" i="13"/>
  <c r="R625" i="13"/>
  <c r="A626" i="13"/>
  <c r="B626" i="13"/>
  <c r="C626" i="13"/>
  <c r="D626" i="13"/>
  <c r="E626" i="13"/>
  <c r="F626" i="13"/>
  <c r="G626" i="13"/>
  <c r="H626" i="13"/>
  <c r="I626" i="13"/>
  <c r="K626" i="13"/>
  <c r="O626" i="13" s="1"/>
  <c r="L626" i="13"/>
  <c r="M626" i="13"/>
  <c r="Q626" i="13"/>
  <c r="R626" i="13"/>
  <c r="A627" i="13"/>
  <c r="B627" i="13"/>
  <c r="C627" i="13"/>
  <c r="D627" i="13"/>
  <c r="E627" i="13"/>
  <c r="F627" i="13"/>
  <c r="G627" i="13"/>
  <c r="H627" i="13"/>
  <c r="I627" i="13"/>
  <c r="K627" i="13"/>
  <c r="O627" i="13" s="1"/>
  <c r="L627" i="13"/>
  <c r="M627" i="13"/>
  <c r="Q627" i="13"/>
  <c r="R627" i="13"/>
  <c r="A628" i="13"/>
  <c r="B628" i="13"/>
  <c r="C628" i="13"/>
  <c r="D628" i="13"/>
  <c r="E628" i="13"/>
  <c r="F628" i="13"/>
  <c r="G628" i="13"/>
  <c r="H628" i="13"/>
  <c r="I628" i="13"/>
  <c r="K628" i="13"/>
  <c r="O628" i="13" s="1"/>
  <c r="L628" i="13"/>
  <c r="M628" i="13"/>
  <c r="Q628" i="13"/>
  <c r="R628" i="13"/>
  <c r="A629" i="13"/>
  <c r="B629" i="13"/>
  <c r="C629" i="13"/>
  <c r="D629" i="13"/>
  <c r="E629" i="13"/>
  <c r="F629" i="13"/>
  <c r="G629" i="13"/>
  <c r="H629" i="13"/>
  <c r="I629" i="13"/>
  <c r="K629" i="13"/>
  <c r="O629" i="13" s="1"/>
  <c r="L629" i="13"/>
  <c r="M629" i="13"/>
  <c r="Q629" i="13"/>
  <c r="R629" i="13"/>
  <c r="A630" i="13"/>
  <c r="B630" i="13"/>
  <c r="C630" i="13"/>
  <c r="D630" i="13"/>
  <c r="E630" i="13"/>
  <c r="F630" i="13"/>
  <c r="G630" i="13"/>
  <c r="H630" i="13"/>
  <c r="I630" i="13"/>
  <c r="K630" i="13"/>
  <c r="O630" i="13" s="1"/>
  <c r="L630" i="13"/>
  <c r="M630" i="13"/>
  <c r="Q630" i="13"/>
  <c r="R630" i="13"/>
  <c r="A631" i="13"/>
  <c r="B631" i="13"/>
  <c r="C631" i="13"/>
  <c r="D631" i="13"/>
  <c r="E631" i="13"/>
  <c r="F631" i="13"/>
  <c r="G631" i="13"/>
  <c r="H631" i="13"/>
  <c r="I631" i="13"/>
  <c r="K631" i="13"/>
  <c r="O631" i="13" s="1"/>
  <c r="L631" i="13"/>
  <c r="M631" i="13"/>
  <c r="Q631" i="13"/>
  <c r="R631" i="13"/>
  <c r="A632" i="13"/>
  <c r="B632" i="13"/>
  <c r="C632" i="13"/>
  <c r="D632" i="13"/>
  <c r="E632" i="13"/>
  <c r="F632" i="13"/>
  <c r="G632" i="13"/>
  <c r="H632" i="13"/>
  <c r="I632" i="13"/>
  <c r="K632" i="13"/>
  <c r="O632" i="13" s="1"/>
  <c r="L632" i="13"/>
  <c r="M632" i="13"/>
  <c r="Q632" i="13"/>
  <c r="R632" i="13"/>
  <c r="A633" i="13"/>
  <c r="B633" i="13"/>
  <c r="C633" i="13"/>
  <c r="D633" i="13"/>
  <c r="E633" i="13"/>
  <c r="F633" i="13"/>
  <c r="G633" i="13"/>
  <c r="H633" i="13"/>
  <c r="I633" i="13"/>
  <c r="K633" i="13"/>
  <c r="O633" i="13" s="1"/>
  <c r="L633" i="13"/>
  <c r="M633" i="13"/>
  <c r="Q633" i="13"/>
  <c r="R633" i="13"/>
  <c r="A634" i="13"/>
  <c r="B634" i="13"/>
  <c r="C634" i="13"/>
  <c r="D634" i="13"/>
  <c r="E634" i="13"/>
  <c r="F634" i="13"/>
  <c r="G634" i="13"/>
  <c r="H634" i="13"/>
  <c r="I634" i="13"/>
  <c r="K634" i="13"/>
  <c r="O634" i="13" s="1"/>
  <c r="L634" i="13"/>
  <c r="M634" i="13"/>
  <c r="Q634" i="13"/>
  <c r="R634" i="13"/>
  <c r="A635" i="13"/>
  <c r="B635" i="13"/>
  <c r="C635" i="13"/>
  <c r="D635" i="13"/>
  <c r="E635" i="13"/>
  <c r="F635" i="13"/>
  <c r="G635" i="13"/>
  <c r="H635" i="13"/>
  <c r="I635" i="13"/>
  <c r="K635" i="13"/>
  <c r="O635" i="13" s="1"/>
  <c r="L635" i="13"/>
  <c r="M635" i="13"/>
  <c r="Q635" i="13"/>
  <c r="R635" i="13"/>
  <c r="A636" i="13"/>
  <c r="B636" i="13"/>
  <c r="C636" i="13"/>
  <c r="D636" i="13"/>
  <c r="E636" i="13"/>
  <c r="F636" i="13"/>
  <c r="G636" i="13"/>
  <c r="H636" i="13"/>
  <c r="I636" i="13"/>
  <c r="K636" i="13"/>
  <c r="O636" i="13" s="1"/>
  <c r="L636" i="13"/>
  <c r="M636" i="13"/>
  <c r="Q636" i="13"/>
  <c r="R636" i="13"/>
  <c r="A637" i="13"/>
  <c r="B637" i="13"/>
  <c r="C637" i="13"/>
  <c r="D637" i="13"/>
  <c r="E637" i="13"/>
  <c r="F637" i="13"/>
  <c r="G637" i="13"/>
  <c r="H637" i="13"/>
  <c r="I637" i="13"/>
  <c r="K637" i="13"/>
  <c r="O637" i="13" s="1"/>
  <c r="L637" i="13"/>
  <c r="M637" i="13"/>
  <c r="Q637" i="13"/>
  <c r="R637" i="13"/>
  <c r="A638" i="13"/>
  <c r="B638" i="13"/>
  <c r="C638" i="13"/>
  <c r="D638" i="13"/>
  <c r="E638" i="13"/>
  <c r="F638" i="13"/>
  <c r="G638" i="13"/>
  <c r="H638" i="13"/>
  <c r="I638" i="13"/>
  <c r="K638" i="13"/>
  <c r="O638" i="13" s="1"/>
  <c r="L638" i="13"/>
  <c r="M638" i="13"/>
  <c r="Q638" i="13"/>
  <c r="R638" i="13"/>
  <c r="A639" i="13"/>
  <c r="B639" i="13"/>
  <c r="C639" i="13"/>
  <c r="D639" i="13"/>
  <c r="E639" i="13"/>
  <c r="F639" i="13"/>
  <c r="G639" i="13"/>
  <c r="H639" i="13"/>
  <c r="I639" i="13"/>
  <c r="K639" i="13"/>
  <c r="O639" i="13" s="1"/>
  <c r="L639" i="13"/>
  <c r="M639" i="13"/>
  <c r="Q639" i="13"/>
  <c r="R639" i="13"/>
  <c r="A500" i="13"/>
  <c r="B500" i="13"/>
  <c r="C500" i="13"/>
  <c r="D500" i="13"/>
  <c r="E500" i="13"/>
  <c r="F500" i="13"/>
  <c r="G500" i="13"/>
  <c r="H500" i="13"/>
  <c r="I500" i="13"/>
  <c r="K500" i="13"/>
  <c r="O500" i="13" s="1"/>
  <c r="L500" i="13"/>
  <c r="M500" i="13"/>
  <c r="Q500" i="13"/>
  <c r="R500" i="13"/>
  <c r="A501" i="13"/>
  <c r="B501" i="13"/>
  <c r="C501" i="13"/>
  <c r="D501" i="13"/>
  <c r="E501" i="13"/>
  <c r="F501" i="13"/>
  <c r="G501" i="13"/>
  <c r="H501" i="13"/>
  <c r="I501" i="13"/>
  <c r="K501" i="13"/>
  <c r="O501" i="13" s="1"/>
  <c r="L501" i="13"/>
  <c r="M501" i="13"/>
  <c r="Q501" i="13"/>
  <c r="R501" i="13"/>
  <c r="A502" i="13"/>
  <c r="B502" i="13"/>
  <c r="C502" i="13"/>
  <c r="D502" i="13"/>
  <c r="E502" i="13"/>
  <c r="F502" i="13"/>
  <c r="G502" i="13"/>
  <c r="H502" i="13"/>
  <c r="I502" i="13"/>
  <c r="K502" i="13"/>
  <c r="O502" i="13" s="1"/>
  <c r="L502" i="13"/>
  <c r="M502" i="13"/>
  <c r="Q502" i="13"/>
  <c r="R502" i="13"/>
  <c r="A503" i="13"/>
  <c r="B503" i="13"/>
  <c r="C503" i="13"/>
  <c r="D503" i="13"/>
  <c r="E503" i="13"/>
  <c r="F503" i="13"/>
  <c r="G503" i="13"/>
  <c r="H503" i="13"/>
  <c r="I503" i="13"/>
  <c r="K503" i="13"/>
  <c r="O503" i="13" s="1"/>
  <c r="L503" i="13"/>
  <c r="M503" i="13"/>
  <c r="Q503" i="13"/>
  <c r="R503" i="13"/>
  <c r="A504" i="13"/>
  <c r="B504" i="13"/>
  <c r="C504" i="13"/>
  <c r="D504" i="13"/>
  <c r="E504" i="13"/>
  <c r="F504" i="13"/>
  <c r="G504" i="13"/>
  <c r="H504" i="13"/>
  <c r="I504" i="13"/>
  <c r="K504" i="13"/>
  <c r="O504" i="13" s="1"/>
  <c r="L504" i="13"/>
  <c r="M504" i="13"/>
  <c r="Q504" i="13"/>
  <c r="R504" i="13"/>
  <c r="A505" i="13"/>
  <c r="B505" i="13"/>
  <c r="C505" i="13"/>
  <c r="D505" i="13"/>
  <c r="E505" i="13"/>
  <c r="F505" i="13"/>
  <c r="G505" i="13"/>
  <c r="H505" i="13"/>
  <c r="I505" i="13"/>
  <c r="K505" i="13"/>
  <c r="O505" i="13" s="1"/>
  <c r="L505" i="13"/>
  <c r="M505" i="13"/>
  <c r="Q505" i="13"/>
  <c r="R505" i="13"/>
  <c r="A506" i="13"/>
  <c r="B506" i="13"/>
  <c r="C506" i="13"/>
  <c r="D506" i="13"/>
  <c r="E506" i="13"/>
  <c r="F506" i="13"/>
  <c r="G506" i="13"/>
  <c r="H506" i="13"/>
  <c r="I506" i="13"/>
  <c r="K506" i="13"/>
  <c r="O506" i="13" s="1"/>
  <c r="L506" i="13"/>
  <c r="M506" i="13"/>
  <c r="Q506" i="13"/>
  <c r="R506" i="13"/>
  <c r="A507" i="13"/>
  <c r="B507" i="13"/>
  <c r="C507" i="13"/>
  <c r="D507" i="13"/>
  <c r="E507" i="13"/>
  <c r="F507" i="13"/>
  <c r="G507" i="13"/>
  <c r="H507" i="13"/>
  <c r="I507" i="13"/>
  <c r="K507" i="13"/>
  <c r="O507" i="13" s="1"/>
  <c r="L507" i="13"/>
  <c r="M507" i="13"/>
  <c r="Q507" i="13"/>
  <c r="R507" i="13"/>
  <c r="A508" i="13"/>
  <c r="B508" i="13"/>
  <c r="C508" i="13"/>
  <c r="D508" i="13"/>
  <c r="E508" i="13"/>
  <c r="F508" i="13"/>
  <c r="G508" i="13"/>
  <c r="H508" i="13"/>
  <c r="I508" i="13"/>
  <c r="K508" i="13"/>
  <c r="O508" i="13" s="1"/>
  <c r="L508" i="13"/>
  <c r="M508" i="13"/>
  <c r="Q508" i="13"/>
  <c r="R508" i="13"/>
  <c r="A509" i="13"/>
  <c r="B509" i="13"/>
  <c r="C509" i="13"/>
  <c r="D509" i="13"/>
  <c r="E509" i="13"/>
  <c r="F509" i="13"/>
  <c r="G509" i="13"/>
  <c r="H509" i="13"/>
  <c r="I509" i="13"/>
  <c r="K509" i="13"/>
  <c r="O509" i="13" s="1"/>
  <c r="L509" i="13"/>
  <c r="M509" i="13"/>
  <c r="Q509" i="13"/>
  <c r="R509" i="13"/>
  <c r="A510" i="13"/>
  <c r="B510" i="13"/>
  <c r="C510" i="13"/>
  <c r="D510" i="13"/>
  <c r="E510" i="13"/>
  <c r="F510" i="13"/>
  <c r="G510" i="13"/>
  <c r="H510" i="13"/>
  <c r="I510" i="13"/>
  <c r="K510" i="13"/>
  <c r="O510" i="13" s="1"/>
  <c r="L510" i="13"/>
  <c r="M510" i="13"/>
  <c r="Q510" i="13"/>
  <c r="R510" i="13"/>
  <c r="A511" i="13"/>
  <c r="B511" i="13"/>
  <c r="C511" i="13"/>
  <c r="D511" i="13"/>
  <c r="E511" i="13"/>
  <c r="F511" i="13"/>
  <c r="G511" i="13"/>
  <c r="H511" i="13"/>
  <c r="I511" i="13"/>
  <c r="K511" i="13"/>
  <c r="O511" i="13" s="1"/>
  <c r="L511" i="13"/>
  <c r="M511" i="13"/>
  <c r="Q511" i="13"/>
  <c r="R511" i="13"/>
  <c r="A512" i="13"/>
  <c r="B512" i="13"/>
  <c r="C512" i="13"/>
  <c r="D512" i="13"/>
  <c r="E512" i="13"/>
  <c r="F512" i="13"/>
  <c r="G512" i="13"/>
  <c r="H512" i="13"/>
  <c r="I512" i="13"/>
  <c r="K512" i="13"/>
  <c r="O512" i="13" s="1"/>
  <c r="L512" i="13"/>
  <c r="M512" i="13"/>
  <c r="Q512" i="13"/>
  <c r="R512" i="13"/>
  <c r="A513" i="13"/>
  <c r="B513" i="13"/>
  <c r="C513" i="13"/>
  <c r="D513" i="13"/>
  <c r="E513" i="13"/>
  <c r="F513" i="13"/>
  <c r="G513" i="13"/>
  <c r="H513" i="13"/>
  <c r="I513" i="13"/>
  <c r="K513" i="13"/>
  <c r="O513" i="13" s="1"/>
  <c r="L513" i="13"/>
  <c r="M513" i="13"/>
  <c r="Q513" i="13"/>
  <c r="R513" i="13"/>
  <c r="A514" i="13"/>
  <c r="B514" i="13"/>
  <c r="C514" i="13"/>
  <c r="D514" i="13"/>
  <c r="E514" i="13"/>
  <c r="F514" i="13"/>
  <c r="G514" i="13"/>
  <c r="H514" i="13"/>
  <c r="I514" i="13"/>
  <c r="K514" i="13"/>
  <c r="O514" i="13" s="1"/>
  <c r="L514" i="13"/>
  <c r="M514" i="13"/>
  <c r="Q514" i="13"/>
  <c r="R514" i="13"/>
  <c r="A515" i="13"/>
  <c r="B515" i="13"/>
  <c r="C515" i="13"/>
  <c r="D515" i="13"/>
  <c r="E515" i="13"/>
  <c r="F515" i="13"/>
  <c r="G515" i="13"/>
  <c r="H515" i="13"/>
  <c r="I515" i="13"/>
  <c r="K515" i="13"/>
  <c r="O515" i="13" s="1"/>
  <c r="L515" i="13"/>
  <c r="M515" i="13"/>
  <c r="Q515" i="13"/>
  <c r="R515" i="13"/>
  <c r="A516" i="13"/>
  <c r="B516" i="13"/>
  <c r="C516" i="13"/>
  <c r="D516" i="13"/>
  <c r="E516" i="13"/>
  <c r="F516" i="13"/>
  <c r="G516" i="13"/>
  <c r="H516" i="13"/>
  <c r="I516" i="13"/>
  <c r="K516" i="13"/>
  <c r="O516" i="13" s="1"/>
  <c r="L516" i="13"/>
  <c r="M516" i="13"/>
  <c r="Q516" i="13"/>
  <c r="R516" i="13"/>
  <c r="A517" i="13"/>
  <c r="B517" i="13"/>
  <c r="C517" i="13"/>
  <c r="D517" i="13"/>
  <c r="E517" i="13"/>
  <c r="F517" i="13"/>
  <c r="G517" i="13"/>
  <c r="H517" i="13"/>
  <c r="I517" i="13"/>
  <c r="K517" i="13"/>
  <c r="O517" i="13" s="1"/>
  <c r="L517" i="13"/>
  <c r="M517" i="13"/>
  <c r="Q517" i="13"/>
  <c r="R517" i="13"/>
  <c r="A518" i="13"/>
  <c r="B518" i="13"/>
  <c r="C518" i="13"/>
  <c r="D518" i="13"/>
  <c r="E518" i="13"/>
  <c r="F518" i="13"/>
  <c r="G518" i="13"/>
  <c r="H518" i="13"/>
  <c r="I518" i="13"/>
  <c r="K518" i="13"/>
  <c r="O518" i="13" s="1"/>
  <c r="L518" i="13"/>
  <c r="M518" i="13"/>
  <c r="Q518" i="13"/>
  <c r="R518" i="13"/>
  <c r="A519" i="13"/>
  <c r="B519" i="13"/>
  <c r="C519" i="13"/>
  <c r="D519" i="13"/>
  <c r="E519" i="13"/>
  <c r="F519" i="13"/>
  <c r="G519" i="13"/>
  <c r="H519" i="13"/>
  <c r="I519" i="13"/>
  <c r="K519" i="13"/>
  <c r="O519" i="13" s="1"/>
  <c r="L519" i="13"/>
  <c r="M519" i="13"/>
  <c r="Q519" i="13"/>
  <c r="R519" i="13"/>
  <c r="A520" i="13"/>
  <c r="B520" i="13"/>
  <c r="C520" i="13"/>
  <c r="D520" i="13"/>
  <c r="E520" i="13"/>
  <c r="F520" i="13"/>
  <c r="G520" i="13"/>
  <c r="H520" i="13"/>
  <c r="I520" i="13"/>
  <c r="K520" i="13"/>
  <c r="O520" i="13" s="1"/>
  <c r="L520" i="13"/>
  <c r="M520" i="13"/>
  <c r="Q520" i="13"/>
  <c r="R520" i="13"/>
  <c r="A521" i="13"/>
  <c r="B521" i="13"/>
  <c r="C521" i="13"/>
  <c r="D521" i="13"/>
  <c r="E521" i="13"/>
  <c r="F521" i="13"/>
  <c r="G521" i="13"/>
  <c r="H521" i="13"/>
  <c r="I521" i="13"/>
  <c r="K521" i="13"/>
  <c r="O521" i="13" s="1"/>
  <c r="L521" i="13"/>
  <c r="M521" i="13"/>
  <c r="Q521" i="13"/>
  <c r="R521" i="13"/>
  <c r="A522" i="13"/>
  <c r="B522" i="13"/>
  <c r="C522" i="13"/>
  <c r="D522" i="13"/>
  <c r="E522" i="13"/>
  <c r="F522" i="13"/>
  <c r="G522" i="13"/>
  <c r="H522" i="13"/>
  <c r="I522" i="13"/>
  <c r="K522" i="13"/>
  <c r="O522" i="13" s="1"/>
  <c r="L522" i="13"/>
  <c r="M522" i="13"/>
  <c r="Q522" i="13"/>
  <c r="R522" i="13"/>
  <c r="A523" i="13"/>
  <c r="B523" i="13"/>
  <c r="C523" i="13"/>
  <c r="D523" i="13"/>
  <c r="E523" i="13"/>
  <c r="F523" i="13"/>
  <c r="G523" i="13"/>
  <c r="H523" i="13"/>
  <c r="I523" i="13"/>
  <c r="K523" i="13"/>
  <c r="O523" i="13" s="1"/>
  <c r="L523" i="13"/>
  <c r="M523" i="13"/>
  <c r="Q523" i="13"/>
  <c r="R523" i="13"/>
  <c r="A524" i="13"/>
  <c r="B524" i="13"/>
  <c r="C524" i="13"/>
  <c r="D524" i="13"/>
  <c r="E524" i="13"/>
  <c r="F524" i="13"/>
  <c r="G524" i="13"/>
  <c r="H524" i="13"/>
  <c r="I524" i="13"/>
  <c r="K524" i="13"/>
  <c r="O524" i="13" s="1"/>
  <c r="L524" i="13"/>
  <c r="M524" i="13"/>
  <c r="Q524" i="13"/>
  <c r="R524" i="13"/>
  <c r="A525" i="13"/>
  <c r="B525" i="13"/>
  <c r="C525" i="13"/>
  <c r="D525" i="13"/>
  <c r="E525" i="13"/>
  <c r="F525" i="13"/>
  <c r="G525" i="13"/>
  <c r="H525" i="13"/>
  <c r="I525" i="13"/>
  <c r="K525" i="13"/>
  <c r="O525" i="13" s="1"/>
  <c r="L525" i="13"/>
  <c r="M525" i="13"/>
  <c r="Q525" i="13"/>
  <c r="R525" i="13"/>
  <c r="A526" i="13"/>
  <c r="B526" i="13"/>
  <c r="C526" i="13"/>
  <c r="D526" i="13"/>
  <c r="E526" i="13"/>
  <c r="F526" i="13"/>
  <c r="G526" i="13"/>
  <c r="H526" i="13"/>
  <c r="I526" i="13"/>
  <c r="K526" i="13"/>
  <c r="O526" i="13" s="1"/>
  <c r="L526" i="13"/>
  <c r="M526" i="13"/>
  <c r="Q526" i="13"/>
  <c r="R526" i="13"/>
  <c r="A527" i="13"/>
  <c r="B527" i="13"/>
  <c r="C527" i="13"/>
  <c r="D527" i="13"/>
  <c r="E527" i="13"/>
  <c r="F527" i="13"/>
  <c r="G527" i="13"/>
  <c r="H527" i="13"/>
  <c r="I527" i="13"/>
  <c r="K527" i="13"/>
  <c r="O527" i="13" s="1"/>
  <c r="L527" i="13"/>
  <c r="M527" i="13"/>
  <c r="Q527" i="13"/>
  <c r="R527" i="13"/>
  <c r="A528" i="13"/>
  <c r="B528" i="13"/>
  <c r="C528" i="13"/>
  <c r="D528" i="13"/>
  <c r="E528" i="13"/>
  <c r="F528" i="13"/>
  <c r="G528" i="13"/>
  <c r="H528" i="13"/>
  <c r="I528" i="13"/>
  <c r="K528" i="13"/>
  <c r="O528" i="13" s="1"/>
  <c r="L528" i="13"/>
  <c r="M528" i="13"/>
  <c r="Q528" i="13"/>
  <c r="R528" i="13"/>
  <c r="A529" i="13"/>
  <c r="B529" i="13"/>
  <c r="C529" i="13"/>
  <c r="D529" i="13"/>
  <c r="E529" i="13"/>
  <c r="F529" i="13"/>
  <c r="G529" i="13"/>
  <c r="H529" i="13"/>
  <c r="I529" i="13"/>
  <c r="K529" i="13"/>
  <c r="O529" i="13" s="1"/>
  <c r="L529" i="13"/>
  <c r="M529" i="13"/>
  <c r="Q529" i="13"/>
  <c r="R529" i="13"/>
  <c r="A530" i="13"/>
  <c r="B530" i="13"/>
  <c r="C530" i="13"/>
  <c r="D530" i="13"/>
  <c r="E530" i="13"/>
  <c r="F530" i="13"/>
  <c r="G530" i="13"/>
  <c r="H530" i="13"/>
  <c r="I530" i="13"/>
  <c r="K530" i="13"/>
  <c r="O530" i="13" s="1"/>
  <c r="L530" i="13"/>
  <c r="M530" i="13"/>
  <c r="Q530" i="13"/>
  <c r="R530" i="13"/>
  <c r="A531" i="13"/>
  <c r="B531" i="13"/>
  <c r="C531" i="13"/>
  <c r="D531" i="13"/>
  <c r="E531" i="13"/>
  <c r="F531" i="13"/>
  <c r="G531" i="13"/>
  <c r="H531" i="13"/>
  <c r="I531" i="13"/>
  <c r="K531" i="13"/>
  <c r="O531" i="13" s="1"/>
  <c r="L531" i="13"/>
  <c r="M531" i="13"/>
  <c r="Q531" i="13"/>
  <c r="R531" i="13"/>
  <c r="A532" i="13"/>
  <c r="B532" i="13"/>
  <c r="C532" i="13"/>
  <c r="D532" i="13"/>
  <c r="E532" i="13"/>
  <c r="F532" i="13"/>
  <c r="G532" i="13"/>
  <c r="H532" i="13"/>
  <c r="I532" i="13"/>
  <c r="K532" i="13"/>
  <c r="O532" i="13" s="1"/>
  <c r="L532" i="13"/>
  <c r="M532" i="13"/>
  <c r="Q532" i="13"/>
  <c r="R532" i="13"/>
  <c r="A533" i="13"/>
  <c r="B533" i="13"/>
  <c r="C533" i="13"/>
  <c r="D533" i="13"/>
  <c r="E533" i="13"/>
  <c r="F533" i="13"/>
  <c r="G533" i="13"/>
  <c r="H533" i="13"/>
  <c r="I533" i="13"/>
  <c r="K533" i="13"/>
  <c r="O533" i="13" s="1"/>
  <c r="L533" i="13"/>
  <c r="M533" i="13"/>
  <c r="Q533" i="13"/>
  <c r="R533" i="13"/>
  <c r="A534" i="13"/>
  <c r="B534" i="13"/>
  <c r="C534" i="13"/>
  <c r="D534" i="13"/>
  <c r="E534" i="13"/>
  <c r="F534" i="13"/>
  <c r="G534" i="13"/>
  <c r="H534" i="13"/>
  <c r="I534" i="13"/>
  <c r="K534" i="13"/>
  <c r="O534" i="13" s="1"/>
  <c r="L534" i="13"/>
  <c r="M534" i="13"/>
  <c r="Q534" i="13"/>
  <c r="R534" i="13"/>
  <c r="A535" i="13"/>
  <c r="B535" i="13"/>
  <c r="C535" i="13"/>
  <c r="D535" i="13"/>
  <c r="E535" i="13"/>
  <c r="F535" i="13"/>
  <c r="G535" i="13"/>
  <c r="H535" i="13"/>
  <c r="I535" i="13"/>
  <c r="K535" i="13"/>
  <c r="O535" i="13" s="1"/>
  <c r="L535" i="13"/>
  <c r="M535" i="13"/>
  <c r="Q535" i="13"/>
  <c r="R535" i="13"/>
  <c r="A536" i="13"/>
  <c r="B536" i="13"/>
  <c r="C536" i="13"/>
  <c r="D536" i="13"/>
  <c r="E536" i="13"/>
  <c r="F536" i="13"/>
  <c r="G536" i="13"/>
  <c r="H536" i="13"/>
  <c r="I536" i="13"/>
  <c r="K536" i="13"/>
  <c r="O536" i="13" s="1"/>
  <c r="L536" i="13"/>
  <c r="M536" i="13"/>
  <c r="Q536" i="13"/>
  <c r="R536" i="13"/>
  <c r="A537" i="13"/>
  <c r="B537" i="13"/>
  <c r="C537" i="13"/>
  <c r="D537" i="13"/>
  <c r="E537" i="13"/>
  <c r="F537" i="13"/>
  <c r="G537" i="13"/>
  <c r="H537" i="13"/>
  <c r="I537" i="13"/>
  <c r="K537" i="13"/>
  <c r="O537" i="13" s="1"/>
  <c r="L537" i="13"/>
  <c r="M537" i="13"/>
  <c r="Q537" i="13"/>
  <c r="R537" i="13"/>
  <c r="A538" i="13"/>
  <c r="B538" i="13"/>
  <c r="C538" i="13"/>
  <c r="D538" i="13"/>
  <c r="E538" i="13"/>
  <c r="F538" i="13"/>
  <c r="G538" i="13"/>
  <c r="H538" i="13"/>
  <c r="I538" i="13"/>
  <c r="K538" i="13"/>
  <c r="O538" i="13" s="1"/>
  <c r="L538" i="13"/>
  <c r="M538" i="13"/>
  <c r="Q538" i="13"/>
  <c r="R538" i="13"/>
  <c r="A539" i="13"/>
  <c r="B539" i="13"/>
  <c r="C539" i="13"/>
  <c r="D539" i="13"/>
  <c r="E539" i="13"/>
  <c r="F539" i="13"/>
  <c r="G539" i="13"/>
  <c r="H539" i="13"/>
  <c r="I539" i="13"/>
  <c r="K539" i="13"/>
  <c r="O539" i="13" s="1"/>
  <c r="L539" i="13"/>
  <c r="M539" i="13"/>
  <c r="Q539" i="13"/>
  <c r="R539" i="13"/>
  <c r="A540" i="13"/>
  <c r="B540" i="13"/>
  <c r="C540" i="13"/>
  <c r="D540" i="13"/>
  <c r="E540" i="13"/>
  <c r="F540" i="13"/>
  <c r="G540" i="13"/>
  <c r="H540" i="13"/>
  <c r="I540" i="13"/>
  <c r="K540" i="13"/>
  <c r="O540" i="13" s="1"/>
  <c r="L540" i="13"/>
  <c r="M540" i="13"/>
  <c r="Q540" i="13"/>
  <c r="R540" i="13"/>
  <c r="A541" i="13"/>
  <c r="B541" i="13"/>
  <c r="C541" i="13"/>
  <c r="D541" i="13"/>
  <c r="E541" i="13"/>
  <c r="F541" i="13"/>
  <c r="G541" i="13"/>
  <c r="H541" i="13"/>
  <c r="I541" i="13"/>
  <c r="K541" i="13"/>
  <c r="O541" i="13" s="1"/>
  <c r="L541" i="13"/>
  <c r="M541" i="13"/>
  <c r="Q541" i="13"/>
  <c r="R541" i="13"/>
  <c r="A542" i="13"/>
  <c r="B542" i="13"/>
  <c r="C542" i="13"/>
  <c r="D542" i="13"/>
  <c r="E542" i="13"/>
  <c r="F542" i="13"/>
  <c r="G542" i="13"/>
  <c r="H542" i="13"/>
  <c r="I542" i="13"/>
  <c r="K542" i="13"/>
  <c r="O542" i="13" s="1"/>
  <c r="L542" i="13"/>
  <c r="M542" i="13"/>
  <c r="Q542" i="13"/>
  <c r="R542" i="13"/>
  <c r="A543" i="13"/>
  <c r="B543" i="13"/>
  <c r="C543" i="13"/>
  <c r="D543" i="13"/>
  <c r="E543" i="13"/>
  <c r="F543" i="13"/>
  <c r="G543" i="13"/>
  <c r="H543" i="13"/>
  <c r="I543" i="13"/>
  <c r="K543" i="13"/>
  <c r="O543" i="13" s="1"/>
  <c r="L543" i="13"/>
  <c r="M543" i="13"/>
  <c r="Q543" i="13"/>
  <c r="R543" i="13"/>
  <c r="A544" i="13"/>
  <c r="B544" i="13"/>
  <c r="C544" i="13"/>
  <c r="D544" i="13"/>
  <c r="E544" i="13"/>
  <c r="F544" i="13"/>
  <c r="G544" i="13"/>
  <c r="H544" i="13"/>
  <c r="I544" i="13"/>
  <c r="K544" i="13"/>
  <c r="O544" i="13" s="1"/>
  <c r="L544" i="13"/>
  <c r="M544" i="13"/>
  <c r="Q544" i="13"/>
  <c r="R544" i="13"/>
  <c r="A545" i="13"/>
  <c r="B545" i="13"/>
  <c r="C545" i="13"/>
  <c r="D545" i="13"/>
  <c r="E545" i="13"/>
  <c r="F545" i="13"/>
  <c r="G545" i="13"/>
  <c r="H545" i="13"/>
  <c r="I545" i="13"/>
  <c r="K545" i="13"/>
  <c r="O545" i="13" s="1"/>
  <c r="L545" i="13"/>
  <c r="M545" i="13"/>
  <c r="Q545" i="13"/>
  <c r="R545" i="13"/>
  <c r="A546" i="13"/>
  <c r="B546" i="13"/>
  <c r="C546" i="13"/>
  <c r="D546" i="13"/>
  <c r="E546" i="13"/>
  <c r="F546" i="13"/>
  <c r="G546" i="13"/>
  <c r="H546" i="13"/>
  <c r="I546" i="13"/>
  <c r="K546" i="13"/>
  <c r="O546" i="13" s="1"/>
  <c r="L546" i="13"/>
  <c r="M546" i="13"/>
  <c r="Q546" i="13"/>
  <c r="R546" i="13"/>
  <c r="A547" i="13"/>
  <c r="B547" i="13"/>
  <c r="C547" i="13"/>
  <c r="D547" i="13"/>
  <c r="E547" i="13"/>
  <c r="F547" i="13"/>
  <c r="G547" i="13"/>
  <c r="H547" i="13"/>
  <c r="I547" i="13"/>
  <c r="K547" i="13"/>
  <c r="O547" i="13" s="1"/>
  <c r="L547" i="13"/>
  <c r="M547" i="13"/>
  <c r="Q547" i="13"/>
  <c r="R547" i="13"/>
  <c r="A548" i="13"/>
  <c r="B548" i="13"/>
  <c r="C548" i="13"/>
  <c r="D548" i="13"/>
  <c r="E548" i="13"/>
  <c r="F548" i="13"/>
  <c r="G548" i="13"/>
  <c r="H548" i="13"/>
  <c r="I548" i="13"/>
  <c r="K548" i="13"/>
  <c r="O548" i="13" s="1"/>
  <c r="L548" i="13"/>
  <c r="M548" i="13"/>
  <c r="Q548" i="13"/>
  <c r="R548" i="13"/>
  <c r="A549" i="13"/>
  <c r="B549" i="13"/>
  <c r="C549" i="13"/>
  <c r="D549" i="13"/>
  <c r="E549" i="13"/>
  <c r="F549" i="13"/>
  <c r="G549" i="13"/>
  <c r="H549" i="13"/>
  <c r="I549" i="13"/>
  <c r="K549" i="13"/>
  <c r="O549" i="13" s="1"/>
  <c r="L549" i="13"/>
  <c r="M549" i="13"/>
  <c r="Q549" i="13"/>
  <c r="R549" i="13"/>
  <c r="A550" i="13"/>
  <c r="B550" i="13"/>
  <c r="C550" i="13"/>
  <c r="D550" i="13"/>
  <c r="E550" i="13"/>
  <c r="F550" i="13"/>
  <c r="G550" i="13"/>
  <c r="H550" i="13"/>
  <c r="I550" i="13"/>
  <c r="K550" i="13"/>
  <c r="O550" i="13" s="1"/>
  <c r="L550" i="13"/>
  <c r="M550" i="13"/>
  <c r="Q550" i="13"/>
  <c r="R550" i="13"/>
  <c r="A551" i="13"/>
  <c r="B551" i="13"/>
  <c r="C551" i="13"/>
  <c r="D551" i="13"/>
  <c r="E551" i="13"/>
  <c r="F551" i="13"/>
  <c r="G551" i="13"/>
  <c r="H551" i="13"/>
  <c r="I551" i="13"/>
  <c r="K551" i="13"/>
  <c r="O551" i="13" s="1"/>
  <c r="L551" i="13"/>
  <c r="M551" i="13"/>
  <c r="Q551" i="13"/>
  <c r="R551" i="13"/>
  <c r="A552" i="13"/>
  <c r="B552" i="13"/>
  <c r="C552" i="13"/>
  <c r="D552" i="13"/>
  <c r="E552" i="13"/>
  <c r="F552" i="13"/>
  <c r="G552" i="13"/>
  <c r="H552" i="13"/>
  <c r="I552" i="13"/>
  <c r="K552" i="13"/>
  <c r="O552" i="13" s="1"/>
  <c r="L552" i="13"/>
  <c r="M552" i="13"/>
  <c r="Q552" i="13"/>
  <c r="R552" i="13"/>
  <c r="A553" i="13"/>
  <c r="B553" i="13"/>
  <c r="C553" i="13"/>
  <c r="D553" i="13"/>
  <c r="E553" i="13"/>
  <c r="F553" i="13"/>
  <c r="G553" i="13"/>
  <c r="H553" i="13"/>
  <c r="I553" i="13"/>
  <c r="K553" i="13"/>
  <c r="O553" i="13" s="1"/>
  <c r="L553" i="13"/>
  <c r="M553" i="13"/>
  <c r="Q553" i="13"/>
  <c r="R553" i="13"/>
  <c r="A554" i="13"/>
  <c r="B554" i="13"/>
  <c r="C554" i="13"/>
  <c r="D554" i="13"/>
  <c r="E554" i="13"/>
  <c r="F554" i="13"/>
  <c r="G554" i="13"/>
  <c r="H554" i="13"/>
  <c r="I554" i="13"/>
  <c r="K554" i="13"/>
  <c r="O554" i="13" s="1"/>
  <c r="L554" i="13"/>
  <c r="M554" i="13"/>
  <c r="Q554" i="13"/>
  <c r="R554" i="13"/>
  <c r="J887" i="13" l="1"/>
  <c r="J879" i="13"/>
  <c r="J894" i="13"/>
  <c r="J886" i="13"/>
  <c r="J878" i="13"/>
  <c r="J893" i="13"/>
  <c r="J877" i="13"/>
  <c r="J892" i="13"/>
  <c r="J884" i="13"/>
  <c r="J876" i="13"/>
  <c r="J885" i="13"/>
  <c r="J891" i="13"/>
  <c r="J883" i="13"/>
  <c r="J875" i="13"/>
  <c r="J890" i="13"/>
  <c r="J882" i="13"/>
  <c r="J889" i="13"/>
  <c r="J881" i="13"/>
  <c r="J888" i="13"/>
  <c r="J880" i="13"/>
  <c r="J858" i="13"/>
  <c r="J873" i="13"/>
  <c r="J866" i="13"/>
  <c r="J859" i="13"/>
  <c r="J850" i="13"/>
  <c r="J874" i="13"/>
  <c r="J828" i="13"/>
  <c r="J865" i="13"/>
  <c r="J851" i="13"/>
  <c r="J867" i="13"/>
  <c r="J857" i="13"/>
  <c r="J849" i="13"/>
  <c r="N867" i="13"/>
  <c r="J853" i="13"/>
  <c r="N859" i="13"/>
  <c r="J860" i="13"/>
  <c r="J852" i="13"/>
  <c r="J811" i="13"/>
  <c r="J803" i="13"/>
  <c r="J843" i="13"/>
  <c r="J819" i="13"/>
  <c r="J835" i="13"/>
  <c r="N827" i="13"/>
  <c r="J868" i="13"/>
  <c r="N865" i="13"/>
  <c r="J845" i="13"/>
  <c r="J861" i="13"/>
  <c r="N863" i="13"/>
  <c r="N864" i="13"/>
  <c r="N851" i="13"/>
  <c r="J808" i="13"/>
  <c r="J800" i="13"/>
  <c r="J799" i="13"/>
  <c r="J839" i="13"/>
  <c r="J815" i="13"/>
  <c r="J831" i="13"/>
  <c r="N819" i="13"/>
  <c r="J807" i="13"/>
  <c r="J823" i="13"/>
  <c r="N853" i="13"/>
  <c r="N835" i="13"/>
  <c r="N852" i="13"/>
  <c r="N836" i="13"/>
  <c r="N828" i="13"/>
  <c r="N820" i="13"/>
  <c r="N804" i="13"/>
  <c r="N866" i="13"/>
  <c r="N850" i="13"/>
  <c r="J840" i="13"/>
  <c r="N846" i="13"/>
  <c r="N849" i="13"/>
  <c r="J816" i="13"/>
  <c r="J804" i="13"/>
  <c r="J836" i="13"/>
  <c r="J824" i="13"/>
  <c r="J812" i="13"/>
  <c r="N844" i="13"/>
  <c r="J832" i="13"/>
  <c r="N803" i="13"/>
  <c r="N861" i="13"/>
  <c r="N845" i="13"/>
  <c r="N873" i="13"/>
  <c r="N857" i="13"/>
  <c r="J813" i="13"/>
  <c r="N799" i="13"/>
  <c r="N858" i="13"/>
  <c r="J837" i="13"/>
  <c r="N812" i="13"/>
  <c r="J872" i="13"/>
  <c r="J871" i="13"/>
  <c r="J864" i="13"/>
  <c r="J863" i="13"/>
  <c r="J856" i="13"/>
  <c r="J855" i="13"/>
  <c r="J848" i="13"/>
  <c r="J847" i="13"/>
  <c r="J842" i="13"/>
  <c r="J834" i="13"/>
  <c r="J818" i="13"/>
  <c r="J826" i="13"/>
  <c r="J802" i="13"/>
  <c r="J838" i="13"/>
  <c r="J814" i="13"/>
  <c r="J829" i="13"/>
  <c r="J830" i="13"/>
  <c r="J805" i="13"/>
  <c r="J806" i="13"/>
  <c r="J821" i="13"/>
  <c r="J822" i="13"/>
  <c r="N798" i="13"/>
  <c r="N796" i="13"/>
  <c r="N797" i="13"/>
  <c r="N795" i="13"/>
  <c r="N792" i="13"/>
  <c r="N791" i="13"/>
  <c r="N794" i="13"/>
  <c r="N793" i="13"/>
  <c r="N788" i="13"/>
  <c r="N790" i="13"/>
  <c r="N789" i="13"/>
  <c r="J783" i="13"/>
  <c r="N784" i="13"/>
  <c r="N787" i="13"/>
  <c r="J657" i="13"/>
  <c r="J675" i="13"/>
  <c r="J699" i="13"/>
  <c r="J700" i="13"/>
  <c r="N785" i="13"/>
  <c r="J674" i="13"/>
  <c r="N786" i="13"/>
  <c r="J798" i="13"/>
  <c r="J791" i="13"/>
  <c r="J792" i="13"/>
  <c r="J793" i="13"/>
  <c r="J794" i="13"/>
  <c r="J795" i="13"/>
  <c r="J796" i="13"/>
  <c r="J797" i="13"/>
  <c r="J787" i="13"/>
  <c r="J788" i="13"/>
  <c r="J784" i="13"/>
  <c r="J790" i="13"/>
  <c r="J789" i="13"/>
  <c r="J786" i="13"/>
  <c r="J785" i="13"/>
  <c r="J770" i="13"/>
  <c r="J773" i="13"/>
  <c r="J765" i="13"/>
  <c r="P752" i="13"/>
  <c r="P777" i="13"/>
  <c r="P616" i="13"/>
  <c r="P551" i="13"/>
  <c r="P547" i="13"/>
  <c r="P543" i="13"/>
  <c r="P539" i="13"/>
  <c r="P535" i="13"/>
  <c r="P531" i="13"/>
  <c r="P527" i="13"/>
  <c r="P815" i="13"/>
  <c r="P768" i="13"/>
  <c r="P873" i="13"/>
  <c r="P871" i="13"/>
  <c r="P869" i="13"/>
  <c r="P865" i="13"/>
  <c r="P848" i="13"/>
  <c r="P845" i="13"/>
  <c r="P844" i="13"/>
  <c r="P840" i="13"/>
  <c r="P836" i="13"/>
  <c r="P833" i="13"/>
  <c r="P832" i="13"/>
  <c r="P829" i="13"/>
  <c r="P828" i="13"/>
  <c r="P827" i="13"/>
  <c r="P825" i="13"/>
  <c r="P824" i="13"/>
  <c r="P823" i="13"/>
  <c r="P822" i="13"/>
  <c r="P821" i="13"/>
  <c r="P819" i="13"/>
  <c r="P817" i="13"/>
  <c r="P770" i="13"/>
  <c r="P766" i="13"/>
  <c r="P631" i="13"/>
  <c r="P627" i="13"/>
  <c r="P599" i="13"/>
  <c r="P595" i="13"/>
  <c r="P579" i="13"/>
  <c r="P575" i="13"/>
  <c r="P729" i="13"/>
  <c r="P717" i="13"/>
  <c r="P713" i="13"/>
  <c r="P709" i="13"/>
  <c r="P697" i="13"/>
  <c r="P685" i="13"/>
  <c r="P874" i="13"/>
  <c r="P796" i="13"/>
  <c r="P793" i="13"/>
  <c r="P792" i="13"/>
  <c r="P788" i="13"/>
  <c r="P784" i="13"/>
  <c r="P783" i="13"/>
  <c r="P747" i="13"/>
  <c r="P743" i="13"/>
  <c r="P754" i="13"/>
  <c r="P666" i="13"/>
  <c r="P658" i="13"/>
  <c r="P735" i="13"/>
  <c r="P702" i="13"/>
  <c r="P690" i="13"/>
  <c r="P779" i="13"/>
  <c r="P753" i="13"/>
  <c r="P560" i="13"/>
  <c r="P723" i="13"/>
  <c r="P775" i="13"/>
  <c r="P771" i="13"/>
  <c r="P767" i="13"/>
  <c r="P758" i="13"/>
  <c r="P675" i="13"/>
  <c r="P671" i="13"/>
  <c r="P667" i="13"/>
  <c r="P663" i="13"/>
  <c r="P659" i="13"/>
  <c r="P740" i="13"/>
  <c r="P715" i="13"/>
  <c r="P711" i="13"/>
  <c r="P860" i="13"/>
  <c r="P859" i="13"/>
  <c r="P858" i="13"/>
  <c r="P857" i="13"/>
  <c r="P856" i="13"/>
  <c r="P853" i="13"/>
  <c r="P852" i="13"/>
  <c r="P851" i="13"/>
  <c r="P850" i="13"/>
  <c r="P849" i="13"/>
  <c r="P809" i="13"/>
  <c r="P808" i="13"/>
  <c r="P807" i="13"/>
  <c r="P805" i="13"/>
  <c r="P804" i="13"/>
  <c r="P803" i="13"/>
  <c r="P802" i="13"/>
  <c r="P801" i="13"/>
  <c r="P800" i="13"/>
  <c r="P799" i="13"/>
  <c r="P798" i="13"/>
  <c r="P797" i="13"/>
  <c r="P688" i="13"/>
  <c r="P598" i="13"/>
  <c r="P594" i="13"/>
  <c r="P574" i="13"/>
  <c r="P725" i="13"/>
  <c r="P721" i="13"/>
  <c r="P864" i="13"/>
  <c r="P863" i="13"/>
  <c r="P862" i="13"/>
  <c r="P861" i="13"/>
  <c r="P839" i="13"/>
  <c r="P838" i="13"/>
  <c r="P837" i="13"/>
  <c r="P813" i="13"/>
  <c r="P812" i="13"/>
  <c r="P811" i="13"/>
  <c r="P810" i="13"/>
  <c r="P787" i="13"/>
  <c r="P786" i="13"/>
  <c r="P785" i="13"/>
  <c r="P782" i="13"/>
  <c r="P773" i="13"/>
  <c r="P769" i="13"/>
  <c r="P765" i="13"/>
  <c r="P760" i="13"/>
  <c r="P651" i="13"/>
  <c r="P680" i="13"/>
  <c r="P741" i="13"/>
  <c r="P720" i="13"/>
  <c r="P872" i="13"/>
  <c r="P847" i="13"/>
  <c r="P846" i="13"/>
  <c r="P820" i="13"/>
  <c r="P795" i="13"/>
  <c r="P794" i="13"/>
  <c r="P613" i="13"/>
  <c r="P605" i="13"/>
  <c r="P601" i="13"/>
  <c r="P597" i="13"/>
  <c r="P593" i="13"/>
  <c r="P585" i="13"/>
  <c r="P581" i="13"/>
  <c r="P577" i="13"/>
  <c r="P573" i="13"/>
  <c r="P569" i="13"/>
  <c r="P561" i="13"/>
  <c r="P749" i="13"/>
  <c r="P781" i="13"/>
  <c r="P776" i="13"/>
  <c r="P772" i="13"/>
  <c r="P764" i="13"/>
  <c r="P759" i="13"/>
  <c r="P554" i="13"/>
  <c r="P550" i="13"/>
  <c r="P546" i="13"/>
  <c r="P542" i="13"/>
  <c r="P538" i="13"/>
  <c r="P534" i="13"/>
  <c r="P530" i="13"/>
  <c r="P526" i="13"/>
  <c r="P672" i="13"/>
  <c r="P668" i="13"/>
  <c r="P664" i="13"/>
  <c r="P660" i="13"/>
  <c r="P652" i="13"/>
  <c r="P737" i="13"/>
  <c r="P708" i="13"/>
  <c r="P704" i="13"/>
  <c r="P691" i="13"/>
  <c r="P683" i="13"/>
  <c r="P868" i="13"/>
  <c r="P867" i="13"/>
  <c r="P866" i="13"/>
  <c r="P841" i="13"/>
  <c r="P816" i="13"/>
  <c r="P789" i="13"/>
  <c r="P630" i="13"/>
  <c r="P746" i="13"/>
  <c r="P826" i="13"/>
  <c r="P814" i="13"/>
  <c r="P734" i="13"/>
  <c r="P724" i="13"/>
  <c r="P714" i="13"/>
  <c r="P710" i="13"/>
  <c r="P705" i="13"/>
  <c r="P701" i="13"/>
  <c r="P682" i="13"/>
  <c r="P835" i="13"/>
  <c r="P834" i="13"/>
  <c r="P778" i="13"/>
  <c r="P750" i="13"/>
  <c r="P552" i="13"/>
  <c r="P544" i="13"/>
  <c r="P540" i="13"/>
  <c r="P536" i="13"/>
  <c r="P532" i="13"/>
  <c r="P636" i="13"/>
  <c r="P632" i="13"/>
  <c r="P628" i="13"/>
  <c r="P748" i="13"/>
  <c r="P744" i="13"/>
  <c r="P692" i="13"/>
  <c r="P763" i="13"/>
  <c r="P761" i="13"/>
  <c r="P755" i="13"/>
  <c r="P870" i="13"/>
  <c r="P831" i="13"/>
  <c r="P830" i="13"/>
  <c r="P818" i="13"/>
  <c r="P806" i="13"/>
  <c r="P553" i="13"/>
  <c r="P549" i="13"/>
  <c r="P545" i="13"/>
  <c r="P541" i="13"/>
  <c r="P537" i="13"/>
  <c r="P533" i="13"/>
  <c r="P637" i="13"/>
  <c r="P633" i="13"/>
  <c r="P629" i="13"/>
  <c r="P745" i="13"/>
  <c r="P693" i="13"/>
  <c r="P855" i="13"/>
  <c r="P854" i="13"/>
  <c r="P843" i="13"/>
  <c r="P842" i="13"/>
  <c r="P791" i="13"/>
  <c r="P790" i="13"/>
  <c r="P756" i="13"/>
  <c r="P604" i="13"/>
  <c r="P600" i="13"/>
  <c r="P596" i="13"/>
  <c r="P592" i="13"/>
  <c r="P584" i="13"/>
  <c r="P580" i="13"/>
  <c r="P576" i="13"/>
  <c r="P572" i="13"/>
  <c r="P665" i="13"/>
  <c r="P653" i="13"/>
  <c r="P736" i="13"/>
  <c r="P726" i="13"/>
  <c r="P722" i="13"/>
  <c r="P716" i="13"/>
  <c r="P712" i="13"/>
  <c r="P703" i="13"/>
  <c r="P684" i="13"/>
  <c r="P780" i="13"/>
  <c r="P774" i="13"/>
  <c r="P751" i="13"/>
  <c r="J673" i="13"/>
  <c r="N652" i="13"/>
  <c r="J736" i="13"/>
  <c r="J714" i="13"/>
  <c r="J703" i="13"/>
  <c r="J695" i="13"/>
  <c r="N695" i="13"/>
  <c r="J707" i="13"/>
  <c r="N739" i="13"/>
  <c r="J751" i="13"/>
  <c r="J763" i="13"/>
  <c r="N651" i="13"/>
  <c r="J651" i="13"/>
  <c r="N691" i="13"/>
  <c r="J701" i="13"/>
  <c r="N746" i="13"/>
  <c r="N738" i="13"/>
  <c r="J750" i="13"/>
  <c r="J778" i="13"/>
  <c r="J762" i="13"/>
  <c r="J672" i="13"/>
  <c r="J658" i="13"/>
  <c r="J746" i="13"/>
  <c r="J745" i="13"/>
  <c r="J740" i="13"/>
  <c r="J739" i="13"/>
  <c r="J738" i="13"/>
  <c r="J737" i="13"/>
  <c r="J715" i="13"/>
  <c r="J704" i="13"/>
  <c r="J696" i="13"/>
  <c r="J685" i="13"/>
  <c r="J686" i="13"/>
  <c r="N702" i="13"/>
  <c r="J779" i="13"/>
  <c r="N690" i="13"/>
  <c r="N713" i="13"/>
  <c r="N693" i="13"/>
  <c r="J705" i="13"/>
  <c r="N725" i="13"/>
  <c r="N737" i="13"/>
  <c r="J753" i="13"/>
  <c r="J777" i="13"/>
  <c r="J769" i="13"/>
  <c r="J761" i="13"/>
  <c r="N681" i="13"/>
  <c r="J671" i="13"/>
  <c r="J670" i="13"/>
  <c r="J669" i="13"/>
  <c r="J668" i="13"/>
  <c r="J667" i="13"/>
  <c r="J666" i="13"/>
  <c r="J665" i="13"/>
  <c r="J664" i="13"/>
  <c r="J659" i="13"/>
  <c r="J747" i="13"/>
  <c r="P733" i="13"/>
  <c r="P732" i="13"/>
  <c r="P728" i="13"/>
  <c r="J716" i="13"/>
  <c r="P700" i="13"/>
  <c r="N658" i="13"/>
  <c r="J771" i="13"/>
  <c r="N671" i="13"/>
  <c r="J683" i="13"/>
  <c r="N714" i="13"/>
  <c r="N694" i="13"/>
  <c r="J706" i="13"/>
  <c r="N726" i="13"/>
  <c r="J754" i="13"/>
  <c r="J650" i="13"/>
  <c r="N656" i="13"/>
  <c r="N670" i="13"/>
  <c r="J682" i="13"/>
  <c r="J649" i="13"/>
  <c r="N655" i="13"/>
  <c r="N677" i="13"/>
  <c r="J689" i="13"/>
  <c r="J698" i="13"/>
  <c r="J712" i="13"/>
  <c r="J744" i="13"/>
  <c r="N736" i="13"/>
  <c r="N740" i="13"/>
  <c r="J752" i="13"/>
  <c r="N745" i="13"/>
  <c r="J757" i="13"/>
  <c r="J776" i="13"/>
  <c r="J768" i="13"/>
  <c r="N749" i="13"/>
  <c r="J760" i="13"/>
  <c r="P625" i="13"/>
  <c r="P624" i="13"/>
  <c r="P621" i="13"/>
  <c r="P620" i="13"/>
  <c r="P619" i="13"/>
  <c r="P618" i="13"/>
  <c r="P617" i="13"/>
  <c r="N680" i="13"/>
  <c r="N679" i="13"/>
  <c r="N678" i="13"/>
  <c r="J663" i="13"/>
  <c r="J662" i="13"/>
  <c r="J661" i="13"/>
  <c r="J660" i="13"/>
  <c r="J748" i="13"/>
  <c r="J725" i="13"/>
  <c r="J724" i="13"/>
  <c r="J723" i="13"/>
  <c r="J722" i="13"/>
  <c r="J717" i="13"/>
  <c r="J690" i="13"/>
  <c r="P762" i="13"/>
  <c r="N673" i="13"/>
  <c r="P654" i="13"/>
  <c r="J653" i="13"/>
  <c r="J652" i="13"/>
  <c r="J749" i="13"/>
  <c r="P727" i="13"/>
  <c r="J726" i="13"/>
  <c r="J691" i="13"/>
  <c r="N692" i="13"/>
  <c r="N715" i="13"/>
  <c r="N727" i="13"/>
  <c r="J755" i="13"/>
  <c r="N654" i="13"/>
  <c r="J711" i="13"/>
  <c r="J759" i="13"/>
  <c r="N685" i="13"/>
  <c r="J697" i="13"/>
  <c r="N734" i="13"/>
  <c r="J782" i="13"/>
  <c r="P655" i="13"/>
  <c r="J654" i="13"/>
  <c r="J727" i="13"/>
  <c r="P696" i="13"/>
  <c r="J692" i="13"/>
  <c r="J781" i="13"/>
  <c r="P757" i="13"/>
  <c r="N672" i="13"/>
  <c r="J684" i="13"/>
  <c r="J719" i="13"/>
  <c r="J731" i="13"/>
  <c r="N735" i="13"/>
  <c r="J775" i="13"/>
  <c r="J710" i="13"/>
  <c r="J766" i="13"/>
  <c r="J648" i="13"/>
  <c r="N660" i="13"/>
  <c r="N676" i="13"/>
  <c r="J688" i="13"/>
  <c r="N704" i="13"/>
  <c r="J709" i="13"/>
  <c r="N716" i="13"/>
  <c r="J718" i="13"/>
  <c r="J721" i="13"/>
  <c r="N729" i="13"/>
  <c r="J741" i="13"/>
  <c r="J733" i="13"/>
  <c r="J681" i="13"/>
  <c r="P679" i="13"/>
  <c r="P678" i="13"/>
  <c r="P677" i="13"/>
  <c r="P676" i="13"/>
  <c r="N669" i="13"/>
  <c r="N668" i="13"/>
  <c r="N667" i="13"/>
  <c r="N666" i="13"/>
  <c r="N665" i="13"/>
  <c r="N664" i="13"/>
  <c r="P656" i="13"/>
  <c r="J655" i="13"/>
  <c r="J734" i="13"/>
  <c r="J729" i="13"/>
  <c r="J728" i="13"/>
  <c r="J693" i="13"/>
  <c r="N717" i="13"/>
  <c r="J743" i="13"/>
  <c r="J756" i="13"/>
  <c r="J767" i="13"/>
  <c r="N653" i="13"/>
  <c r="J730" i="13"/>
  <c r="J742" i="13"/>
  <c r="J774" i="13"/>
  <c r="J758" i="13"/>
  <c r="J647" i="13"/>
  <c r="N659" i="13"/>
  <c r="J687" i="13"/>
  <c r="N703" i="13"/>
  <c r="N696" i="13"/>
  <c r="J708" i="13"/>
  <c r="N728" i="13"/>
  <c r="J720" i="13"/>
  <c r="J732" i="13"/>
  <c r="J780" i="13"/>
  <c r="J772" i="13"/>
  <c r="J764" i="13"/>
  <c r="J680" i="13"/>
  <c r="J679" i="13"/>
  <c r="J678" i="13"/>
  <c r="J677" i="13"/>
  <c r="J676" i="13"/>
  <c r="N661" i="13"/>
  <c r="P657" i="13"/>
  <c r="J656" i="13"/>
  <c r="P648" i="13"/>
  <c r="P742" i="13"/>
  <c r="J735" i="13"/>
  <c r="N724" i="13"/>
  <c r="N723" i="13"/>
  <c r="N722" i="13"/>
  <c r="J713" i="13"/>
  <c r="J702" i="13"/>
  <c r="J694" i="13"/>
  <c r="P689" i="13"/>
  <c r="P731" i="13"/>
  <c r="P730" i="13"/>
  <c r="P699" i="13"/>
  <c r="P698" i="13"/>
  <c r="P647" i="13"/>
  <c r="P646" i="13"/>
  <c r="P645" i="13"/>
  <c r="P644" i="13"/>
  <c r="P643" i="13"/>
  <c r="P642" i="13"/>
  <c r="P641" i="13"/>
  <c r="P640" i="13"/>
  <c r="P719" i="13"/>
  <c r="P718" i="13"/>
  <c r="P687" i="13"/>
  <c r="P686" i="13"/>
  <c r="P739" i="13"/>
  <c r="P738" i="13"/>
  <c r="P707" i="13"/>
  <c r="P706" i="13"/>
  <c r="P695" i="13"/>
  <c r="P694" i="13"/>
  <c r="P518" i="13"/>
  <c r="P515" i="13"/>
  <c r="P514" i="13"/>
  <c r="P513" i="13"/>
  <c r="P512" i="13"/>
  <c r="P511" i="13"/>
  <c r="P510" i="13"/>
  <c r="P509" i="13"/>
  <c r="P508" i="13"/>
  <c r="P507" i="13"/>
  <c r="P506" i="13"/>
  <c r="P505" i="13"/>
  <c r="P504" i="13"/>
  <c r="P503" i="13"/>
  <c r="P639" i="13"/>
  <c r="P638" i="13"/>
  <c r="P589" i="13"/>
  <c r="P588" i="13"/>
  <c r="P587" i="13"/>
  <c r="P586" i="13"/>
  <c r="P568" i="13"/>
  <c r="P567" i="13"/>
  <c r="P566" i="13"/>
  <c r="P565" i="13"/>
  <c r="P564" i="13"/>
  <c r="P563" i="13"/>
  <c r="P562" i="13"/>
  <c r="P674" i="13"/>
  <c r="P673" i="13"/>
  <c r="P662" i="13"/>
  <c r="P661" i="13"/>
  <c r="P612" i="13"/>
  <c r="P611" i="13"/>
  <c r="P610" i="13"/>
  <c r="P609" i="13"/>
  <c r="P608" i="13"/>
  <c r="P607" i="13"/>
  <c r="P606" i="13"/>
  <c r="P557" i="13"/>
  <c r="P556" i="13"/>
  <c r="P555" i="13"/>
  <c r="P681" i="13"/>
  <c r="P650" i="13"/>
  <c r="P649" i="13"/>
  <c r="P670" i="13"/>
  <c r="P669" i="13"/>
  <c r="P626" i="13"/>
  <c r="P615" i="13"/>
  <c r="P614" i="13"/>
  <c r="P583" i="13"/>
  <c r="P582" i="13"/>
  <c r="P635" i="13"/>
  <c r="P634" i="13"/>
  <c r="P603" i="13"/>
  <c r="P602" i="13"/>
  <c r="P571" i="13"/>
  <c r="P570" i="13"/>
  <c r="P523" i="13"/>
  <c r="P522" i="13"/>
  <c r="P521" i="13"/>
  <c r="P520" i="13"/>
  <c r="P519" i="13"/>
  <c r="P623" i="13"/>
  <c r="P622" i="13"/>
  <c r="P591" i="13"/>
  <c r="P590" i="13"/>
  <c r="P559" i="13"/>
  <c r="P558" i="13"/>
  <c r="P578" i="13"/>
  <c r="P529" i="13"/>
  <c r="P528" i="13"/>
  <c r="P548" i="13"/>
  <c r="P517" i="13"/>
  <c r="P516" i="13"/>
  <c r="P525" i="13"/>
  <c r="P524" i="13"/>
  <c r="P502" i="13"/>
  <c r="P501" i="13"/>
  <c r="P500" i="13"/>
  <c r="N663" i="13"/>
  <c r="N662" i="13"/>
  <c r="N880" i="13" l="1"/>
  <c r="N888" i="13"/>
  <c r="N882" i="13"/>
  <c r="N891" i="13"/>
  <c r="N892" i="13"/>
  <c r="N886" i="13"/>
  <c r="N890" i="13"/>
  <c r="N885" i="13"/>
  <c r="N877" i="13"/>
  <c r="N894" i="13"/>
  <c r="N881" i="13"/>
  <c r="N875" i="13"/>
  <c r="N876" i="13"/>
  <c r="N893" i="13"/>
  <c r="N879" i="13"/>
  <c r="N889" i="13"/>
  <c r="N883" i="13"/>
  <c r="N884" i="13"/>
  <c r="N878" i="13"/>
  <c r="N887" i="13"/>
  <c r="N869" i="13"/>
  <c r="N870" i="13"/>
  <c r="N862" i="13"/>
  <c r="N854" i="13"/>
  <c r="N809" i="13"/>
  <c r="N817" i="13"/>
  <c r="N825" i="13"/>
  <c r="N801" i="13"/>
  <c r="N833" i="13"/>
  <c r="N810" i="13"/>
  <c r="N841" i="13"/>
  <c r="N747" i="13"/>
  <c r="N748" i="13"/>
  <c r="N781" i="13"/>
  <c r="N783" i="13"/>
  <c r="N776" i="13"/>
  <c r="N765" i="13"/>
  <c r="N782" i="13"/>
  <c r="N775" i="13"/>
  <c r="N758" i="13"/>
  <c r="N763" i="13"/>
  <c r="N769" i="13"/>
  <c r="N773" i="13"/>
  <c r="N766" i="13"/>
  <c r="N777" i="13"/>
  <c r="N779" i="13"/>
  <c r="N770" i="13"/>
  <c r="N771" i="13"/>
  <c r="N772" i="13"/>
  <c r="N761" i="13"/>
  <c r="N707" i="13"/>
  <c r="N767" i="13"/>
  <c r="N708" i="13"/>
  <c r="N698" i="13"/>
  <c r="N682" i="13"/>
  <c r="N683" i="13"/>
  <c r="N754" i="13"/>
  <c r="N674" i="13"/>
  <c r="N768" i="13"/>
  <c r="N742" i="13"/>
  <c r="N756" i="13"/>
  <c r="N721" i="13"/>
  <c r="N688" i="13"/>
  <c r="N710" i="13"/>
  <c r="N719" i="13"/>
  <c r="N711" i="13"/>
  <c r="N750" i="13"/>
  <c r="J644" i="13"/>
  <c r="N709" i="13"/>
  <c r="N675" i="13"/>
  <c r="N699" i="13"/>
  <c r="N732" i="13"/>
  <c r="N647" i="13"/>
  <c r="N689" i="13"/>
  <c r="N706" i="13"/>
  <c r="N687" i="13"/>
  <c r="N752" i="13"/>
  <c r="N657" i="13"/>
  <c r="J641" i="13"/>
  <c r="N646" i="13"/>
  <c r="J646" i="13"/>
  <c r="N700" i="13"/>
  <c r="N778" i="13"/>
  <c r="N764" i="13"/>
  <c r="N730" i="13"/>
  <c r="N743" i="13"/>
  <c r="N718" i="13"/>
  <c r="N684" i="13"/>
  <c r="N712" i="13"/>
  <c r="N774" i="13"/>
  <c r="N741" i="13"/>
  <c r="N759" i="13"/>
  <c r="N720" i="13"/>
  <c r="N757" i="13"/>
  <c r="N744" i="13"/>
  <c r="N650" i="13"/>
  <c r="N649" i="13"/>
  <c r="N731" i="13"/>
  <c r="N686" i="13"/>
  <c r="J645" i="13"/>
  <c r="N780" i="13"/>
  <c r="N733" i="13"/>
  <c r="N648" i="13"/>
  <c r="N697" i="13"/>
  <c r="N755" i="13"/>
  <c r="N760" i="13"/>
  <c r="N753" i="13"/>
  <c r="N705" i="13"/>
  <c r="N762" i="13"/>
  <c r="N701" i="13"/>
  <c r="N751" i="13"/>
  <c r="J633" i="13" l="1"/>
  <c r="J631" i="13"/>
  <c r="N644" i="13"/>
  <c r="J627" i="13"/>
  <c r="J637" i="13"/>
  <c r="J636" i="13"/>
  <c r="J640" i="13"/>
  <c r="J643" i="13"/>
  <c r="J630" i="13"/>
  <c r="J632" i="13"/>
  <c r="J635" i="13"/>
  <c r="J639" i="13"/>
  <c r="J642" i="13"/>
  <c r="J629" i="13"/>
  <c r="N645" i="13"/>
  <c r="J628" i="13"/>
  <c r="J634" i="13"/>
  <c r="J638" i="13"/>
  <c r="N641" i="13"/>
  <c r="J530" i="13" l="1"/>
  <c r="J603" i="13"/>
  <c r="J529" i="13"/>
  <c r="J558" i="13"/>
  <c r="J602" i="13"/>
  <c r="J620" i="13"/>
  <c r="J506" i="13"/>
  <c r="J528" i="13"/>
  <c r="J520" i="13"/>
  <c r="J573" i="13"/>
  <c r="J565" i="13"/>
  <c r="J557" i="13"/>
  <c r="J549" i="13"/>
  <c r="J541" i="13"/>
  <c r="J609" i="13"/>
  <c r="J601" i="13"/>
  <c r="J593" i="13"/>
  <c r="J585" i="13"/>
  <c r="J577" i="13"/>
  <c r="J619" i="13"/>
  <c r="N639" i="13"/>
  <c r="N630" i="13"/>
  <c r="J522" i="13"/>
  <c r="J575" i="13"/>
  <c r="N642" i="13"/>
  <c r="J574" i="13"/>
  <c r="J610" i="13"/>
  <c r="N640" i="13"/>
  <c r="J505" i="13"/>
  <c r="J527" i="13"/>
  <c r="J519" i="13"/>
  <c r="J572" i="13"/>
  <c r="J564" i="13"/>
  <c r="J556" i="13"/>
  <c r="J548" i="13"/>
  <c r="J540" i="13"/>
  <c r="J608" i="13"/>
  <c r="J600" i="13"/>
  <c r="J592" i="13"/>
  <c r="J584" i="13"/>
  <c r="J626" i="13"/>
  <c r="J618" i="13"/>
  <c r="N636" i="13"/>
  <c r="N627" i="13"/>
  <c r="J500" i="13"/>
  <c r="J514" i="13"/>
  <c r="J567" i="13"/>
  <c r="J587" i="13"/>
  <c r="J579" i="13"/>
  <c r="N628" i="13"/>
  <c r="N632" i="13"/>
  <c r="J513" i="13"/>
  <c r="J566" i="13"/>
  <c r="J586" i="13"/>
  <c r="J578" i="13"/>
  <c r="N633" i="13"/>
  <c r="J512" i="13"/>
  <c r="J504" i="13"/>
  <c r="J534" i="13"/>
  <c r="J526" i="13"/>
  <c r="J518" i="13"/>
  <c r="J538" i="13"/>
  <c r="J571" i="13"/>
  <c r="J563" i="13"/>
  <c r="J555" i="13"/>
  <c r="J547" i="13"/>
  <c r="J539" i="13"/>
  <c r="J607" i="13"/>
  <c r="J599" i="13"/>
  <c r="J591" i="13"/>
  <c r="J583" i="13"/>
  <c r="J625" i="13"/>
  <c r="J617" i="13"/>
  <c r="N638" i="13"/>
  <c r="N629" i="13"/>
  <c r="N635" i="13"/>
  <c r="J551" i="13"/>
  <c r="J611" i="13"/>
  <c r="J621" i="13"/>
  <c r="J521" i="13"/>
  <c r="J594" i="13"/>
  <c r="N637" i="13"/>
  <c r="J511" i="13"/>
  <c r="J503" i="13"/>
  <c r="J533" i="13"/>
  <c r="J525" i="13"/>
  <c r="J517" i="13"/>
  <c r="J537" i="13"/>
  <c r="J570" i="13"/>
  <c r="J562" i="13"/>
  <c r="J554" i="13"/>
  <c r="J546" i="13"/>
  <c r="J606" i="13"/>
  <c r="J598" i="13"/>
  <c r="J590" i="13"/>
  <c r="J582" i="13"/>
  <c r="J613" i="13"/>
  <c r="J624" i="13"/>
  <c r="J616" i="13"/>
  <c r="J605" i="13"/>
  <c r="J597" i="13"/>
  <c r="J589" i="13"/>
  <c r="J581" i="13"/>
  <c r="J623" i="13"/>
  <c r="J615" i="13"/>
  <c r="N634" i="13"/>
  <c r="J508" i="13"/>
  <c r="J559" i="13"/>
  <c r="J543" i="13"/>
  <c r="J595" i="13"/>
  <c r="J507" i="13"/>
  <c r="J550" i="13"/>
  <c r="J542" i="13"/>
  <c r="J510" i="13"/>
  <c r="J502" i="13"/>
  <c r="J532" i="13"/>
  <c r="J524" i="13"/>
  <c r="J516" i="13"/>
  <c r="J536" i="13"/>
  <c r="J569" i="13"/>
  <c r="J561" i="13"/>
  <c r="J553" i="13"/>
  <c r="J545" i="13"/>
  <c r="J509" i="13"/>
  <c r="J501" i="13"/>
  <c r="J531" i="13"/>
  <c r="J523" i="13"/>
  <c r="J515" i="13"/>
  <c r="J535" i="13"/>
  <c r="J576" i="13"/>
  <c r="J568" i="13"/>
  <c r="J560" i="13"/>
  <c r="J552" i="13"/>
  <c r="J544" i="13"/>
  <c r="J612" i="13"/>
  <c r="J604" i="13"/>
  <c r="J596" i="13"/>
  <c r="J588" i="13"/>
  <c r="J580" i="13"/>
  <c r="J622" i="13"/>
  <c r="J614" i="13"/>
  <c r="N643" i="13"/>
  <c r="N631" i="13"/>
  <c r="N561" i="13" l="1"/>
  <c r="N583" i="13"/>
  <c r="N578" i="13"/>
  <c r="N584" i="13"/>
  <c r="N575" i="13"/>
  <c r="N543" i="13"/>
  <c r="N589" i="13"/>
  <c r="N624" i="13"/>
  <c r="N598" i="13"/>
  <c r="N562" i="13"/>
  <c r="N525" i="13"/>
  <c r="N611" i="13"/>
  <c r="N616" i="13"/>
  <c r="N621" i="13"/>
  <c r="N614" i="13"/>
  <c r="N619" i="13"/>
  <c r="N622" i="13"/>
  <c r="N604" i="13"/>
  <c r="N560" i="13"/>
  <c r="N515" i="13"/>
  <c r="N509" i="13"/>
  <c r="N569" i="13"/>
  <c r="N532" i="13"/>
  <c r="N550" i="13"/>
  <c r="N591" i="13"/>
  <c r="N547" i="13"/>
  <c r="N538" i="13"/>
  <c r="N504" i="13"/>
  <c r="N586" i="13"/>
  <c r="N514" i="13"/>
  <c r="N592" i="13"/>
  <c r="N548" i="13"/>
  <c r="N519" i="13"/>
  <c r="N610" i="13"/>
  <c r="N522" i="13"/>
  <c r="N577" i="13"/>
  <c r="N609" i="13"/>
  <c r="N565" i="13"/>
  <c r="N506" i="13"/>
  <c r="N529" i="13"/>
  <c r="N511" i="13"/>
  <c r="N552" i="13"/>
  <c r="N534" i="13"/>
  <c r="N540" i="13"/>
  <c r="N557" i="13"/>
  <c r="N559" i="13"/>
  <c r="N615" i="13"/>
  <c r="N597" i="13"/>
  <c r="N613" i="13"/>
  <c r="N606" i="13"/>
  <c r="N570" i="13"/>
  <c r="N533" i="13"/>
  <c r="N594" i="13"/>
  <c r="N551" i="13"/>
  <c r="N554" i="13"/>
  <c r="N542" i="13"/>
  <c r="N539" i="13"/>
  <c r="N601" i="13"/>
  <c r="N580" i="13"/>
  <c r="N612" i="13"/>
  <c r="N568" i="13"/>
  <c r="N523" i="13"/>
  <c r="N545" i="13"/>
  <c r="N536" i="13"/>
  <c r="N502" i="13"/>
  <c r="N507" i="13"/>
  <c r="N617" i="13"/>
  <c r="N599" i="13"/>
  <c r="N555" i="13"/>
  <c r="N518" i="13"/>
  <c r="N512" i="13"/>
  <c r="N566" i="13"/>
  <c r="N579" i="13"/>
  <c r="N500" i="13"/>
  <c r="N618" i="13"/>
  <c r="N600" i="13"/>
  <c r="N556" i="13"/>
  <c r="N527" i="13"/>
  <c r="N574" i="13"/>
  <c r="N585" i="13"/>
  <c r="N541" i="13"/>
  <c r="N573" i="13"/>
  <c r="N620" i="13"/>
  <c r="N603" i="13"/>
  <c r="N581" i="13"/>
  <c r="N590" i="13"/>
  <c r="N501" i="13"/>
  <c r="N558" i="13"/>
  <c r="N508" i="13"/>
  <c r="N623" i="13"/>
  <c r="N605" i="13"/>
  <c r="N582" i="13"/>
  <c r="N546" i="13"/>
  <c r="N537" i="13"/>
  <c r="N503" i="13"/>
  <c r="N521" i="13"/>
  <c r="N595" i="13"/>
  <c r="N517" i="13"/>
  <c r="N596" i="13"/>
  <c r="N535" i="13"/>
  <c r="N524" i="13"/>
  <c r="N571" i="13"/>
  <c r="N567" i="13"/>
  <c r="N572" i="13"/>
  <c r="N528" i="13"/>
  <c r="N588" i="13"/>
  <c r="N544" i="13"/>
  <c r="N576" i="13"/>
  <c r="N531" i="13"/>
  <c r="N553" i="13"/>
  <c r="N516" i="13"/>
  <c r="N510" i="13"/>
  <c r="N625" i="13"/>
  <c r="N607" i="13"/>
  <c r="N563" i="13"/>
  <c r="N526" i="13"/>
  <c r="N513" i="13"/>
  <c r="N587" i="13"/>
  <c r="N626" i="13"/>
  <c r="N608" i="13"/>
  <c r="N564" i="13"/>
  <c r="N505" i="13"/>
  <c r="N593" i="13"/>
  <c r="N549" i="13"/>
  <c r="N520" i="13"/>
  <c r="N602" i="13"/>
  <c r="N530" i="13"/>
  <c r="N446" i="13" l="1"/>
  <c r="N447" i="13"/>
  <c r="N444" i="13"/>
  <c r="N437" i="13"/>
  <c r="J438" i="13"/>
  <c r="N435" i="13"/>
  <c r="N433" i="13"/>
  <c r="N430" i="13"/>
  <c r="J431" i="13"/>
  <c r="N432" i="13"/>
  <c r="A411" i="13"/>
  <c r="B411" i="13"/>
  <c r="C411" i="13"/>
  <c r="D411" i="13"/>
  <c r="E411" i="13"/>
  <c r="F411" i="13"/>
  <c r="G411" i="13"/>
  <c r="H411" i="13"/>
  <c r="I411" i="13"/>
  <c r="K411" i="13"/>
  <c r="O411" i="13" s="1"/>
  <c r="L411" i="13"/>
  <c r="M411" i="13"/>
  <c r="Q411" i="13"/>
  <c r="R411" i="13"/>
  <c r="A412" i="13"/>
  <c r="B412" i="13"/>
  <c r="C412" i="13"/>
  <c r="D412" i="13"/>
  <c r="E412" i="13"/>
  <c r="F412" i="13"/>
  <c r="G412" i="13"/>
  <c r="H412" i="13"/>
  <c r="I412" i="13"/>
  <c r="K412" i="13"/>
  <c r="O412" i="13" s="1"/>
  <c r="L412" i="13"/>
  <c r="M412" i="13"/>
  <c r="Q412" i="13"/>
  <c r="R412" i="13"/>
  <c r="A413" i="13"/>
  <c r="B413" i="13"/>
  <c r="C413" i="13"/>
  <c r="D413" i="13"/>
  <c r="E413" i="13"/>
  <c r="F413" i="13"/>
  <c r="G413" i="13"/>
  <c r="H413" i="13"/>
  <c r="I413" i="13"/>
  <c r="K413" i="13"/>
  <c r="O413" i="13" s="1"/>
  <c r="L413" i="13"/>
  <c r="M413" i="13"/>
  <c r="Q413" i="13"/>
  <c r="R413" i="13"/>
  <c r="A414" i="13"/>
  <c r="B414" i="13"/>
  <c r="C414" i="13"/>
  <c r="D414" i="13"/>
  <c r="E414" i="13"/>
  <c r="F414" i="13"/>
  <c r="G414" i="13"/>
  <c r="H414" i="13"/>
  <c r="I414" i="13"/>
  <c r="K414" i="13"/>
  <c r="O414" i="13" s="1"/>
  <c r="L414" i="13"/>
  <c r="M414" i="13"/>
  <c r="Q414" i="13"/>
  <c r="R414" i="13"/>
  <c r="A415" i="13"/>
  <c r="B415" i="13"/>
  <c r="C415" i="13"/>
  <c r="D415" i="13"/>
  <c r="E415" i="13"/>
  <c r="F415" i="13"/>
  <c r="G415" i="13"/>
  <c r="H415" i="13"/>
  <c r="I415" i="13"/>
  <c r="K415" i="13"/>
  <c r="O415" i="13" s="1"/>
  <c r="L415" i="13"/>
  <c r="M415" i="13"/>
  <c r="Q415" i="13"/>
  <c r="R415" i="13"/>
  <c r="A416" i="13"/>
  <c r="B416" i="13"/>
  <c r="C416" i="13"/>
  <c r="D416" i="13"/>
  <c r="E416" i="13"/>
  <c r="F416" i="13"/>
  <c r="G416" i="13"/>
  <c r="H416" i="13"/>
  <c r="I416" i="13"/>
  <c r="K416" i="13"/>
  <c r="O416" i="13" s="1"/>
  <c r="L416" i="13"/>
  <c r="M416" i="13"/>
  <c r="Q416" i="13"/>
  <c r="R416" i="13"/>
  <c r="A417" i="13"/>
  <c r="B417" i="13"/>
  <c r="C417" i="13"/>
  <c r="D417" i="13"/>
  <c r="E417" i="13"/>
  <c r="F417" i="13"/>
  <c r="G417" i="13"/>
  <c r="H417" i="13"/>
  <c r="I417" i="13"/>
  <c r="K417" i="13"/>
  <c r="O417" i="13" s="1"/>
  <c r="L417" i="13"/>
  <c r="M417" i="13"/>
  <c r="Q417" i="13"/>
  <c r="R417" i="13"/>
  <c r="A418" i="13"/>
  <c r="B418" i="13"/>
  <c r="C418" i="13"/>
  <c r="D418" i="13"/>
  <c r="E418" i="13"/>
  <c r="F418" i="13"/>
  <c r="G418" i="13"/>
  <c r="H418" i="13"/>
  <c r="I418" i="13"/>
  <c r="K418" i="13"/>
  <c r="O418" i="13" s="1"/>
  <c r="L418" i="13"/>
  <c r="M418" i="13"/>
  <c r="Q418" i="13"/>
  <c r="R418" i="13"/>
  <c r="A419" i="13"/>
  <c r="B419" i="13"/>
  <c r="C419" i="13"/>
  <c r="D419" i="13"/>
  <c r="E419" i="13"/>
  <c r="F419" i="13"/>
  <c r="G419" i="13"/>
  <c r="H419" i="13"/>
  <c r="I419" i="13"/>
  <c r="K419" i="13"/>
  <c r="O419" i="13" s="1"/>
  <c r="L419" i="13"/>
  <c r="M419" i="13"/>
  <c r="Q419" i="13"/>
  <c r="R419" i="13"/>
  <c r="A420" i="13"/>
  <c r="B420" i="13"/>
  <c r="C420" i="13"/>
  <c r="D420" i="13"/>
  <c r="E420" i="13"/>
  <c r="F420" i="13"/>
  <c r="G420" i="13"/>
  <c r="H420" i="13"/>
  <c r="I420" i="13"/>
  <c r="K420" i="13"/>
  <c r="O420" i="13" s="1"/>
  <c r="L420" i="13"/>
  <c r="M420" i="13"/>
  <c r="Q420" i="13"/>
  <c r="R420" i="13"/>
  <c r="A421" i="13"/>
  <c r="B421" i="13"/>
  <c r="C421" i="13"/>
  <c r="D421" i="13"/>
  <c r="E421" i="13"/>
  <c r="F421" i="13"/>
  <c r="G421" i="13"/>
  <c r="H421" i="13"/>
  <c r="I421" i="13"/>
  <c r="K421" i="13"/>
  <c r="O421" i="13" s="1"/>
  <c r="L421" i="13"/>
  <c r="M421" i="13"/>
  <c r="Q421" i="13"/>
  <c r="R421" i="13"/>
  <c r="A422" i="13"/>
  <c r="B422" i="13"/>
  <c r="C422" i="13"/>
  <c r="D422" i="13"/>
  <c r="E422" i="13"/>
  <c r="F422" i="13"/>
  <c r="G422" i="13"/>
  <c r="H422" i="13"/>
  <c r="I422" i="13"/>
  <c r="K422" i="13"/>
  <c r="O422" i="13" s="1"/>
  <c r="L422" i="13"/>
  <c r="M422" i="13"/>
  <c r="Q422" i="13"/>
  <c r="R422" i="13"/>
  <c r="A423" i="13"/>
  <c r="B423" i="13"/>
  <c r="C423" i="13"/>
  <c r="D423" i="13"/>
  <c r="E423" i="13"/>
  <c r="F423" i="13"/>
  <c r="G423" i="13"/>
  <c r="H423" i="13"/>
  <c r="I423" i="13"/>
  <c r="K423" i="13"/>
  <c r="O423" i="13" s="1"/>
  <c r="L423" i="13"/>
  <c r="M423" i="13"/>
  <c r="Q423" i="13"/>
  <c r="R423" i="13"/>
  <c r="A424" i="13"/>
  <c r="B424" i="13"/>
  <c r="C424" i="13"/>
  <c r="D424" i="13"/>
  <c r="E424" i="13"/>
  <c r="F424" i="13"/>
  <c r="G424" i="13"/>
  <c r="H424" i="13"/>
  <c r="I424" i="13"/>
  <c r="K424" i="13"/>
  <c r="O424" i="13" s="1"/>
  <c r="L424" i="13"/>
  <c r="M424" i="13"/>
  <c r="Q424" i="13"/>
  <c r="R424" i="13"/>
  <c r="A425" i="13"/>
  <c r="B425" i="13"/>
  <c r="C425" i="13"/>
  <c r="D425" i="13"/>
  <c r="E425" i="13"/>
  <c r="F425" i="13"/>
  <c r="G425" i="13"/>
  <c r="H425" i="13"/>
  <c r="I425" i="13"/>
  <c r="K425" i="13"/>
  <c r="O425" i="13" s="1"/>
  <c r="L425" i="13"/>
  <c r="M425" i="13"/>
  <c r="Q425" i="13"/>
  <c r="R425" i="13"/>
  <c r="A426" i="13"/>
  <c r="B426" i="13"/>
  <c r="C426" i="13"/>
  <c r="D426" i="13"/>
  <c r="E426" i="13"/>
  <c r="F426" i="13"/>
  <c r="G426" i="13"/>
  <c r="H426" i="13"/>
  <c r="I426" i="13"/>
  <c r="K426" i="13"/>
  <c r="O426" i="13" s="1"/>
  <c r="L426" i="13"/>
  <c r="M426" i="13"/>
  <c r="Q426" i="13"/>
  <c r="R426" i="13"/>
  <c r="A427" i="13"/>
  <c r="B427" i="13"/>
  <c r="C427" i="13"/>
  <c r="D427" i="13"/>
  <c r="E427" i="13"/>
  <c r="F427" i="13"/>
  <c r="G427" i="13"/>
  <c r="H427" i="13"/>
  <c r="I427" i="13"/>
  <c r="K427" i="13"/>
  <c r="O427" i="13" s="1"/>
  <c r="L427" i="13"/>
  <c r="M427" i="13"/>
  <c r="Q427" i="13"/>
  <c r="R427" i="13"/>
  <c r="A428" i="13"/>
  <c r="B428" i="13"/>
  <c r="C428" i="13"/>
  <c r="D428" i="13"/>
  <c r="E428" i="13"/>
  <c r="F428" i="13"/>
  <c r="G428" i="13"/>
  <c r="H428" i="13"/>
  <c r="I428" i="13"/>
  <c r="K428" i="13"/>
  <c r="O428" i="13" s="1"/>
  <c r="L428" i="13"/>
  <c r="M428" i="13"/>
  <c r="Q428" i="13"/>
  <c r="R428" i="13"/>
  <c r="A429" i="13"/>
  <c r="B429" i="13"/>
  <c r="C429" i="13"/>
  <c r="D429" i="13"/>
  <c r="E429" i="13"/>
  <c r="F429" i="13"/>
  <c r="G429" i="13"/>
  <c r="H429" i="13"/>
  <c r="I429" i="13"/>
  <c r="K429" i="13"/>
  <c r="O429" i="13" s="1"/>
  <c r="L429" i="13"/>
  <c r="M429" i="13"/>
  <c r="Q429" i="13"/>
  <c r="R429" i="13"/>
  <c r="A430" i="13"/>
  <c r="B430" i="13"/>
  <c r="C430" i="13"/>
  <c r="D430" i="13"/>
  <c r="E430" i="13"/>
  <c r="F430" i="13"/>
  <c r="G430" i="13"/>
  <c r="H430" i="13"/>
  <c r="I430" i="13"/>
  <c r="K430" i="13"/>
  <c r="O430" i="13" s="1"/>
  <c r="L430" i="13"/>
  <c r="M430" i="13"/>
  <c r="Q430" i="13"/>
  <c r="R430" i="13"/>
  <c r="A431" i="13"/>
  <c r="B431" i="13"/>
  <c r="C431" i="13"/>
  <c r="D431" i="13"/>
  <c r="E431" i="13"/>
  <c r="F431" i="13"/>
  <c r="G431" i="13"/>
  <c r="H431" i="13"/>
  <c r="I431" i="13"/>
  <c r="K431" i="13"/>
  <c r="O431" i="13" s="1"/>
  <c r="L431" i="13"/>
  <c r="M431" i="13"/>
  <c r="Q431" i="13"/>
  <c r="R431" i="13"/>
  <c r="A432" i="13"/>
  <c r="B432" i="13"/>
  <c r="C432" i="13"/>
  <c r="D432" i="13"/>
  <c r="E432" i="13"/>
  <c r="F432" i="13"/>
  <c r="G432" i="13"/>
  <c r="H432" i="13"/>
  <c r="I432" i="13"/>
  <c r="K432" i="13"/>
  <c r="O432" i="13" s="1"/>
  <c r="L432" i="13"/>
  <c r="M432" i="13"/>
  <c r="Q432" i="13"/>
  <c r="R432" i="13"/>
  <c r="A433" i="13"/>
  <c r="B433" i="13"/>
  <c r="C433" i="13"/>
  <c r="D433" i="13"/>
  <c r="E433" i="13"/>
  <c r="F433" i="13"/>
  <c r="G433" i="13"/>
  <c r="H433" i="13"/>
  <c r="I433" i="13"/>
  <c r="K433" i="13"/>
  <c r="O433" i="13" s="1"/>
  <c r="L433" i="13"/>
  <c r="M433" i="13"/>
  <c r="Q433" i="13"/>
  <c r="R433" i="13"/>
  <c r="A434" i="13"/>
  <c r="B434" i="13"/>
  <c r="C434" i="13"/>
  <c r="D434" i="13"/>
  <c r="E434" i="13"/>
  <c r="F434" i="13"/>
  <c r="G434" i="13"/>
  <c r="H434" i="13"/>
  <c r="I434" i="13"/>
  <c r="K434" i="13"/>
  <c r="O434" i="13" s="1"/>
  <c r="L434" i="13"/>
  <c r="M434" i="13"/>
  <c r="Q434" i="13"/>
  <c r="R434" i="13"/>
  <c r="A435" i="13"/>
  <c r="B435" i="13"/>
  <c r="C435" i="13"/>
  <c r="D435" i="13"/>
  <c r="E435" i="13"/>
  <c r="F435" i="13"/>
  <c r="G435" i="13"/>
  <c r="H435" i="13"/>
  <c r="I435" i="13"/>
  <c r="K435" i="13"/>
  <c r="O435" i="13" s="1"/>
  <c r="L435" i="13"/>
  <c r="M435" i="13"/>
  <c r="Q435" i="13"/>
  <c r="R435" i="13"/>
  <c r="A436" i="13"/>
  <c r="B436" i="13"/>
  <c r="C436" i="13"/>
  <c r="D436" i="13"/>
  <c r="E436" i="13"/>
  <c r="F436" i="13"/>
  <c r="G436" i="13"/>
  <c r="H436" i="13"/>
  <c r="I436" i="13"/>
  <c r="K436" i="13"/>
  <c r="O436" i="13" s="1"/>
  <c r="L436" i="13"/>
  <c r="M436" i="13"/>
  <c r="Q436" i="13"/>
  <c r="R436" i="13"/>
  <c r="A437" i="13"/>
  <c r="B437" i="13"/>
  <c r="C437" i="13"/>
  <c r="D437" i="13"/>
  <c r="E437" i="13"/>
  <c r="F437" i="13"/>
  <c r="G437" i="13"/>
  <c r="H437" i="13"/>
  <c r="I437" i="13"/>
  <c r="K437" i="13"/>
  <c r="O437" i="13" s="1"/>
  <c r="L437" i="13"/>
  <c r="M437" i="13"/>
  <c r="Q437" i="13"/>
  <c r="R437" i="13"/>
  <c r="A438" i="13"/>
  <c r="B438" i="13"/>
  <c r="C438" i="13"/>
  <c r="D438" i="13"/>
  <c r="E438" i="13"/>
  <c r="F438" i="13"/>
  <c r="G438" i="13"/>
  <c r="H438" i="13"/>
  <c r="I438" i="13"/>
  <c r="K438" i="13"/>
  <c r="O438" i="13" s="1"/>
  <c r="L438" i="13"/>
  <c r="M438" i="13"/>
  <c r="Q438" i="13"/>
  <c r="R438" i="13"/>
  <c r="A439" i="13"/>
  <c r="B439" i="13"/>
  <c r="C439" i="13"/>
  <c r="D439" i="13"/>
  <c r="E439" i="13"/>
  <c r="F439" i="13"/>
  <c r="G439" i="13"/>
  <c r="H439" i="13"/>
  <c r="I439" i="13"/>
  <c r="K439" i="13"/>
  <c r="O439" i="13" s="1"/>
  <c r="L439" i="13"/>
  <c r="M439" i="13"/>
  <c r="Q439" i="13"/>
  <c r="R439" i="13"/>
  <c r="A440" i="13"/>
  <c r="B440" i="13"/>
  <c r="C440" i="13"/>
  <c r="D440" i="13"/>
  <c r="E440" i="13"/>
  <c r="F440" i="13"/>
  <c r="G440" i="13"/>
  <c r="H440" i="13"/>
  <c r="I440" i="13"/>
  <c r="K440" i="13"/>
  <c r="O440" i="13" s="1"/>
  <c r="L440" i="13"/>
  <c r="M440" i="13"/>
  <c r="Q440" i="13"/>
  <c r="R440" i="13"/>
  <c r="A441" i="13"/>
  <c r="B441" i="13"/>
  <c r="C441" i="13"/>
  <c r="D441" i="13"/>
  <c r="E441" i="13"/>
  <c r="F441" i="13"/>
  <c r="G441" i="13"/>
  <c r="H441" i="13"/>
  <c r="I441" i="13"/>
  <c r="K441" i="13"/>
  <c r="O441" i="13" s="1"/>
  <c r="L441" i="13"/>
  <c r="M441" i="13"/>
  <c r="Q441" i="13"/>
  <c r="R441" i="13"/>
  <c r="A442" i="13"/>
  <c r="B442" i="13"/>
  <c r="C442" i="13"/>
  <c r="D442" i="13"/>
  <c r="E442" i="13"/>
  <c r="F442" i="13"/>
  <c r="G442" i="13"/>
  <c r="H442" i="13"/>
  <c r="I442" i="13"/>
  <c r="K442" i="13"/>
  <c r="O442" i="13" s="1"/>
  <c r="L442" i="13"/>
  <c r="M442" i="13"/>
  <c r="Q442" i="13"/>
  <c r="R442" i="13"/>
  <c r="A443" i="13"/>
  <c r="B443" i="13"/>
  <c r="C443" i="13"/>
  <c r="D443" i="13"/>
  <c r="E443" i="13"/>
  <c r="F443" i="13"/>
  <c r="G443" i="13"/>
  <c r="H443" i="13"/>
  <c r="I443" i="13"/>
  <c r="K443" i="13"/>
  <c r="O443" i="13" s="1"/>
  <c r="L443" i="13"/>
  <c r="M443" i="13"/>
  <c r="Q443" i="13"/>
  <c r="R443" i="13"/>
  <c r="A444" i="13"/>
  <c r="B444" i="13"/>
  <c r="C444" i="13"/>
  <c r="D444" i="13"/>
  <c r="E444" i="13"/>
  <c r="F444" i="13"/>
  <c r="G444" i="13"/>
  <c r="H444" i="13"/>
  <c r="I444" i="13"/>
  <c r="K444" i="13"/>
  <c r="O444" i="13" s="1"/>
  <c r="L444" i="13"/>
  <c r="M444" i="13"/>
  <c r="Q444" i="13"/>
  <c r="R444" i="13"/>
  <c r="A445" i="13"/>
  <c r="B445" i="13"/>
  <c r="C445" i="13"/>
  <c r="D445" i="13"/>
  <c r="E445" i="13"/>
  <c r="F445" i="13"/>
  <c r="G445" i="13"/>
  <c r="H445" i="13"/>
  <c r="I445" i="13"/>
  <c r="K445" i="13"/>
  <c r="O445" i="13" s="1"/>
  <c r="L445" i="13"/>
  <c r="M445" i="13"/>
  <c r="Q445" i="13"/>
  <c r="R445" i="13"/>
  <c r="A446" i="13"/>
  <c r="B446" i="13"/>
  <c r="C446" i="13"/>
  <c r="D446" i="13"/>
  <c r="E446" i="13"/>
  <c r="F446" i="13"/>
  <c r="G446" i="13"/>
  <c r="H446" i="13"/>
  <c r="I446" i="13"/>
  <c r="K446" i="13"/>
  <c r="O446" i="13" s="1"/>
  <c r="L446" i="13"/>
  <c r="M446" i="13"/>
  <c r="Q446" i="13"/>
  <c r="R446" i="13"/>
  <c r="A447" i="13"/>
  <c r="B447" i="13"/>
  <c r="C447" i="13"/>
  <c r="D447" i="13"/>
  <c r="E447" i="13"/>
  <c r="F447" i="13"/>
  <c r="G447" i="13"/>
  <c r="H447" i="13"/>
  <c r="I447" i="13"/>
  <c r="K447" i="13"/>
  <c r="O447" i="13" s="1"/>
  <c r="L447" i="13"/>
  <c r="M447" i="13"/>
  <c r="Q447" i="13"/>
  <c r="R447" i="13"/>
  <c r="A448" i="13"/>
  <c r="B448" i="13"/>
  <c r="C448" i="13"/>
  <c r="D448" i="13"/>
  <c r="E448" i="13"/>
  <c r="F448" i="13"/>
  <c r="G448" i="13"/>
  <c r="H448" i="13"/>
  <c r="I448" i="13"/>
  <c r="J448" i="13"/>
  <c r="K448" i="13"/>
  <c r="O448" i="13" s="1"/>
  <c r="L448" i="13"/>
  <c r="M448" i="13"/>
  <c r="N448" i="13"/>
  <c r="Q448" i="13"/>
  <c r="R448" i="13"/>
  <c r="A449" i="13"/>
  <c r="B449" i="13"/>
  <c r="C449" i="13"/>
  <c r="D449" i="13"/>
  <c r="E449" i="13"/>
  <c r="F449" i="13"/>
  <c r="G449" i="13"/>
  <c r="H449" i="13"/>
  <c r="I449" i="13"/>
  <c r="J449" i="13"/>
  <c r="K449" i="13"/>
  <c r="O449" i="13" s="1"/>
  <c r="L449" i="13"/>
  <c r="M449" i="13"/>
  <c r="N449" i="13"/>
  <c r="Q449" i="13"/>
  <c r="R449" i="13"/>
  <c r="A450" i="13"/>
  <c r="B450" i="13"/>
  <c r="C450" i="13"/>
  <c r="D450" i="13"/>
  <c r="E450" i="13"/>
  <c r="F450" i="13"/>
  <c r="G450" i="13"/>
  <c r="H450" i="13"/>
  <c r="I450" i="13"/>
  <c r="J450" i="13"/>
  <c r="K450" i="13"/>
  <c r="O450" i="13" s="1"/>
  <c r="L450" i="13"/>
  <c r="M450" i="13"/>
  <c r="N450" i="13"/>
  <c r="Q450" i="13"/>
  <c r="R450" i="13"/>
  <c r="A451" i="13"/>
  <c r="B451" i="13"/>
  <c r="C451" i="13"/>
  <c r="D451" i="13"/>
  <c r="E451" i="13"/>
  <c r="F451" i="13"/>
  <c r="G451" i="13"/>
  <c r="H451" i="13"/>
  <c r="I451" i="13"/>
  <c r="J451" i="13"/>
  <c r="K451" i="13"/>
  <c r="O451" i="13" s="1"/>
  <c r="L451" i="13"/>
  <c r="M451" i="13"/>
  <c r="N451" i="13"/>
  <c r="Q451" i="13"/>
  <c r="R451" i="13"/>
  <c r="A452" i="13"/>
  <c r="B452" i="13"/>
  <c r="C452" i="13"/>
  <c r="D452" i="13"/>
  <c r="E452" i="13"/>
  <c r="F452" i="13"/>
  <c r="G452" i="13"/>
  <c r="H452" i="13"/>
  <c r="I452" i="13"/>
  <c r="J452" i="13"/>
  <c r="K452" i="13"/>
  <c r="O452" i="13" s="1"/>
  <c r="L452" i="13"/>
  <c r="M452" i="13"/>
  <c r="N452" i="13"/>
  <c r="Q452" i="13"/>
  <c r="R452" i="13"/>
  <c r="A453" i="13"/>
  <c r="B453" i="13"/>
  <c r="C453" i="13"/>
  <c r="D453" i="13"/>
  <c r="E453" i="13"/>
  <c r="F453" i="13"/>
  <c r="G453" i="13"/>
  <c r="H453" i="13"/>
  <c r="I453" i="13"/>
  <c r="J453" i="13"/>
  <c r="K453" i="13"/>
  <c r="O453" i="13" s="1"/>
  <c r="L453" i="13"/>
  <c r="M453" i="13"/>
  <c r="N453" i="13"/>
  <c r="Q453" i="13"/>
  <c r="R453" i="13"/>
  <c r="A454" i="13"/>
  <c r="B454" i="13"/>
  <c r="C454" i="13"/>
  <c r="D454" i="13"/>
  <c r="E454" i="13"/>
  <c r="F454" i="13"/>
  <c r="G454" i="13"/>
  <c r="H454" i="13"/>
  <c r="I454" i="13"/>
  <c r="J454" i="13"/>
  <c r="K454" i="13"/>
  <c r="O454" i="13" s="1"/>
  <c r="L454" i="13"/>
  <c r="M454" i="13"/>
  <c r="N454" i="13"/>
  <c r="Q454" i="13"/>
  <c r="R454" i="13"/>
  <c r="A455" i="13"/>
  <c r="B455" i="13"/>
  <c r="C455" i="13"/>
  <c r="D455" i="13"/>
  <c r="E455" i="13"/>
  <c r="F455" i="13"/>
  <c r="G455" i="13"/>
  <c r="H455" i="13"/>
  <c r="I455" i="13"/>
  <c r="J455" i="13"/>
  <c r="K455" i="13"/>
  <c r="O455" i="13" s="1"/>
  <c r="L455" i="13"/>
  <c r="M455" i="13"/>
  <c r="N455" i="13"/>
  <c r="Q455" i="13"/>
  <c r="R455" i="13"/>
  <c r="A456" i="13"/>
  <c r="B456" i="13"/>
  <c r="C456" i="13"/>
  <c r="D456" i="13"/>
  <c r="E456" i="13"/>
  <c r="F456" i="13"/>
  <c r="G456" i="13"/>
  <c r="H456" i="13"/>
  <c r="I456" i="13"/>
  <c r="J456" i="13"/>
  <c r="K456" i="13"/>
  <c r="O456" i="13" s="1"/>
  <c r="L456" i="13"/>
  <c r="M456" i="13"/>
  <c r="N456" i="13"/>
  <c r="Q456" i="13"/>
  <c r="R456" i="13"/>
  <c r="A457" i="13"/>
  <c r="B457" i="13"/>
  <c r="C457" i="13"/>
  <c r="D457" i="13"/>
  <c r="E457" i="13"/>
  <c r="F457" i="13"/>
  <c r="G457" i="13"/>
  <c r="H457" i="13"/>
  <c r="I457" i="13"/>
  <c r="J457" i="13"/>
  <c r="K457" i="13"/>
  <c r="O457" i="13" s="1"/>
  <c r="L457" i="13"/>
  <c r="M457" i="13"/>
  <c r="N457" i="13"/>
  <c r="Q457" i="13"/>
  <c r="R457" i="13"/>
  <c r="A458" i="13"/>
  <c r="B458" i="13"/>
  <c r="C458" i="13"/>
  <c r="D458" i="13"/>
  <c r="E458" i="13"/>
  <c r="F458" i="13"/>
  <c r="G458" i="13"/>
  <c r="H458" i="13"/>
  <c r="I458" i="13"/>
  <c r="J458" i="13"/>
  <c r="K458" i="13"/>
  <c r="O458" i="13" s="1"/>
  <c r="L458" i="13"/>
  <c r="M458" i="13"/>
  <c r="N458" i="13"/>
  <c r="Q458" i="13"/>
  <c r="R458" i="13"/>
  <c r="A459" i="13"/>
  <c r="B459" i="13"/>
  <c r="C459" i="13"/>
  <c r="D459" i="13"/>
  <c r="E459" i="13"/>
  <c r="F459" i="13"/>
  <c r="G459" i="13"/>
  <c r="H459" i="13"/>
  <c r="I459" i="13"/>
  <c r="J459" i="13"/>
  <c r="K459" i="13"/>
  <c r="O459" i="13" s="1"/>
  <c r="L459" i="13"/>
  <c r="M459" i="13"/>
  <c r="N459" i="13"/>
  <c r="Q459" i="13"/>
  <c r="R459" i="13"/>
  <c r="A460" i="13"/>
  <c r="B460" i="13"/>
  <c r="C460" i="13"/>
  <c r="D460" i="13"/>
  <c r="E460" i="13"/>
  <c r="F460" i="13"/>
  <c r="G460" i="13"/>
  <c r="H460" i="13"/>
  <c r="I460" i="13"/>
  <c r="J460" i="13"/>
  <c r="K460" i="13"/>
  <c r="O460" i="13" s="1"/>
  <c r="L460" i="13"/>
  <c r="M460" i="13"/>
  <c r="N460" i="13"/>
  <c r="Q460" i="13"/>
  <c r="R460" i="13"/>
  <c r="A461" i="13"/>
  <c r="B461" i="13"/>
  <c r="C461" i="13"/>
  <c r="D461" i="13"/>
  <c r="E461" i="13"/>
  <c r="F461" i="13"/>
  <c r="G461" i="13"/>
  <c r="H461" i="13"/>
  <c r="I461" i="13"/>
  <c r="J461" i="13"/>
  <c r="K461" i="13"/>
  <c r="O461" i="13" s="1"/>
  <c r="L461" i="13"/>
  <c r="M461" i="13"/>
  <c r="N461" i="13"/>
  <c r="Q461" i="13"/>
  <c r="R461" i="13"/>
  <c r="A462" i="13"/>
  <c r="B462" i="13"/>
  <c r="C462" i="13"/>
  <c r="D462" i="13"/>
  <c r="E462" i="13"/>
  <c r="F462" i="13"/>
  <c r="G462" i="13"/>
  <c r="H462" i="13"/>
  <c r="I462" i="13"/>
  <c r="J462" i="13"/>
  <c r="K462" i="13"/>
  <c r="O462" i="13" s="1"/>
  <c r="L462" i="13"/>
  <c r="M462" i="13"/>
  <c r="N462" i="13"/>
  <c r="Q462" i="13"/>
  <c r="R462" i="13"/>
  <c r="A463" i="13"/>
  <c r="B463" i="13"/>
  <c r="C463" i="13"/>
  <c r="D463" i="13"/>
  <c r="E463" i="13"/>
  <c r="F463" i="13"/>
  <c r="G463" i="13"/>
  <c r="H463" i="13"/>
  <c r="I463" i="13"/>
  <c r="J463" i="13"/>
  <c r="K463" i="13"/>
  <c r="O463" i="13" s="1"/>
  <c r="L463" i="13"/>
  <c r="M463" i="13"/>
  <c r="N463" i="13"/>
  <c r="Q463" i="13"/>
  <c r="R463" i="13"/>
  <c r="A464" i="13"/>
  <c r="B464" i="13"/>
  <c r="C464" i="13"/>
  <c r="D464" i="13"/>
  <c r="E464" i="13"/>
  <c r="F464" i="13"/>
  <c r="G464" i="13"/>
  <c r="H464" i="13"/>
  <c r="I464" i="13"/>
  <c r="J464" i="13"/>
  <c r="K464" i="13"/>
  <c r="O464" i="13" s="1"/>
  <c r="L464" i="13"/>
  <c r="M464" i="13"/>
  <c r="N464" i="13"/>
  <c r="Q464" i="13"/>
  <c r="R464" i="13"/>
  <c r="A465" i="13"/>
  <c r="B465" i="13"/>
  <c r="C465" i="13"/>
  <c r="D465" i="13"/>
  <c r="E465" i="13"/>
  <c r="F465" i="13"/>
  <c r="G465" i="13"/>
  <c r="H465" i="13"/>
  <c r="I465" i="13"/>
  <c r="J465" i="13"/>
  <c r="K465" i="13"/>
  <c r="O465" i="13" s="1"/>
  <c r="L465" i="13"/>
  <c r="M465" i="13"/>
  <c r="N465" i="13"/>
  <c r="Q465" i="13"/>
  <c r="R465" i="13"/>
  <c r="A466" i="13"/>
  <c r="B466" i="13"/>
  <c r="C466" i="13"/>
  <c r="D466" i="13"/>
  <c r="E466" i="13"/>
  <c r="F466" i="13"/>
  <c r="G466" i="13"/>
  <c r="H466" i="13"/>
  <c r="I466" i="13"/>
  <c r="J466" i="13"/>
  <c r="K466" i="13"/>
  <c r="O466" i="13" s="1"/>
  <c r="L466" i="13"/>
  <c r="M466" i="13"/>
  <c r="N466" i="13"/>
  <c r="Q466" i="13"/>
  <c r="R466" i="13"/>
  <c r="A467" i="13"/>
  <c r="B467" i="13"/>
  <c r="C467" i="13"/>
  <c r="D467" i="13"/>
  <c r="E467" i="13"/>
  <c r="F467" i="13"/>
  <c r="G467" i="13"/>
  <c r="H467" i="13"/>
  <c r="I467" i="13"/>
  <c r="J467" i="13"/>
  <c r="K467" i="13"/>
  <c r="O467" i="13" s="1"/>
  <c r="L467" i="13"/>
  <c r="M467" i="13"/>
  <c r="N467" i="13"/>
  <c r="Q467" i="13"/>
  <c r="R467" i="13"/>
  <c r="A468" i="13"/>
  <c r="B468" i="13"/>
  <c r="C468" i="13"/>
  <c r="D468" i="13"/>
  <c r="E468" i="13"/>
  <c r="F468" i="13"/>
  <c r="G468" i="13"/>
  <c r="H468" i="13"/>
  <c r="I468" i="13"/>
  <c r="J468" i="13"/>
  <c r="K468" i="13"/>
  <c r="O468" i="13" s="1"/>
  <c r="L468" i="13"/>
  <c r="M468" i="13"/>
  <c r="N468" i="13"/>
  <c r="Q468" i="13"/>
  <c r="R468" i="13"/>
  <c r="A469" i="13"/>
  <c r="B469" i="13"/>
  <c r="C469" i="13"/>
  <c r="D469" i="13"/>
  <c r="E469" i="13"/>
  <c r="F469" i="13"/>
  <c r="G469" i="13"/>
  <c r="H469" i="13"/>
  <c r="I469" i="13"/>
  <c r="J469" i="13"/>
  <c r="K469" i="13"/>
  <c r="O469" i="13" s="1"/>
  <c r="L469" i="13"/>
  <c r="M469" i="13"/>
  <c r="N469" i="13"/>
  <c r="Q469" i="13"/>
  <c r="R469" i="13"/>
  <c r="A470" i="13"/>
  <c r="B470" i="13"/>
  <c r="C470" i="13"/>
  <c r="D470" i="13"/>
  <c r="E470" i="13"/>
  <c r="F470" i="13"/>
  <c r="G470" i="13"/>
  <c r="H470" i="13"/>
  <c r="I470" i="13"/>
  <c r="J470" i="13"/>
  <c r="K470" i="13"/>
  <c r="O470" i="13" s="1"/>
  <c r="L470" i="13"/>
  <c r="M470" i="13"/>
  <c r="N470" i="13"/>
  <c r="Q470" i="13"/>
  <c r="R470" i="13"/>
  <c r="A471" i="13"/>
  <c r="B471" i="13"/>
  <c r="C471" i="13"/>
  <c r="D471" i="13"/>
  <c r="E471" i="13"/>
  <c r="F471" i="13"/>
  <c r="G471" i="13"/>
  <c r="H471" i="13"/>
  <c r="I471" i="13"/>
  <c r="J471" i="13"/>
  <c r="K471" i="13"/>
  <c r="O471" i="13" s="1"/>
  <c r="L471" i="13"/>
  <c r="M471" i="13"/>
  <c r="N471" i="13"/>
  <c r="Q471" i="13"/>
  <c r="R471" i="13"/>
  <c r="A472" i="13"/>
  <c r="B472" i="13"/>
  <c r="C472" i="13"/>
  <c r="D472" i="13"/>
  <c r="E472" i="13"/>
  <c r="F472" i="13"/>
  <c r="G472" i="13"/>
  <c r="H472" i="13"/>
  <c r="I472" i="13"/>
  <c r="J472" i="13"/>
  <c r="K472" i="13"/>
  <c r="O472" i="13" s="1"/>
  <c r="L472" i="13"/>
  <c r="M472" i="13"/>
  <c r="N472" i="13"/>
  <c r="Q472" i="13"/>
  <c r="R472" i="13"/>
  <c r="A473" i="13"/>
  <c r="B473" i="13"/>
  <c r="C473" i="13"/>
  <c r="D473" i="13"/>
  <c r="E473" i="13"/>
  <c r="F473" i="13"/>
  <c r="G473" i="13"/>
  <c r="H473" i="13"/>
  <c r="I473" i="13"/>
  <c r="J473" i="13"/>
  <c r="K473" i="13"/>
  <c r="O473" i="13" s="1"/>
  <c r="L473" i="13"/>
  <c r="M473" i="13"/>
  <c r="N473" i="13"/>
  <c r="Q473" i="13"/>
  <c r="R473" i="13"/>
  <c r="A474" i="13"/>
  <c r="B474" i="13"/>
  <c r="C474" i="13"/>
  <c r="D474" i="13"/>
  <c r="E474" i="13"/>
  <c r="F474" i="13"/>
  <c r="G474" i="13"/>
  <c r="H474" i="13"/>
  <c r="I474" i="13"/>
  <c r="J474" i="13"/>
  <c r="K474" i="13"/>
  <c r="O474" i="13" s="1"/>
  <c r="L474" i="13"/>
  <c r="M474" i="13"/>
  <c r="N474" i="13"/>
  <c r="Q474" i="13"/>
  <c r="R474" i="13"/>
  <c r="A475" i="13"/>
  <c r="B475" i="13"/>
  <c r="C475" i="13"/>
  <c r="D475" i="13"/>
  <c r="E475" i="13"/>
  <c r="F475" i="13"/>
  <c r="G475" i="13"/>
  <c r="H475" i="13"/>
  <c r="I475" i="13"/>
  <c r="J475" i="13"/>
  <c r="K475" i="13"/>
  <c r="O475" i="13" s="1"/>
  <c r="L475" i="13"/>
  <c r="M475" i="13"/>
  <c r="N475" i="13"/>
  <c r="Q475" i="13"/>
  <c r="R475" i="13"/>
  <c r="A476" i="13"/>
  <c r="B476" i="13"/>
  <c r="C476" i="13"/>
  <c r="D476" i="13"/>
  <c r="E476" i="13"/>
  <c r="F476" i="13"/>
  <c r="G476" i="13"/>
  <c r="H476" i="13"/>
  <c r="I476" i="13"/>
  <c r="J476" i="13"/>
  <c r="K476" i="13"/>
  <c r="O476" i="13" s="1"/>
  <c r="L476" i="13"/>
  <c r="M476" i="13"/>
  <c r="N476" i="13"/>
  <c r="Q476" i="13"/>
  <c r="R476" i="13"/>
  <c r="A477" i="13"/>
  <c r="B477" i="13"/>
  <c r="C477" i="13"/>
  <c r="D477" i="13"/>
  <c r="E477" i="13"/>
  <c r="F477" i="13"/>
  <c r="G477" i="13"/>
  <c r="H477" i="13"/>
  <c r="I477" i="13"/>
  <c r="J477" i="13"/>
  <c r="K477" i="13"/>
  <c r="O477" i="13" s="1"/>
  <c r="L477" i="13"/>
  <c r="M477" i="13"/>
  <c r="N477" i="13"/>
  <c r="Q477" i="13"/>
  <c r="R477" i="13"/>
  <c r="A478" i="13"/>
  <c r="B478" i="13"/>
  <c r="C478" i="13"/>
  <c r="D478" i="13"/>
  <c r="E478" i="13"/>
  <c r="F478" i="13"/>
  <c r="G478" i="13"/>
  <c r="H478" i="13"/>
  <c r="I478" i="13"/>
  <c r="J478" i="13"/>
  <c r="K478" i="13"/>
  <c r="O478" i="13" s="1"/>
  <c r="L478" i="13"/>
  <c r="M478" i="13"/>
  <c r="N478" i="13"/>
  <c r="Q478" i="13"/>
  <c r="R478" i="13"/>
  <c r="A479" i="13"/>
  <c r="B479" i="13"/>
  <c r="C479" i="13"/>
  <c r="D479" i="13"/>
  <c r="E479" i="13"/>
  <c r="F479" i="13"/>
  <c r="G479" i="13"/>
  <c r="H479" i="13"/>
  <c r="I479" i="13"/>
  <c r="J479" i="13"/>
  <c r="K479" i="13"/>
  <c r="O479" i="13" s="1"/>
  <c r="L479" i="13"/>
  <c r="M479" i="13"/>
  <c r="N479" i="13"/>
  <c r="Q479" i="13"/>
  <c r="R479" i="13"/>
  <c r="A480" i="13"/>
  <c r="B480" i="13"/>
  <c r="C480" i="13"/>
  <c r="D480" i="13"/>
  <c r="E480" i="13"/>
  <c r="F480" i="13"/>
  <c r="G480" i="13"/>
  <c r="H480" i="13"/>
  <c r="I480" i="13"/>
  <c r="J480" i="13"/>
  <c r="K480" i="13"/>
  <c r="O480" i="13" s="1"/>
  <c r="L480" i="13"/>
  <c r="M480" i="13"/>
  <c r="N480" i="13"/>
  <c r="Q480" i="13"/>
  <c r="R480" i="13"/>
  <c r="A481" i="13"/>
  <c r="B481" i="13"/>
  <c r="C481" i="13"/>
  <c r="D481" i="13"/>
  <c r="E481" i="13"/>
  <c r="F481" i="13"/>
  <c r="G481" i="13"/>
  <c r="H481" i="13"/>
  <c r="I481" i="13"/>
  <c r="J481" i="13"/>
  <c r="K481" i="13"/>
  <c r="O481" i="13" s="1"/>
  <c r="L481" i="13"/>
  <c r="M481" i="13"/>
  <c r="N481" i="13"/>
  <c r="Q481" i="13"/>
  <c r="R481" i="13"/>
  <c r="A482" i="13"/>
  <c r="B482" i="13"/>
  <c r="C482" i="13"/>
  <c r="D482" i="13"/>
  <c r="E482" i="13"/>
  <c r="F482" i="13"/>
  <c r="G482" i="13"/>
  <c r="H482" i="13"/>
  <c r="I482" i="13"/>
  <c r="J482" i="13"/>
  <c r="K482" i="13"/>
  <c r="O482" i="13" s="1"/>
  <c r="L482" i="13"/>
  <c r="M482" i="13"/>
  <c r="N482" i="13"/>
  <c r="Q482" i="13"/>
  <c r="R482" i="13"/>
  <c r="A483" i="13"/>
  <c r="B483" i="13"/>
  <c r="C483" i="13"/>
  <c r="D483" i="13"/>
  <c r="E483" i="13"/>
  <c r="F483" i="13"/>
  <c r="G483" i="13"/>
  <c r="H483" i="13"/>
  <c r="I483" i="13"/>
  <c r="J483" i="13"/>
  <c r="K483" i="13"/>
  <c r="O483" i="13" s="1"/>
  <c r="L483" i="13"/>
  <c r="M483" i="13"/>
  <c r="N483" i="13"/>
  <c r="Q483" i="13"/>
  <c r="R483" i="13"/>
  <c r="A484" i="13"/>
  <c r="B484" i="13"/>
  <c r="C484" i="13"/>
  <c r="D484" i="13"/>
  <c r="E484" i="13"/>
  <c r="F484" i="13"/>
  <c r="G484" i="13"/>
  <c r="H484" i="13"/>
  <c r="I484" i="13"/>
  <c r="J484" i="13"/>
  <c r="K484" i="13"/>
  <c r="O484" i="13" s="1"/>
  <c r="L484" i="13"/>
  <c r="M484" i="13"/>
  <c r="N484" i="13"/>
  <c r="Q484" i="13"/>
  <c r="R484" i="13"/>
  <c r="A485" i="13"/>
  <c r="B485" i="13"/>
  <c r="C485" i="13"/>
  <c r="D485" i="13"/>
  <c r="E485" i="13"/>
  <c r="F485" i="13"/>
  <c r="G485" i="13"/>
  <c r="H485" i="13"/>
  <c r="I485" i="13"/>
  <c r="J485" i="13"/>
  <c r="K485" i="13"/>
  <c r="O485" i="13" s="1"/>
  <c r="L485" i="13"/>
  <c r="M485" i="13"/>
  <c r="N485" i="13"/>
  <c r="Q485" i="13"/>
  <c r="R485" i="13"/>
  <c r="A486" i="13"/>
  <c r="B486" i="13"/>
  <c r="C486" i="13"/>
  <c r="D486" i="13"/>
  <c r="E486" i="13"/>
  <c r="F486" i="13"/>
  <c r="G486" i="13"/>
  <c r="H486" i="13"/>
  <c r="I486" i="13"/>
  <c r="J486" i="13"/>
  <c r="K486" i="13"/>
  <c r="O486" i="13" s="1"/>
  <c r="L486" i="13"/>
  <c r="M486" i="13"/>
  <c r="N486" i="13"/>
  <c r="Q486" i="13"/>
  <c r="R486" i="13"/>
  <c r="A487" i="13"/>
  <c r="B487" i="13"/>
  <c r="C487" i="13"/>
  <c r="D487" i="13"/>
  <c r="E487" i="13"/>
  <c r="F487" i="13"/>
  <c r="G487" i="13"/>
  <c r="H487" i="13"/>
  <c r="I487" i="13"/>
  <c r="J487" i="13"/>
  <c r="K487" i="13"/>
  <c r="O487" i="13" s="1"/>
  <c r="L487" i="13"/>
  <c r="M487" i="13"/>
  <c r="N487" i="13"/>
  <c r="Q487" i="13"/>
  <c r="R487" i="13"/>
  <c r="A488" i="13"/>
  <c r="B488" i="13"/>
  <c r="C488" i="13"/>
  <c r="D488" i="13"/>
  <c r="E488" i="13"/>
  <c r="F488" i="13"/>
  <c r="G488" i="13"/>
  <c r="H488" i="13"/>
  <c r="I488" i="13"/>
  <c r="J488" i="13"/>
  <c r="K488" i="13"/>
  <c r="O488" i="13" s="1"/>
  <c r="L488" i="13"/>
  <c r="M488" i="13"/>
  <c r="N488" i="13"/>
  <c r="Q488" i="13"/>
  <c r="R488" i="13"/>
  <c r="A489" i="13"/>
  <c r="B489" i="13"/>
  <c r="C489" i="13"/>
  <c r="D489" i="13"/>
  <c r="E489" i="13"/>
  <c r="F489" i="13"/>
  <c r="G489" i="13"/>
  <c r="H489" i="13"/>
  <c r="I489" i="13"/>
  <c r="J489" i="13"/>
  <c r="K489" i="13"/>
  <c r="O489" i="13" s="1"/>
  <c r="L489" i="13"/>
  <c r="M489" i="13"/>
  <c r="N489" i="13"/>
  <c r="Q489" i="13"/>
  <c r="R489" i="13"/>
  <c r="A490" i="13"/>
  <c r="B490" i="13"/>
  <c r="C490" i="13"/>
  <c r="D490" i="13"/>
  <c r="E490" i="13"/>
  <c r="F490" i="13"/>
  <c r="G490" i="13"/>
  <c r="H490" i="13"/>
  <c r="I490" i="13"/>
  <c r="J490" i="13"/>
  <c r="K490" i="13"/>
  <c r="O490" i="13" s="1"/>
  <c r="L490" i="13"/>
  <c r="M490" i="13"/>
  <c r="N490" i="13"/>
  <c r="Q490" i="13"/>
  <c r="R490" i="13"/>
  <c r="A491" i="13"/>
  <c r="B491" i="13"/>
  <c r="C491" i="13"/>
  <c r="D491" i="13"/>
  <c r="E491" i="13"/>
  <c r="F491" i="13"/>
  <c r="G491" i="13"/>
  <c r="H491" i="13"/>
  <c r="I491" i="13"/>
  <c r="J491" i="13"/>
  <c r="K491" i="13"/>
  <c r="O491" i="13" s="1"/>
  <c r="L491" i="13"/>
  <c r="M491" i="13"/>
  <c r="N491" i="13"/>
  <c r="Q491" i="13"/>
  <c r="R491" i="13"/>
  <c r="A492" i="13"/>
  <c r="B492" i="13"/>
  <c r="C492" i="13"/>
  <c r="D492" i="13"/>
  <c r="E492" i="13"/>
  <c r="F492" i="13"/>
  <c r="G492" i="13"/>
  <c r="H492" i="13"/>
  <c r="I492" i="13"/>
  <c r="J492" i="13"/>
  <c r="K492" i="13"/>
  <c r="O492" i="13" s="1"/>
  <c r="L492" i="13"/>
  <c r="M492" i="13"/>
  <c r="N492" i="13"/>
  <c r="Q492" i="13"/>
  <c r="R492" i="13"/>
  <c r="A493" i="13"/>
  <c r="B493" i="13"/>
  <c r="C493" i="13"/>
  <c r="D493" i="13"/>
  <c r="E493" i="13"/>
  <c r="F493" i="13"/>
  <c r="G493" i="13"/>
  <c r="H493" i="13"/>
  <c r="I493" i="13"/>
  <c r="J493" i="13"/>
  <c r="K493" i="13"/>
  <c r="O493" i="13" s="1"/>
  <c r="L493" i="13"/>
  <c r="M493" i="13"/>
  <c r="N493" i="13"/>
  <c r="Q493" i="13"/>
  <c r="R493" i="13"/>
  <c r="A494" i="13"/>
  <c r="B494" i="13"/>
  <c r="C494" i="13"/>
  <c r="D494" i="13"/>
  <c r="E494" i="13"/>
  <c r="F494" i="13"/>
  <c r="G494" i="13"/>
  <c r="H494" i="13"/>
  <c r="I494" i="13"/>
  <c r="J494" i="13"/>
  <c r="K494" i="13"/>
  <c r="O494" i="13" s="1"/>
  <c r="L494" i="13"/>
  <c r="M494" i="13"/>
  <c r="N494" i="13"/>
  <c r="Q494" i="13"/>
  <c r="R494" i="13"/>
  <c r="A495" i="13"/>
  <c r="B495" i="13"/>
  <c r="C495" i="13"/>
  <c r="D495" i="13"/>
  <c r="E495" i="13"/>
  <c r="F495" i="13"/>
  <c r="G495" i="13"/>
  <c r="H495" i="13"/>
  <c r="I495" i="13"/>
  <c r="J495" i="13"/>
  <c r="K495" i="13"/>
  <c r="O495" i="13" s="1"/>
  <c r="L495" i="13"/>
  <c r="M495" i="13"/>
  <c r="N495" i="13"/>
  <c r="Q495" i="13"/>
  <c r="R495" i="13"/>
  <c r="A496" i="13"/>
  <c r="B496" i="13"/>
  <c r="C496" i="13"/>
  <c r="D496" i="13"/>
  <c r="E496" i="13"/>
  <c r="F496" i="13"/>
  <c r="G496" i="13"/>
  <c r="H496" i="13"/>
  <c r="I496" i="13"/>
  <c r="J496" i="13"/>
  <c r="K496" i="13"/>
  <c r="O496" i="13" s="1"/>
  <c r="L496" i="13"/>
  <c r="M496" i="13"/>
  <c r="N496" i="13"/>
  <c r="Q496" i="13"/>
  <c r="R496" i="13"/>
  <c r="A497" i="13"/>
  <c r="B497" i="13"/>
  <c r="C497" i="13"/>
  <c r="D497" i="13"/>
  <c r="E497" i="13"/>
  <c r="F497" i="13"/>
  <c r="G497" i="13"/>
  <c r="H497" i="13"/>
  <c r="I497" i="13"/>
  <c r="J497" i="13"/>
  <c r="K497" i="13"/>
  <c r="O497" i="13" s="1"/>
  <c r="L497" i="13"/>
  <c r="M497" i="13"/>
  <c r="N497" i="13"/>
  <c r="Q497" i="13"/>
  <c r="R497" i="13"/>
  <c r="A498" i="13"/>
  <c r="B498" i="13"/>
  <c r="C498" i="13"/>
  <c r="D498" i="13"/>
  <c r="E498" i="13"/>
  <c r="F498" i="13"/>
  <c r="G498" i="13"/>
  <c r="H498" i="13"/>
  <c r="I498" i="13"/>
  <c r="J498" i="13"/>
  <c r="K498" i="13"/>
  <c r="O498" i="13" s="1"/>
  <c r="L498" i="13"/>
  <c r="M498" i="13"/>
  <c r="N498" i="13"/>
  <c r="Q498" i="13"/>
  <c r="R498" i="13"/>
  <c r="A499" i="13"/>
  <c r="B499" i="13"/>
  <c r="C499" i="13"/>
  <c r="D499" i="13"/>
  <c r="E499" i="13"/>
  <c r="F499" i="13"/>
  <c r="G499" i="13"/>
  <c r="H499" i="13"/>
  <c r="I499" i="13"/>
  <c r="J499" i="13"/>
  <c r="K499" i="13"/>
  <c r="O499" i="13" s="1"/>
  <c r="L499" i="13"/>
  <c r="M499" i="13"/>
  <c r="N499" i="13"/>
  <c r="Q499" i="13"/>
  <c r="R499" i="13"/>
  <c r="A396" i="13"/>
  <c r="B396" i="13"/>
  <c r="C396" i="13"/>
  <c r="D396" i="13"/>
  <c r="E396" i="13"/>
  <c r="F396" i="13"/>
  <c r="G396" i="13"/>
  <c r="H396" i="13"/>
  <c r="I396" i="13"/>
  <c r="K396" i="13"/>
  <c r="O396" i="13" s="1"/>
  <c r="L396" i="13"/>
  <c r="M396" i="13"/>
  <c r="Q396" i="13"/>
  <c r="R396" i="13"/>
  <c r="A397" i="13"/>
  <c r="B397" i="13"/>
  <c r="C397" i="13"/>
  <c r="D397" i="13"/>
  <c r="E397" i="13"/>
  <c r="F397" i="13"/>
  <c r="G397" i="13"/>
  <c r="H397" i="13"/>
  <c r="I397" i="13"/>
  <c r="K397" i="13"/>
  <c r="O397" i="13" s="1"/>
  <c r="L397" i="13"/>
  <c r="M397" i="13"/>
  <c r="Q397" i="13"/>
  <c r="R397" i="13"/>
  <c r="A398" i="13"/>
  <c r="B398" i="13"/>
  <c r="C398" i="13"/>
  <c r="D398" i="13"/>
  <c r="E398" i="13"/>
  <c r="F398" i="13"/>
  <c r="G398" i="13"/>
  <c r="H398" i="13"/>
  <c r="I398" i="13"/>
  <c r="K398" i="13"/>
  <c r="O398" i="13" s="1"/>
  <c r="L398" i="13"/>
  <c r="M398" i="13"/>
  <c r="Q398" i="13"/>
  <c r="R398" i="13"/>
  <c r="A399" i="13"/>
  <c r="B399" i="13"/>
  <c r="C399" i="13"/>
  <c r="D399" i="13"/>
  <c r="E399" i="13"/>
  <c r="F399" i="13"/>
  <c r="G399" i="13"/>
  <c r="H399" i="13"/>
  <c r="I399" i="13"/>
  <c r="K399" i="13"/>
  <c r="O399" i="13" s="1"/>
  <c r="L399" i="13"/>
  <c r="M399" i="13"/>
  <c r="Q399" i="13"/>
  <c r="R399" i="13"/>
  <c r="A400" i="13"/>
  <c r="B400" i="13"/>
  <c r="C400" i="13"/>
  <c r="D400" i="13"/>
  <c r="E400" i="13"/>
  <c r="F400" i="13"/>
  <c r="G400" i="13"/>
  <c r="H400" i="13"/>
  <c r="I400" i="13"/>
  <c r="K400" i="13"/>
  <c r="O400" i="13" s="1"/>
  <c r="L400" i="13"/>
  <c r="M400" i="13"/>
  <c r="Q400" i="13"/>
  <c r="R400" i="13"/>
  <c r="A401" i="13"/>
  <c r="B401" i="13"/>
  <c r="C401" i="13"/>
  <c r="D401" i="13"/>
  <c r="E401" i="13"/>
  <c r="F401" i="13"/>
  <c r="G401" i="13"/>
  <c r="H401" i="13"/>
  <c r="I401" i="13"/>
  <c r="K401" i="13"/>
  <c r="O401" i="13" s="1"/>
  <c r="L401" i="13"/>
  <c r="M401" i="13"/>
  <c r="Q401" i="13"/>
  <c r="R401" i="13"/>
  <c r="A402" i="13"/>
  <c r="B402" i="13"/>
  <c r="C402" i="13"/>
  <c r="D402" i="13"/>
  <c r="E402" i="13"/>
  <c r="F402" i="13"/>
  <c r="G402" i="13"/>
  <c r="H402" i="13"/>
  <c r="I402" i="13"/>
  <c r="K402" i="13"/>
  <c r="O402" i="13" s="1"/>
  <c r="L402" i="13"/>
  <c r="M402" i="13"/>
  <c r="Q402" i="13"/>
  <c r="R402" i="13"/>
  <c r="A403" i="13"/>
  <c r="B403" i="13"/>
  <c r="C403" i="13"/>
  <c r="D403" i="13"/>
  <c r="E403" i="13"/>
  <c r="F403" i="13"/>
  <c r="G403" i="13"/>
  <c r="H403" i="13"/>
  <c r="I403" i="13"/>
  <c r="K403" i="13"/>
  <c r="O403" i="13" s="1"/>
  <c r="L403" i="13"/>
  <c r="M403" i="13"/>
  <c r="Q403" i="13"/>
  <c r="R403" i="13"/>
  <c r="A404" i="13"/>
  <c r="B404" i="13"/>
  <c r="C404" i="13"/>
  <c r="D404" i="13"/>
  <c r="E404" i="13"/>
  <c r="F404" i="13"/>
  <c r="G404" i="13"/>
  <c r="H404" i="13"/>
  <c r="I404" i="13"/>
  <c r="K404" i="13"/>
  <c r="O404" i="13" s="1"/>
  <c r="L404" i="13"/>
  <c r="M404" i="13"/>
  <c r="Q404" i="13"/>
  <c r="R404" i="13"/>
  <c r="A405" i="13"/>
  <c r="B405" i="13"/>
  <c r="C405" i="13"/>
  <c r="D405" i="13"/>
  <c r="E405" i="13"/>
  <c r="F405" i="13"/>
  <c r="G405" i="13"/>
  <c r="H405" i="13"/>
  <c r="I405" i="13"/>
  <c r="K405" i="13"/>
  <c r="O405" i="13" s="1"/>
  <c r="L405" i="13"/>
  <c r="M405" i="13"/>
  <c r="Q405" i="13"/>
  <c r="R405" i="13"/>
  <c r="A406" i="13"/>
  <c r="B406" i="13"/>
  <c r="C406" i="13"/>
  <c r="D406" i="13"/>
  <c r="E406" i="13"/>
  <c r="F406" i="13"/>
  <c r="G406" i="13"/>
  <c r="H406" i="13"/>
  <c r="I406" i="13"/>
  <c r="K406" i="13"/>
  <c r="O406" i="13" s="1"/>
  <c r="L406" i="13"/>
  <c r="M406" i="13"/>
  <c r="Q406" i="13"/>
  <c r="R406" i="13"/>
  <c r="A407" i="13"/>
  <c r="B407" i="13"/>
  <c r="C407" i="13"/>
  <c r="D407" i="13"/>
  <c r="E407" i="13"/>
  <c r="F407" i="13"/>
  <c r="G407" i="13"/>
  <c r="H407" i="13"/>
  <c r="I407" i="13"/>
  <c r="K407" i="13"/>
  <c r="O407" i="13" s="1"/>
  <c r="L407" i="13"/>
  <c r="M407" i="13"/>
  <c r="Q407" i="13"/>
  <c r="R407" i="13"/>
  <c r="A408" i="13"/>
  <c r="B408" i="13"/>
  <c r="C408" i="13"/>
  <c r="D408" i="13"/>
  <c r="E408" i="13"/>
  <c r="F408" i="13"/>
  <c r="G408" i="13"/>
  <c r="H408" i="13"/>
  <c r="I408" i="13"/>
  <c r="K408" i="13"/>
  <c r="O408" i="13" s="1"/>
  <c r="L408" i="13"/>
  <c r="M408" i="13"/>
  <c r="Q408" i="13"/>
  <c r="R408" i="13"/>
  <c r="A409" i="13"/>
  <c r="B409" i="13"/>
  <c r="C409" i="13"/>
  <c r="D409" i="13"/>
  <c r="E409" i="13"/>
  <c r="F409" i="13"/>
  <c r="G409" i="13"/>
  <c r="H409" i="13"/>
  <c r="I409" i="13"/>
  <c r="K409" i="13"/>
  <c r="O409" i="13" s="1"/>
  <c r="L409" i="13"/>
  <c r="M409" i="13"/>
  <c r="Q409" i="13"/>
  <c r="R409" i="13"/>
  <c r="A410" i="13"/>
  <c r="B410" i="13"/>
  <c r="C410" i="13"/>
  <c r="D410" i="13"/>
  <c r="E410" i="13"/>
  <c r="F410" i="13"/>
  <c r="G410" i="13"/>
  <c r="H410" i="13"/>
  <c r="I410" i="13"/>
  <c r="K410" i="13"/>
  <c r="O410" i="13" s="1"/>
  <c r="L410" i="13"/>
  <c r="M410" i="13"/>
  <c r="Q410" i="13"/>
  <c r="R410" i="13"/>
  <c r="A389" i="13"/>
  <c r="B389" i="13"/>
  <c r="C389" i="13"/>
  <c r="D389" i="13"/>
  <c r="E389" i="13"/>
  <c r="F389" i="13"/>
  <c r="G389" i="13"/>
  <c r="H389" i="13"/>
  <c r="I389" i="13"/>
  <c r="K389" i="13"/>
  <c r="O389" i="13" s="1"/>
  <c r="L389" i="13"/>
  <c r="M389" i="13"/>
  <c r="Q389" i="13"/>
  <c r="R389" i="13"/>
  <c r="A390" i="13"/>
  <c r="B390" i="13"/>
  <c r="C390" i="13"/>
  <c r="D390" i="13"/>
  <c r="E390" i="13"/>
  <c r="F390" i="13"/>
  <c r="G390" i="13"/>
  <c r="H390" i="13"/>
  <c r="I390" i="13"/>
  <c r="K390" i="13"/>
  <c r="O390" i="13" s="1"/>
  <c r="L390" i="13"/>
  <c r="M390" i="13"/>
  <c r="Q390" i="13"/>
  <c r="R390" i="13"/>
  <c r="A391" i="13"/>
  <c r="B391" i="13"/>
  <c r="C391" i="13"/>
  <c r="D391" i="13"/>
  <c r="E391" i="13"/>
  <c r="F391" i="13"/>
  <c r="G391" i="13"/>
  <c r="H391" i="13"/>
  <c r="I391" i="13"/>
  <c r="K391" i="13"/>
  <c r="O391" i="13" s="1"/>
  <c r="L391" i="13"/>
  <c r="M391" i="13"/>
  <c r="Q391" i="13"/>
  <c r="R391" i="13"/>
  <c r="A392" i="13"/>
  <c r="B392" i="13"/>
  <c r="C392" i="13"/>
  <c r="D392" i="13"/>
  <c r="E392" i="13"/>
  <c r="F392" i="13"/>
  <c r="G392" i="13"/>
  <c r="H392" i="13"/>
  <c r="I392" i="13"/>
  <c r="K392" i="13"/>
  <c r="O392" i="13" s="1"/>
  <c r="L392" i="13"/>
  <c r="M392" i="13"/>
  <c r="Q392" i="13"/>
  <c r="R392" i="13"/>
  <c r="A393" i="13"/>
  <c r="B393" i="13"/>
  <c r="C393" i="13"/>
  <c r="D393" i="13"/>
  <c r="E393" i="13"/>
  <c r="F393" i="13"/>
  <c r="G393" i="13"/>
  <c r="H393" i="13"/>
  <c r="I393" i="13"/>
  <c r="K393" i="13"/>
  <c r="O393" i="13" s="1"/>
  <c r="L393" i="13"/>
  <c r="M393" i="13"/>
  <c r="Q393" i="13"/>
  <c r="R393" i="13"/>
  <c r="A394" i="13"/>
  <c r="B394" i="13"/>
  <c r="C394" i="13"/>
  <c r="D394" i="13"/>
  <c r="E394" i="13"/>
  <c r="F394" i="13"/>
  <c r="G394" i="13"/>
  <c r="H394" i="13"/>
  <c r="I394" i="13"/>
  <c r="K394" i="13"/>
  <c r="O394" i="13" s="1"/>
  <c r="L394" i="13"/>
  <c r="M394" i="13"/>
  <c r="Q394" i="13"/>
  <c r="R394" i="13"/>
  <c r="A395" i="13"/>
  <c r="B395" i="13"/>
  <c r="C395" i="13"/>
  <c r="D395" i="13"/>
  <c r="E395" i="13"/>
  <c r="F395" i="13"/>
  <c r="G395" i="13"/>
  <c r="H395" i="13"/>
  <c r="I395" i="13"/>
  <c r="K395" i="13"/>
  <c r="O395" i="13" s="1"/>
  <c r="L395" i="13"/>
  <c r="M395" i="13"/>
  <c r="Q395" i="13"/>
  <c r="R395" i="13"/>
  <c r="A379" i="13"/>
  <c r="B379" i="13"/>
  <c r="C379" i="13"/>
  <c r="D379" i="13"/>
  <c r="E379" i="13"/>
  <c r="F379" i="13"/>
  <c r="G379" i="13"/>
  <c r="H379" i="13"/>
  <c r="I379" i="13"/>
  <c r="K379" i="13"/>
  <c r="O379" i="13" s="1"/>
  <c r="L379" i="13"/>
  <c r="M379" i="13"/>
  <c r="Q379" i="13"/>
  <c r="R379" i="13"/>
  <c r="A380" i="13"/>
  <c r="B380" i="13"/>
  <c r="C380" i="13"/>
  <c r="D380" i="13"/>
  <c r="E380" i="13"/>
  <c r="F380" i="13"/>
  <c r="G380" i="13"/>
  <c r="H380" i="13"/>
  <c r="I380" i="13"/>
  <c r="K380" i="13"/>
  <c r="O380" i="13" s="1"/>
  <c r="L380" i="13"/>
  <c r="M380" i="13"/>
  <c r="Q380" i="13"/>
  <c r="R380" i="13"/>
  <c r="A381" i="13"/>
  <c r="B381" i="13"/>
  <c r="C381" i="13"/>
  <c r="D381" i="13"/>
  <c r="E381" i="13"/>
  <c r="F381" i="13"/>
  <c r="G381" i="13"/>
  <c r="H381" i="13"/>
  <c r="I381" i="13"/>
  <c r="K381" i="13"/>
  <c r="O381" i="13" s="1"/>
  <c r="L381" i="13"/>
  <c r="M381" i="13"/>
  <c r="Q381" i="13"/>
  <c r="R381" i="13"/>
  <c r="A382" i="13"/>
  <c r="B382" i="13"/>
  <c r="C382" i="13"/>
  <c r="D382" i="13"/>
  <c r="E382" i="13"/>
  <c r="F382" i="13"/>
  <c r="G382" i="13"/>
  <c r="H382" i="13"/>
  <c r="I382" i="13"/>
  <c r="K382" i="13"/>
  <c r="O382" i="13" s="1"/>
  <c r="L382" i="13"/>
  <c r="M382" i="13"/>
  <c r="Q382" i="13"/>
  <c r="R382" i="13"/>
  <c r="A383" i="13"/>
  <c r="B383" i="13"/>
  <c r="C383" i="13"/>
  <c r="D383" i="13"/>
  <c r="E383" i="13"/>
  <c r="F383" i="13"/>
  <c r="G383" i="13"/>
  <c r="H383" i="13"/>
  <c r="I383" i="13"/>
  <c r="K383" i="13"/>
  <c r="O383" i="13" s="1"/>
  <c r="L383" i="13"/>
  <c r="M383" i="13"/>
  <c r="Q383" i="13"/>
  <c r="R383" i="13"/>
  <c r="A384" i="13"/>
  <c r="B384" i="13"/>
  <c r="C384" i="13"/>
  <c r="D384" i="13"/>
  <c r="E384" i="13"/>
  <c r="F384" i="13"/>
  <c r="G384" i="13"/>
  <c r="H384" i="13"/>
  <c r="I384" i="13"/>
  <c r="K384" i="13"/>
  <c r="O384" i="13" s="1"/>
  <c r="L384" i="13"/>
  <c r="M384" i="13"/>
  <c r="Q384" i="13"/>
  <c r="R384" i="13"/>
  <c r="A385" i="13"/>
  <c r="B385" i="13"/>
  <c r="C385" i="13"/>
  <c r="D385" i="13"/>
  <c r="E385" i="13"/>
  <c r="F385" i="13"/>
  <c r="G385" i="13"/>
  <c r="H385" i="13"/>
  <c r="I385" i="13"/>
  <c r="K385" i="13"/>
  <c r="O385" i="13" s="1"/>
  <c r="L385" i="13"/>
  <c r="M385" i="13"/>
  <c r="Q385" i="13"/>
  <c r="R385" i="13"/>
  <c r="A386" i="13"/>
  <c r="B386" i="13"/>
  <c r="C386" i="13"/>
  <c r="D386" i="13"/>
  <c r="E386" i="13"/>
  <c r="F386" i="13"/>
  <c r="G386" i="13"/>
  <c r="H386" i="13"/>
  <c r="I386" i="13"/>
  <c r="K386" i="13"/>
  <c r="O386" i="13" s="1"/>
  <c r="L386" i="13"/>
  <c r="M386" i="13"/>
  <c r="Q386" i="13"/>
  <c r="R386" i="13"/>
  <c r="A387" i="13"/>
  <c r="B387" i="13"/>
  <c r="C387" i="13"/>
  <c r="D387" i="13"/>
  <c r="E387" i="13"/>
  <c r="F387" i="13"/>
  <c r="G387" i="13"/>
  <c r="H387" i="13"/>
  <c r="I387" i="13"/>
  <c r="K387" i="13"/>
  <c r="O387" i="13" s="1"/>
  <c r="L387" i="13"/>
  <c r="M387" i="13"/>
  <c r="Q387" i="13"/>
  <c r="R387" i="13"/>
  <c r="A388" i="13"/>
  <c r="B388" i="13"/>
  <c r="C388" i="13"/>
  <c r="D388" i="13"/>
  <c r="E388" i="13"/>
  <c r="F388" i="13"/>
  <c r="G388" i="13"/>
  <c r="H388" i="13"/>
  <c r="I388" i="13"/>
  <c r="K388" i="13"/>
  <c r="O388" i="13" s="1"/>
  <c r="L388" i="13"/>
  <c r="M388" i="13"/>
  <c r="Q388" i="13"/>
  <c r="R388" i="13"/>
  <c r="A370" i="13"/>
  <c r="B370" i="13"/>
  <c r="C370" i="13"/>
  <c r="D370" i="13"/>
  <c r="E370" i="13"/>
  <c r="F370" i="13"/>
  <c r="G370" i="13"/>
  <c r="H370" i="13"/>
  <c r="I370" i="13"/>
  <c r="K370" i="13"/>
  <c r="O370" i="13" s="1"/>
  <c r="L370" i="13"/>
  <c r="M370" i="13"/>
  <c r="Q370" i="13"/>
  <c r="R370" i="13"/>
  <c r="A371" i="13"/>
  <c r="B371" i="13"/>
  <c r="C371" i="13"/>
  <c r="D371" i="13"/>
  <c r="E371" i="13"/>
  <c r="F371" i="13"/>
  <c r="G371" i="13"/>
  <c r="H371" i="13"/>
  <c r="I371" i="13"/>
  <c r="K371" i="13"/>
  <c r="O371" i="13" s="1"/>
  <c r="L371" i="13"/>
  <c r="M371" i="13"/>
  <c r="Q371" i="13"/>
  <c r="R371" i="13"/>
  <c r="A372" i="13"/>
  <c r="B372" i="13"/>
  <c r="C372" i="13"/>
  <c r="D372" i="13"/>
  <c r="E372" i="13"/>
  <c r="F372" i="13"/>
  <c r="G372" i="13"/>
  <c r="H372" i="13"/>
  <c r="I372" i="13"/>
  <c r="K372" i="13"/>
  <c r="O372" i="13" s="1"/>
  <c r="L372" i="13"/>
  <c r="M372" i="13"/>
  <c r="Q372" i="13"/>
  <c r="R372" i="13"/>
  <c r="A373" i="13"/>
  <c r="B373" i="13"/>
  <c r="C373" i="13"/>
  <c r="D373" i="13"/>
  <c r="E373" i="13"/>
  <c r="F373" i="13"/>
  <c r="G373" i="13"/>
  <c r="H373" i="13"/>
  <c r="I373" i="13"/>
  <c r="K373" i="13"/>
  <c r="O373" i="13" s="1"/>
  <c r="L373" i="13"/>
  <c r="M373" i="13"/>
  <c r="Q373" i="13"/>
  <c r="R373" i="13"/>
  <c r="A374" i="13"/>
  <c r="B374" i="13"/>
  <c r="C374" i="13"/>
  <c r="D374" i="13"/>
  <c r="E374" i="13"/>
  <c r="F374" i="13"/>
  <c r="G374" i="13"/>
  <c r="H374" i="13"/>
  <c r="I374" i="13"/>
  <c r="K374" i="13"/>
  <c r="O374" i="13" s="1"/>
  <c r="L374" i="13"/>
  <c r="M374" i="13"/>
  <c r="Q374" i="13"/>
  <c r="R374" i="13"/>
  <c r="A375" i="13"/>
  <c r="B375" i="13"/>
  <c r="C375" i="13"/>
  <c r="D375" i="13"/>
  <c r="E375" i="13"/>
  <c r="F375" i="13"/>
  <c r="G375" i="13"/>
  <c r="H375" i="13"/>
  <c r="I375" i="13"/>
  <c r="K375" i="13"/>
  <c r="O375" i="13" s="1"/>
  <c r="L375" i="13"/>
  <c r="M375" i="13"/>
  <c r="Q375" i="13"/>
  <c r="R375" i="13"/>
  <c r="A376" i="13"/>
  <c r="B376" i="13"/>
  <c r="C376" i="13"/>
  <c r="D376" i="13"/>
  <c r="E376" i="13"/>
  <c r="F376" i="13"/>
  <c r="G376" i="13"/>
  <c r="H376" i="13"/>
  <c r="I376" i="13"/>
  <c r="K376" i="13"/>
  <c r="O376" i="13" s="1"/>
  <c r="L376" i="13"/>
  <c r="M376" i="13"/>
  <c r="Q376" i="13"/>
  <c r="R376" i="13"/>
  <c r="A377" i="13"/>
  <c r="B377" i="13"/>
  <c r="C377" i="13"/>
  <c r="D377" i="13"/>
  <c r="E377" i="13"/>
  <c r="F377" i="13"/>
  <c r="G377" i="13"/>
  <c r="H377" i="13"/>
  <c r="I377" i="13"/>
  <c r="K377" i="13"/>
  <c r="O377" i="13" s="1"/>
  <c r="L377" i="13"/>
  <c r="M377" i="13"/>
  <c r="Q377" i="13"/>
  <c r="R377" i="13"/>
  <c r="A378" i="13"/>
  <c r="B378" i="13"/>
  <c r="C378" i="13"/>
  <c r="D378" i="13"/>
  <c r="E378" i="13"/>
  <c r="F378" i="13"/>
  <c r="G378" i="13"/>
  <c r="H378" i="13"/>
  <c r="I378" i="13"/>
  <c r="K378" i="13"/>
  <c r="O378" i="13" s="1"/>
  <c r="L378" i="13"/>
  <c r="M378" i="13"/>
  <c r="Q378" i="13"/>
  <c r="R378" i="13"/>
  <c r="A343" i="13"/>
  <c r="B343" i="13"/>
  <c r="C343" i="13"/>
  <c r="D343" i="13"/>
  <c r="E343" i="13"/>
  <c r="F343" i="13"/>
  <c r="G343" i="13"/>
  <c r="H343" i="13"/>
  <c r="I343" i="13"/>
  <c r="K343" i="13"/>
  <c r="O343" i="13" s="1"/>
  <c r="L343" i="13"/>
  <c r="M343" i="13"/>
  <c r="Q343" i="13"/>
  <c r="R343" i="13"/>
  <c r="A344" i="13"/>
  <c r="B344" i="13"/>
  <c r="C344" i="13"/>
  <c r="D344" i="13"/>
  <c r="E344" i="13"/>
  <c r="F344" i="13"/>
  <c r="G344" i="13"/>
  <c r="H344" i="13"/>
  <c r="I344" i="13"/>
  <c r="K344" i="13"/>
  <c r="O344" i="13" s="1"/>
  <c r="L344" i="13"/>
  <c r="M344" i="13"/>
  <c r="Q344" i="13"/>
  <c r="R344" i="13"/>
  <c r="A345" i="13"/>
  <c r="B345" i="13"/>
  <c r="C345" i="13"/>
  <c r="D345" i="13"/>
  <c r="E345" i="13"/>
  <c r="F345" i="13"/>
  <c r="G345" i="13"/>
  <c r="H345" i="13"/>
  <c r="I345" i="13"/>
  <c r="K345" i="13"/>
  <c r="O345" i="13" s="1"/>
  <c r="L345" i="13"/>
  <c r="M345" i="13"/>
  <c r="Q345" i="13"/>
  <c r="R345" i="13"/>
  <c r="A346" i="13"/>
  <c r="B346" i="13"/>
  <c r="C346" i="13"/>
  <c r="D346" i="13"/>
  <c r="E346" i="13"/>
  <c r="F346" i="13"/>
  <c r="G346" i="13"/>
  <c r="H346" i="13"/>
  <c r="I346" i="13"/>
  <c r="K346" i="13"/>
  <c r="O346" i="13" s="1"/>
  <c r="L346" i="13"/>
  <c r="M346" i="13"/>
  <c r="Q346" i="13"/>
  <c r="R346" i="13"/>
  <c r="A347" i="13"/>
  <c r="B347" i="13"/>
  <c r="C347" i="13"/>
  <c r="D347" i="13"/>
  <c r="E347" i="13"/>
  <c r="F347" i="13"/>
  <c r="G347" i="13"/>
  <c r="H347" i="13"/>
  <c r="I347" i="13"/>
  <c r="K347" i="13"/>
  <c r="O347" i="13" s="1"/>
  <c r="L347" i="13"/>
  <c r="M347" i="13"/>
  <c r="Q347" i="13"/>
  <c r="R347" i="13"/>
  <c r="A348" i="13"/>
  <c r="B348" i="13"/>
  <c r="C348" i="13"/>
  <c r="D348" i="13"/>
  <c r="E348" i="13"/>
  <c r="F348" i="13"/>
  <c r="G348" i="13"/>
  <c r="H348" i="13"/>
  <c r="I348" i="13"/>
  <c r="K348" i="13"/>
  <c r="O348" i="13" s="1"/>
  <c r="L348" i="13"/>
  <c r="M348" i="13"/>
  <c r="Q348" i="13"/>
  <c r="R348" i="13"/>
  <c r="A349" i="13"/>
  <c r="B349" i="13"/>
  <c r="C349" i="13"/>
  <c r="D349" i="13"/>
  <c r="E349" i="13"/>
  <c r="F349" i="13"/>
  <c r="G349" i="13"/>
  <c r="H349" i="13"/>
  <c r="I349" i="13"/>
  <c r="K349" i="13"/>
  <c r="O349" i="13" s="1"/>
  <c r="L349" i="13"/>
  <c r="M349" i="13"/>
  <c r="Q349" i="13"/>
  <c r="R349" i="13"/>
  <c r="A350" i="13"/>
  <c r="B350" i="13"/>
  <c r="C350" i="13"/>
  <c r="D350" i="13"/>
  <c r="E350" i="13"/>
  <c r="F350" i="13"/>
  <c r="G350" i="13"/>
  <c r="H350" i="13"/>
  <c r="I350" i="13"/>
  <c r="K350" i="13"/>
  <c r="O350" i="13" s="1"/>
  <c r="L350" i="13"/>
  <c r="M350" i="13"/>
  <c r="Q350" i="13"/>
  <c r="R350" i="13"/>
  <c r="A351" i="13"/>
  <c r="B351" i="13"/>
  <c r="C351" i="13"/>
  <c r="D351" i="13"/>
  <c r="E351" i="13"/>
  <c r="F351" i="13"/>
  <c r="G351" i="13"/>
  <c r="H351" i="13"/>
  <c r="I351" i="13"/>
  <c r="K351" i="13"/>
  <c r="O351" i="13" s="1"/>
  <c r="L351" i="13"/>
  <c r="M351" i="13"/>
  <c r="Q351" i="13"/>
  <c r="R351" i="13"/>
  <c r="A352" i="13"/>
  <c r="B352" i="13"/>
  <c r="C352" i="13"/>
  <c r="D352" i="13"/>
  <c r="E352" i="13"/>
  <c r="F352" i="13"/>
  <c r="G352" i="13"/>
  <c r="H352" i="13"/>
  <c r="I352" i="13"/>
  <c r="K352" i="13"/>
  <c r="O352" i="13" s="1"/>
  <c r="L352" i="13"/>
  <c r="M352" i="13"/>
  <c r="Q352" i="13"/>
  <c r="R352" i="13"/>
  <c r="A353" i="13"/>
  <c r="B353" i="13"/>
  <c r="C353" i="13"/>
  <c r="D353" i="13"/>
  <c r="E353" i="13"/>
  <c r="F353" i="13"/>
  <c r="G353" i="13"/>
  <c r="H353" i="13"/>
  <c r="I353" i="13"/>
  <c r="K353" i="13"/>
  <c r="O353" i="13" s="1"/>
  <c r="L353" i="13"/>
  <c r="M353" i="13"/>
  <c r="Q353" i="13"/>
  <c r="R353" i="13"/>
  <c r="A354" i="13"/>
  <c r="B354" i="13"/>
  <c r="C354" i="13"/>
  <c r="D354" i="13"/>
  <c r="E354" i="13"/>
  <c r="F354" i="13"/>
  <c r="G354" i="13"/>
  <c r="H354" i="13"/>
  <c r="I354" i="13"/>
  <c r="K354" i="13"/>
  <c r="O354" i="13" s="1"/>
  <c r="L354" i="13"/>
  <c r="M354" i="13"/>
  <c r="Q354" i="13"/>
  <c r="R354" i="13"/>
  <c r="A355" i="13"/>
  <c r="B355" i="13"/>
  <c r="C355" i="13"/>
  <c r="D355" i="13"/>
  <c r="E355" i="13"/>
  <c r="F355" i="13"/>
  <c r="G355" i="13"/>
  <c r="H355" i="13"/>
  <c r="I355" i="13"/>
  <c r="K355" i="13"/>
  <c r="O355" i="13" s="1"/>
  <c r="L355" i="13"/>
  <c r="M355" i="13"/>
  <c r="Q355" i="13"/>
  <c r="R355" i="13"/>
  <c r="A356" i="13"/>
  <c r="B356" i="13"/>
  <c r="C356" i="13"/>
  <c r="D356" i="13"/>
  <c r="E356" i="13"/>
  <c r="F356" i="13"/>
  <c r="G356" i="13"/>
  <c r="H356" i="13"/>
  <c r="I356" i="13"/>
  <c r="K356" i="13"/>
  <c r="O356" i="13" s="1"/>
  <c r="L356" i="13"/>
  <c r="M356" i="13"/>
  <c r="Q356" i="13"/>
  <c r="R356" i="13"/>
  <c r="A357" i="13"/>
  <c r="B357" i="13"/>
  <c r="C357" i="13"/>
  <c r="D357" i="13"/>
  <c r="E357" i="13"/>
  <c r="F357" i="13"/>
  <c r="G357" i="13"/>
  <c r="H357" i="13"/>
  <c r="I357" i="13"/>
  <c r="K357" i="13"/>
  <c r="O357" i="13" s="1"/>
  <c r="L357" i="13"/>
  <c r="M357" i="13"/>
  <c r="Q357" i="13"/>
  <c r="R357" i="13"/>
  <c r="A358" i="13"/>
  <c r="B358" i="13"/>
  <c r="C358" i="13"/>
  <c r="D358" i="13"/>
  <c r="E358" i="13"/>
  <c r="F358" i="13"/>
  <c r="G358" i="13"/>
  <c r="H358" i="13"/>
  <c r="I358" i="13"/>
  <c r="K358" i="13"/>
  <c r="O358" i="13" s="1"/>
  <c r="L358" i="13"/>
  <c r="M358" i="13"/>
  <c r="Q358" i="13"/>
  <c r="R358" i="13"/>
  <c r="A359" i="13"/>
  <c r="B359" i="13"/>
  <c r="C359" i="13"/>
  <c r="D359" i="13"/>
  <c r="E359" i="13"/>
  <c r="F359" i="13"/>
  <c r="G359" i="13"/>
  <c r="H359" i="13"/>
  <c r="I359" i="13"/>
  <c r="K359" i="13"/>
  <c r="O359" i="13" s="1"/>
  <c r="L359" i="13"/>
  <c r="M359" i="13"/>
  <c r="Q359" i="13"/>
  <c r="R359" i="13"/>
  <c r="A360" i="13"/>
  <c r="B360" i="13"/>
  <c r="C360" i="13"/>
  <c r="D360" i="13"/>
  <c r="E360" i="13"/>
  <c r="F360" i="13"/>
  <c r="G360" i="13"/>
  <c r="H360" i="13"/>
  <c r="I360" i="13"/>
  <c r="K360" i="13"/>
  <c r="O360" i="13" s="1"/>
  <c r="L360" i="13"/>
  <c r="M360" i="13"/>
  <c r="Q360" i="13"/>
  <c r="R360" i="13"/>
  <c r="A361" i="13"/>
  <c r="B361" i="13"/>
  <c r="C361" i="13"/>
  <c r="D361" i="13"/>
  <c r="E361" i="13"/>
  <c r="F361" i="13"/>
  <c r="G361" i="13"/>
  <c r="H361" i="13"/>
  <c r="I361" i="13"/>
  <c r="K361" i="13"/>
  <c r="O361" i="13" s="1"/>
  <c r="L361" i="13"/>
  <c r="M361" i="13"/>
  <c r="Q361" i="13"/>
  <c r="R361" i="13"/>
  <c r="A362" i="13"/>
  <c r="B362" i="13"/>
  <c r="C362" i="13"/>
  <c r="D362" i="13"/>
  <c r="E362" i="13"/>
  <c r="F362" i="13"/>
  <c r="G362" i="13"/>
  <c r="H362" i="13"/>
  <c r="I362" i="13"/>
  <c r="K362" i="13"/>
  <c r="O362" i="13" s="1"/>
  <c r="L362" i="13"/>
  <c r="M362" i="13"/>
  <c r="Q362" i="13"/>
  <c r="R362" i="13"/>
  <c r="A363" i="13"/>
  <c r="B363" i="13"/>
  <c r="C363" i="13"/>
  <c r="D363" i="13"/>
  <c r="E363" i="13"/>
  <c r="F363" i="13"/>
  <c r="G363" i="13"/>
  <c r="H363" i="13"/>
  <c r="I363" i="13"/>
  <c r="K363" i="13"/>
  <c r="O363" i="13" s="1"/>
  <c r="L363" i="13"/>
  <c r="M363" i="13"/>
  <c r="Q363" i="13"/>
  <c r="R363" i="13"/>
  <c r="A364" i="13"/>
  <c r="B364" i="13"/>
  <c r="C364" i="13"/>
  <c r="D364" i="13"/>
  <c r="E364" i="13"/>
  <c r="F364" i="13"/>
  <c r="G364" i="13"/>
  <c r="H364" i="13"/>
  <c r="I364" i="13"/>
  <c r="K364" i="13"/>
  <c r="O364" i="13" s="1"/>
  <c r="L364" i="13"/>
  <c r="M364" i="13"/>
  <c r="Q364" i="13"/>
  <c r="R364" i="13"/>
  <c r="A365" i="13"/>
  <c r="B365" i="13"/>
  <c r="C365" i="13"/>
  <c r="D365" i="13"/>
  <c r="E365" i="13"/>
  <c r="F365" i="13"/>
  <c r="G365" i="13"/>
  <c r="H365" i="13"/>
  <c r="I365" i="13"/>
  <c r="K365" i="13"/>
  <c r="O365" i="13" s="1"/>
  <c r="L365" i="13"/>
  <c r="M365" i="13"/>
  <c r="Q365" i="13"/>
  <c r="R365" i="13"/>
  <c r="A366" i="13"/>
  <c r="B366" i="13"/>
  <c r="C366" i="13"/>
  <c r="D366" i="13"/>
  <c r="E366" i="13"/>
  <c r="F366" i="13"/>
  <c r="G366" i="13"/>
  <c r="H366" i="13"/>
  <c r="I366" i="13"/>
  <c r="K366" i="13"/>
  <c r="O366" i="13" s="1"/>
  <c r="L366" i="13"/>
  <c r="M366" i="13"/>
  <c r="Q366" i="13"/>
  <c r="R366" i="13"/>
  <c r="A367" i="13"/>
  <c r="B367" i="13"/>
  <c r="C367" i="13"/>
  <c r="D367" i="13"/>
  <c r="E367" i="13"/>
  <c r="F367" i="13"/>
  <c r="G367" i="13"/>
  <c r="H367" i="13"/>
  <c r="I367" i="13"/>
  <c r="K367" i="13"/>
  <c r="O367" i="13" s="1"/>
  <c r="L367" i="13"/>
  <c r="M367" i="13"/>
  <c r="Q367" i="13"/>
  <c r="R367" i="13"/>
  <c r="A368" i="13"/>
  <c r="B368" i="13"/>
  <c r="C368" i="13"/>
  <c r="D368" i="13"/>
  <c r="E368" i="13"/>
  <c r="F368" i="13"/>
  <c r="G368" i="13"/>
  <c r="H368" i="13"/>
  <c r="I368" i="13"/>
  <c r="K368" i="13"/>
  <c r="O368" i="13" s="1"/>
  <c r="L368" i="13"/>
  <c r="M368" i="13"/>
  <c r="Q368" i="13"/>
  <c r="R368" i="13"/>
  <c r="A369" i="13"/>
  <c r="B369" i="13"/>
  <c r="C369" i="13"/>
  <c r="D369" i="13"/>
  <c r="E369" i="13"/>
  <c r="F369" i="13"/>
  <c r="G369" i="13"/>
  <c r="H369" i="13"/>
  <c r="I369" i="13"/>
  <c r="K369" i="13"/>
  <c r="O369" i="13" s="1"/>
  <c r="L369" i="13"/>
  <c r="M369" i="13"/>
  <c r="Q369" i="13"/>
  <c r="R369" i="13"/>
  <c r="A331" i="13"/>
  <c r="B331" i="13"/>
  <c r="C331" i="13"/>
  <c r="D331" i="13"/>
  <c r="E331" i="13"/>
  <c r="F331" i="13"/>
  <c r="G331" i="13"/>
  <c r="H331" i="13"/>
  <c r="I331" i="13"/>
  <c r="K331" i="13"/>
  <c r="O331" i="13" s="1"/>
  <c r="L331" i="13"/>
  <c r="M331" i="13"/>
  <c r="Q331" i="13"/>
  <c r="R331" i="13"/>
  <c r="A332" i="13"/>
  <c r="B332" i="13"/>
  <c r="C332" i="13"/>
  <c r="D332" i="13"/>
  <c r="E332" i="13"/>
  <c r="F332" i="13"/>
  <c r="G332" i="13"/>
  <c r="H332" i="13"/>
  <c r="I332" i="13"/>
  <c r="K332" i="13"/>
  <c r="O332" i="13" s="1"/>
  <c r="L332" i="13"/>
  <c r="M332" i="13"/>
  <c r="Q332" i="13"/>
  <c r="R332" i="13"/>
  <c r="A333" i="13"/>
  <c r="B333" i="13"/>
  <c r="C333" i="13"/>
  <c r="D333" i="13"/>
  <c r="E333" i="13"/>
  <c r="F333" i="13"/>
  <c r="G333" i="13"/>
  <c r="H333" i="13"/>
  <c r="I333" i="13"/>
  <c r="K333" i="13"/>
  <c r="O333" i="13" s="1"/>
  <c r="L333" i="13"/>
  <c r="M333" i="13"/>
  <c r="Q333" i="13"/>
  <c r="R333" i="13"/>
  <c r="A334" i="13"/>
  <c r="B334" i="13"/>
  <c r="C334" i="13"/>
  <c r="D334" i="13"/>
  <c r="E334" i="13"/>
  <c r="F334" i="13"/>
  <c r="G334" i="13"/>
  <c r="H334" i="13"/>
  <c r="I334" i="13"/>
  <c r="K334" i="13"/>
  <c r="O334" i="13" s="1"/>
  <c r="L334" i="13"/>
  <c r="M334" i="13"/>
  <c r="Q334" i="13"/>
  <c r="R334" i="13"/>
  <c r="A335" i="13"/>
  <c r="B335" i="13"/>
  <c r="C335" i="13"/>
  <c r="D335" i="13"/>
  <c r="E335" i="13"/>
  <c r="F335" i="13"/>
  <c r="G335" i="13"/>
  <c r="H335" i="13"/>
  <c r="I335" i="13"/>
  <c r="K335" i="13"/>
  <c r="O335" i="13" s="1"/>
  <c r="L335" i="13"/>
  <c r="M335" i="13"/>
  <c r="Q335" i="13"/>
  <c r="R335" i="13"/>
  <c r="A336" i="13"/>
  <c r="B336" i="13"/>
  <c r="C336" i="13"/>
  <c r="D336" i="13"/>
  <c r="E336" i="13"/>
  <c r="F336" i="13"/>
  <c r="G336" i="13"/>
  <c r="H336" i="13"/>
  <c r="I336" i="13"/>
  <c r="K336" i="13"/>
  <c r="O336" i="13" s="1"/>
  <c r="L336" i="13"/>
  <c r="M336" i="13"/>
  <c r="Q336" i="13"/>
  <c r="R336" i="13"/>
  <c r="A337" i="13"/>
  <c r="B337" i="13"/>
  <c r="C337" i="13"/>
  <c r="D337" i="13"/>
  <c r="E337" i="13"/>
  <c r="F337" i="13"/>
  <c r="G337" i="13"/>
  <c r="H337" i="13"/>
  <c r="I337" i="13"/>
  <c r="K337" i="13"/>
  <c r="O337" i="13" s="1"/>
  <c r="L337" i="13"/>
  <c r="M337" i="13"/>
  <c r="Q337" i="13"/>
  <c r="R337" i="13"/>
  <c r="A338" i="13"/>
  <c r="B338" i="13"/>
  <c r="C338" i="13"/>
  <c r="D338" i="13"/>
  <c r="E338" i="13"/>
  <c r="F338" i="13"/>
  <c r="G338" i="13"/>
  <c r="H338" i="13"/>
  <c r="I338" i="13"/>
  <c r="K338" i="13"/>
  <c r="O338" i="13" s="1"/>
  <c r="L338" i="13"/>
  <c r="M338" i="13"/>
  <c r="Q338" i="13"/>
  <c r="R338" i="13"/>
  <c r="A339" i="13"/>
  <c r="B339" i="13"/>
  <c r="C339" i="13"/>
  <c r="D339" i="13"/>
  <c r="E339" i="13"/>
  <c r="F339" i="13"/>
  <c r="G339" i="13"/>
  <c r="H339" i="13"/>
  <c r="I339" i="13"/>
  <c r="K339" i="13"/>
  <c r="O339" i="13" s="1"/>
  <c r="L339" i="13"/>
  <c r="M339" i="13"/>
  <c r="Q339" i="13"/>
  <c r="R339" i="13"/>
  <c r="A340" i="13"/>
  <c r="B340" i="13"/>
  <c r="C340" i="13"/>
  <c r="D340" i="13"/>
  <c r="E340" i="13"/>
  <c r="F340" i="13"/>
  <c r="G340" i="13"/>
  <c r="H340" i="13"/>
  <c r="I340" i="13"/>
  <c r="K340" i="13"/>
  <c r="O340" i="13" s="1"/>
  <c r="L340" i="13"/>
  <c r="M340" i="13"/>
  <c r="Q340" i="13"/>
  <c r="R340" i="13"/>
  <c r="A341" i="13"/>
  <c r="B341" i="13"/>
  <c r="C341" i="13"/>
  <c r="D341" i="13"/>
  <c r="E341" i="13"/>
  <c r="F341" i="13"/>
  <c r="G341" i="13"/>
  <c r="H341" i="13"/>
  <c r="I341" i="13"/>
  <c r="K341" i="13"/>
  <c r="O341" i="13" s="1"/>
  <c r="L341" i="13"/>
  <c r="M341" i="13"/>
  <c r="Q341" i="13"/>
  <c r="R341" i="13"/>
  <c r="A342" i="13"/>
  <c r="B342" i="13"/>
  <c r="C342" i="13"/>
  <c r="D342" i="13"/>
  <c r="E342" i="13"/>
  <c r="F342" i="13"/>
  <c r="G342" i="13"/>
  <c r="H342" i="13"/>
  <c r="I342" i="13"/>
  <c r="K342" i="13"/>
  <c r="O342" i="13" s="1"/>
  <c r="L342" i="13"/>
  <c r="M342" i="13"/>
  <c r="Q342" i="13"/>
  <c r="R342" i="13"/>
  <c r="A320" i="13"/>
  <c r="B320" i="13"/>
  <c r="C320" i="13"/>
  <c r="D320" i="13"/>
  <c r="E320" i="13"/>
  <c r="F320" i="13"/>
  <c r="G320" i="13"/>
  <c r="H320" i="13"/>
  <c r="I320" i="13"/>
  <c r="K320" i="13"/>
  <c r="O320" i="13" s="1"/>
  <c r="L320" i="13"/>
  <c r="M320" i="13"/>
  <c r="Q320" i="13"/>
  <c r="R320" i="13"/>
  <c r="A321" i="13"/>
  <c r="B321" i="13"/>
  <c r="C321" i="13"/>
  <c r="D321" i="13"/>
  <c r="E321" i="13"/>
  <c r="F321" i="13"/>
  <c r="G321" i="13"/>
  <c r="H321" i="13"/>
  <c r="I321" i="13"/>
  <c r="K321" i="13"/>
  <c r="O321" i="13" s="1"/>
  <c r="L321" i="13"/>
  <c r="M321" i="13"/>
  <c r="Q321" i="13"/>
  <c r="R321" i="13"/>
  <c r="A322" i="13"/>
  <c r="B322" i="13"/>
  <c r="C322" i="13"/>
  <c r="D322" i="13"/>
  <c r="E322" i="13"/>
  <c r="F322" i="13"/>
  <c r="G322" i="13"/>
  <c r="H322" i="13"/>
  <c r="I322" i="13"/>
  <c r="K322" i="13"/>
  <c r="O322" i="13" s="1"/>
  <c r="L322" i="13"/>
  <c r="M322" i="13"/>
  <c r="Q322" i="13"/>
  <c r="R322" i="13"/>
  <c r="A323" i="13"/>
  <c r="B323" i="13"/>
  <c r="C323" i="13"/>
  <c r="D323" i="13"/>
  <c r="E323" i="13"/>
  <c r="F323" i="13"/>
  <c r="G323" i="13"/>
  <c r="H323" i="13"/>
  <c r="I323" i="13"/>
  <c r="K323" i="13"/>
  <c r="O323" i="13" s="1"/>
  <c r="L323" i="13"/>
  <c r="M323" i="13"/>
  <c r="Q323" i="13"/>
  <c r="R323" i="13"/>
  <c r="A324" i="13"/>
  <c r="B324" i="13"/>
  <c r="C324" i="13"/>
  <c r="D324" i="13"/>
  <c r="E324" i="13"/>
  <c r="F324" i="13"/>
  <c r="G324" i="13"/>
  <c r="H324" i="13"/>
  <c r="I324" i="13"/>
  <c r="K324" i="13"/>
  <c r="O324" i="13" s="1"/>
  <c r="L324" i="13"/>
  <c r="M324" i="13"/>
  <c r="Q324" i="13"/>
  <c r="R324" i="13"/>
  <c r="A325" i="13"/>
  <c r="B325" i="13"/>
  <c r="C325" i="13"/>
  <c r="D325" i="13"/>
  <c r="E325" i="13"/>
  <c r="F325" i="13"/>
  <c r="G325" i="13"/>
  <c r="H325" i="13"/>
  <c r="I325" i="13"/>
  <c r="K325" i="13"/>
  <c r="O325" i="13" s="1"/>
  <c r="L325" i="13"/>
  <c r="M325" i="13"/>
  <c r="Q325" i="13"/>
  <c r="R325" i="13"/>
  <c r="A326" i="13"/>
  <c r="B326" i="13"/>
  <c r="C326" i="13"/>
  <c r="D326" i="13"/>
  <c r="E326" i="13"/>
  <c r="F326" i="13"/>
  <c r="G326" i="13"/>
  <c r="H326" i="13"/>
  <c r="I326" i="13"/>
  <c r="K326" i="13"/>
  <c r="O326" i="13" s="1"/>
  <c r="L326" i="13"/>
  <c r="M326" i="13"/>
  <c r="Q326" i="13"/>
  <c r="R326" i="13"/>
  <c r="A327" i="13"/>
  <c r="B327" i="13"/>
  <c r="C327" i="13"/>
  <c r="D327" i="13"/>
  <c r="E327" i="13"/>
  <c r="F327" i="13"/>
  <c r="G327" i="13"/>
  <c r="H327" i="13"/>
  <c r="I327" i="13"/>
  <c r="K327" i="13"/>
  <c r="O327" i="13" s="1"/>
  <c r="L327" i="13"/>
  <c r="M327" i="13"/>
  <c r="Q327" i="13"/>
  <c r="R327" i="13"/>
  <c r="A328" i="13"/>
  <c r="B328" i="13"/>
  <c r="C328" i="13"/>
  <c r="D328" i="13"/>
  <c r="E328" i="13"/>
  <c r="F328" i="13"/>
  <c r="G328" i="13"/>
  <c r="H328" i="13"/>
  <c r="I328" i="13"/>
  <c r="K328" i="13"/>
  <c r="O328" i="13" s="1"/>
  <c r="L328" i="13"/>
  <c r="M328" i="13"/>
  <c r="Q328" i="13"/>
  <c r="R328" i="13"/>
  <c r="A329" i="13"/>
  <c r="B329" i="13"/>
  <c r="C329" i="13"/>
  <c r="D329" i="13"/>
  <c r="E329" i="13"/>
  <c r="F329" i="13"/>
  <c r="G329" i="13"/>
  <c r="H329" i="13"/>
  <c r="I329" i="13"/>
  <c r="K329" i="13"/>
  <c r="O329" i="13" s="1"/>
  <c r="L329" i="13"/>
  <c r="M329" i="13"/>
  <c r="Q329" i="13"/>
  <c r="R329" i="13"/>
  <c r="A330" i="13"/>
  <c r="B330" i="13"/>
  <c r="C330" i="13"/>
  <c r="D330" i="13"/>
  <c r="E330" i="13"/>
  <c r="F330" i="13"/>
  <c r="G330" i="13"/>
  <c r="H330" i="13"/>
  <c r="I330" i="13"/>
  <c r="K330" i="13"/>
  <c r="O330" i="13" s="1"/>
  <c r="L330" i="13"/>
  <c r="M330" i="13"/>
  <c r="Q330" i="13"/>
  <c r="R330" i="13"/>
  <c r="A308" i="13"/>
  <c r="B308" i="13"/>
  <c r="C308" i="13"/>
  <c r="D308" i="13"/>
  <c r="E308" i="13"/>
  <c r="F308" i="13"/>
  <c r="G308" i="13"/>
  <c r="H308" i="13"/>
  <c r="I308" i="13"/>
  <c r="K308" i="13"/>
  <c r="O308" i="13" s="1"/>
  <c r="L308" i="13"/>
  <c r="M308" i="13"/>
  <c r="Q308" i="13"/>
  <c r="R308" i="13"/>
  <c r="A309" i="13"/>
  <c r="B309" i="13"/>
  <c r="C309" i="13"/>
  <c r="D309" i="13"/>
  <c r="E309" i="13"/>
  <c r="F309" i="13"/>
  <c r="G309" i="13"/>
  <c r="H309" i="13"/>
  <c r="I309" i="13"/>
  <c r="K309" i="13"/>
  <c r="O309" i="13" s="1"/>
  <c r="L309" i="13"/>
  <c r="M309" i="13"/>
  <c r="Q309" i="13"/>
  <c r="R309" i="13"/>
  <c r="A310" i="13"/>
  <c r="B310" i="13"/>
  <c r="C310" i="13"/>
  <c r="D310" i="13"/>
  <c r="E310" i="13"/>
  <c r="F310" i="13"/>
  <c r="G310" i="13"/>
  <c r="H310" i="13"/>
  <c r="I310" i="13"/>
  <c r="K310" i="13"/>
  <c r="O310" i="13" s="1"/>
  <c r="L310" i="13"/>
  <c r="M310" i="13"/>
  <c r="Q310" i="13"/>
  <c r="R310" i="13"/>
  <c r="A311" i="13"/>
  <c r="B311" i="13"/>
  <c r="C311" i="13"/>
  <c r="D311" i="13"/>
  <c r="E311" i="13"/>
  <c r="F311" i="13"/>
  <c r="G311" i="13"/>
  <c r="H311" i="13"/>
  <c r="I311" i="13"/>
  <c r="K311" i="13"/>
  <c r="O311" i="13" s="1"/>
  <c r="L311" i="13"/>
  <c r="M311" i="13"/>
  <c r="Q311" i="13"/>
  <c r="R311" i="13"/>
  <c r="A312" i="13"/>
  <c r="B312" i="13"/>
  <c r="C312" i="13"/>
  <c r="D312" i="13"/>
  <c r="E312" i="13"/>
  <c r="F312" i="13"/>
  <c r="G312" i="13"/>
  <c r="H312" i="13"/>
  <c r="I312" i="13"/>
  <c r="K312" i="13"/>
  <c r="O312" i="13" s="1"/>
  <c r="L312" i="13"/>
  <c r="M312" i="13"/>
  <c r="Q312" i="13"/>
  <c r="R312" i="13"/>
  <c r="A313" i="13"/>
  <c r="B313" i="13"/>
  <c r="C313" i="13"/>
  <c r="D313" i="13"/>
  <c r="E313" i="13"/>
  <c r="F313" i="13"/>
  <c r="G313" i="13"/>
  <c r="H313" i="13"/>
  <c r="I313" i="13"/>
  <c r="K313" i="13"/>
  <c r="O313" i="13" s="1"/>
  <c r="L313" i="13"/>
  <c r="M313" i="13"/>
  <c r="Q313" i="13"/>
  <c r="R313" i="13"/>
  <c r="A314" i="13"/>
  <c r="B314" i="13"/>
  <c r="C314" i="13"/>
  <c r="D314" i="13"/>
  <c r="E314" i="13"/>
  <c r="F314" i="13"/>
  <c r="G314" i="13"/>
  <c r="H314" i="13"/>
  <c r="I314" i="13"/>
  <c r="K314" i="13"/>
  <c r="O314" i="13" s="1"/>
  <c r="L314" i="13"/>
  <c r="M314" i="13"/>
  <c r="Q314" i="13"/>
  <c r="R314" i="13"/>
  <c r="A315" i="13"/>
  <c r="B315" i="13"/>
  <c r="C315" i="13"/>
  <c r="D315" i="13"/>
  <c r="E315" i="13"/>
  <c r="F315" i="13"/>
  <c r="G315" i="13"/>
  <c r="H315" i="13"/>
  <c r="I315" i="13"/>
  <c r="K315" i="13"/>
  <c r="O315" i="13" s="1"/>
  <c r="L315" i="13"/>
  <c r="M315" i="13"/>
  <c r="Q315" i="13"/>
  <c r="R315" i="13"/>
  <c r="A316" i="13"/>
  <c r="B316" i="13"/>
  <c r="C316" i="13"/>
  <c r="D316" i="13"/>
  <c r="E316" i="13"/>
  <c r="F316" i="13"/>
  <c r="G316" i="13"/>
  <c r="H316" i="13"/>
  <c r="I316" i="13"/>
  <c r="K316" i="13"/>
  <c r="O316" i="13" s="1"/>
  <c r="L316" i="13"/>
  <c r="M316" i="13"/>
  <c r="Q316" i="13"/>
  <c r="R316" i="13"/>
  <c r="A317" i="13"/>
  <c r="B317" i="13"/>
  <c r="C317" i="13"/>
  <c r="D317" i="13"/>
  <c r="E317" i="13"/>
  <c r="F317" i="13"/>
  <c r="G317" i="13"/>
  <c r="H317" i="13"/>
  <c r="I317" i="13"/>
  <c r="K317" i="13"/>
  <c r="O317" i="13" s="1"/>
  <c r="L317" i="13"/>
  <c r="M317" i="13"/>
  <c r="Q317" i="13"/>
  <c r="R317" i="13"/>
  <c r="A318" i="13"/>
  <c r="B318" i="13"/>
  <c r="C318" i="13"/>
  <c r="D318" i="13"/>
  <c r="E318" i="13"/>
  <c r="F318" i="13"/>
  <c r="G318" i="13"/>
  <c r="H318" i="13"/>
  <c r="I318" i="13"/>
  <c r="K318" i="13"/>
  <c r="O318" i="13" s="1"/>
  <c r="L318" i="13"/>
  <c r="M318" i="13"/>
  <c r="Q318" i="13"/>
  <c r="R318" i="13"/>
  <c r="A319" i="13"/>
  <c r="B319" i="13"/>
  <c r="C319" i="13"/>
  <c r="D319" i="13"/>
  <c r="E319" i="13"/>
  <c r="F319" i="13"/>
  <c r="G319" i="13"/>
  <c r="H319" i="13"/>
  <c r="I319" i="13"/>
  <c r="K319" i="13"/>
  <c r="O319" i="13" s="1"/>
  <c r="L319" i="13"/>
  <c r="M319" i="13"/>
  <c r="Q319" i="13"/>
  <c r="R319" i="13"/>
  <c r="A297" i="13"/>
  <c r="B297" i="13"/>
  <c r="C297" i="13"/>
  <c r="D297" i="13"/>
  <c r="E297" i="13"/>
  <c r="F297" i="13"/>
  <c r="G297" i="13"/>
  <c r="H297" i="13"/>
  <c r="I297" i="13"/>
  <c r="K297" i="13"/>
  <c r="O297" i="13" s="1"/>
  <c r="L297" i="13"/>
  <c r="M297" i="13"/>
  <c r="Q297" i="13"/>
  <c r="R297" i="13"/>
  <c r="A298" i="13"/>
  <c r="B298" i="13"/>
  <c r="C298" i="13"/>
  <c r="D298" i="13"/>
  <c r="E298" i="13"/>
  <c r="F298" i="13"/>
  <c r="G298" i="13"/>
  <c r="H298" i="13"/>
  <c r="I298" i="13"/>
  <c r="K298" i="13"/>
  <c r="O298" i="13" s="1"/>
  <c r="L298" i="13"/>
  <c r="M298" i="13"/>
  <c r="Q298" i="13"/>
  <c r="R298" i="13"/>
  <c r="A299" i="13"/>
  <c r="B299" i="13"/>
  <c r="C299" i="13"/>
  <c r="D299" i="13"/>
  <c r="E299" i="13"/>
  <c r="F299" i="13"/>
  <c r="G299" i="13"/>
  <c r="H299" i="13"/>
  <c r="I299" i="13"/>
  <c r="K299" i="13"/>
  <c r="O299" i="13" s="1"/>
  <c r="L299" i="13"/>
  <c r="M299" i="13"/>
  <c r="Q299" i="13"/>
  <c r="R299" i="13"/>
  <c r="A300" i="13"/>
  <c r="B300" i="13"/>
  <c r="C300" i="13"/>
  <c r="D300" i="13"/>
  <c r="E300" i="13"/>
  <c r="F300" i="13"/>
  <c r="G300" i="13"/>
  <c r="H300" i="13"/>
  <c r="I300" i="13"/>
  <c r="K300" i="13"/>
  <c r="O300" i="13" s="1"/>
  <c r="L300" i="13"/>
  <c r="M300" i="13"/>
  <c r="Q300" i="13"/>
  <c r="R300" i="13"/>
  <c r="A301" i="13"/>
  <c r="B301" i="13"/>
  <c r="C301" i="13"/>
  <c r="D301" i="13"/>
  <c r="E301" i="13"/>
  <c r="F301" i="13"/>
  <c r="G301" i="13"/>
  <c r="H301" i="13"/>
  <c r="I301" i="13"/>
  <c r="K301" i="13"/>
  <c r="O301" i="13" s="1"/>
  <c r="L301" i="13"/>
  <c r="M301" i="13"/>
  <c r="Q301" i="13"/>
  <c r="R301" i="13"/>
  <c r="A302" i="13"/>
  <c r="B302" i="13"/>
  <c r="C302" i="13"/>
  <c r="D302" i="13"/>
  <c r="E302" i="13"/>
  <c r="F302" i="13"/>
  <c r="G302" i="13"/>
  <c r="H302" i="13"/>
  <c r="I302" i="13"/>
  <c r="K302" i="13"/>
  <c r="O302" i="13" s="1"/>
  <c r="L302" i="13"/>
  <c r="M302" i="13"/>
  <c r="Q302" i="13"/>
  <c r="R302" i="13"/>
  <c r="A303" i="13"/>
  <c r="B303" i="13"/>
  <c r="C303" i="13"/>
  <c r="D303" i="13"/>
  <c r="E303" i="13"/>
  <c r="F303" i="13"/>
  <c r="G303" i="13"/>
  <c r="H303" i="13"/>
  <c r="I303" i="13"/>
  <c r="K303" i="13"/>
  <c r="O303" i="13" s="1"/>
  <c r="L303" i="13"/>
  <c r="M303" i="13"/>
  <c r="Q303" i="13"/>
  <c r="R303" i="13"/>
  <c r="A304" i="13"/>
  <c r="B304" i="13"/>
  <c r="C304" i="13"/>
  <c r="D304" i="13"/>
  <c r="E304" i="13"/>
  <c r="F304" i="13"/>
  <c r="G304" i="13"/>
  <c r="H304" i="13"/>
  <c r="I304" i="13"/>
  <c r="K304" i="13"/>
  <c r="O304" i="13" s="1"/>
  <c r="L304" i="13"/>
  <c r="M304" i="13"/>
  <c r="Q304" i="13"/>
  <c r="R304" i="13"/>
  <c r="A305" i="13"/>
  <c r="B305" i="13"/>
  <c r="C305" i="13"/>
  <c r="D305" i="13"/>
  <c r="E305" i="13"/>
  <c r="F305" i="13"/>
  <c r="G305" i="13"/>
  <c r="H305" i="13"/>
  <c r="I305" i="13"/>
  <c r="K305" i="13"/>
  <c r="O305" i="13" s="1"/>
  <c r="L305" i="13"/>
  <c r="M305" i="13"/>
  <c r="Q305" i="13"/>
  <c r="R305" i="13"/>
  <c r="A306" i="13"/>
  <c r="B306" i="13"/>
  <c r="C306" i="13"/>
  <c r="D306" i="13"/>
  <c r="E306" i="13"/>
  <c r="F306" i="13"/>
  <c r="G306" i="13"/>
  <c r="H306" i="13"/>
  <c r="I306" i="13"/>
  <c r="K306" i="13"/>
  <c r="O306" i="13" s="1"/>
  <c r="L306" i="13"/>
  <c r="M306" i="13"/>
  <c r="Q306" i="13"/>
  <c r="R306" i="13"/>
  <c r="A307" i="13"/>
  <c r="B307" i="13"/>
  <c r="C307" i="13"/>
  <c r="D307" i="13"/>
  <c r="E307" i="13"/>
  <c r="F307" i="13"/>
  <c r="G307" i="13"/>
  <c r="H307" i="13"/>
  <c r="I307" i="13"/>
  <c r="K307" i="13"/>
  <c r="O307" i="13" s="1"/>
  <c r="L307" i="13"/>
  <c r="M307" i="13"/>
  <c r="Q307" i="13"/>
  <c r="R307" i="13"/>
  <c r="J447" i="13" l="1"/>
  <c r="J446" i="13"/>
  <c r="N443" i="13"/>
  <c r="N445" i="13"/>
  <c r="J445" i="13"/>
  <c r="J444" i="13"/>
  <c r="J441" i="13"/>
  <c r="J439" i="13"/>
  <c r="J440" i="13"/>
  <c r="J442" i="13"/>
  <c r="J443" i="13"/>
  <c r="J435" i="13"/>
  <c r="J436" i="13"/>
  <c r="N439" i="13"/>
  <c r="N436" i="13"/>
  <c r="J437" i="13"/>
  <c r="N434" i="13"/>
  <c r="N431" i="13"/>
  <c r="P478" i="13"/>
  <c r="P446" i="13"/>
  <c r="J433" i="13"/>
  <c r="P433" i="13"/>
  <c r="P412" i="13"/>
  <c r="P461" i="13"/>
  <c r="P434" i="13"/>
  <c r="P417" i="13"/>
  <c r="P441" i="13"/>
  <c r="J434" i="13"/>
  <c r="P413" i="13"/>
  <c r="P498" i="13"/>
  <c r="P497" i="13"/>
  <c r="P496" i="13"/>
  <c r="P494" i="13"/>
  <c r="P493" i="13"/>
  <c r="P489" i="13"/>
  <c r="P486" i="13"/>
  <c r="P485" i="13"/>
  <c r="P484" i="13"/>
  <c r="P483" i="13"/>
  <c r="P482" i="13"/>
  <c r="P481" i="13"/>
  <c r="P480" i="13"/>
  <c r="P414" i="13"/>
  <c r="P430" i="13"/>
  <c r="P426" i="13"/>
  <c r="P422" i="13"/>
  <c r="P477" i="13"/>
  <c r="P474" i="13"/>
  <c r="P473" i="13"/>
  <c r="P466" i="13"/>
  <c r="P465" i="13"/>
  <c r="P462" i="13"/>
  <c r="P431" i="13"/>
  <c r="P457" i="13"/>
  <c r="P454" i="13"/>
  <c r="P453" i="13"/>
  <c r="P452" i="13"/>
  <c r="P451" i="13"/>
  <c r="P450" i="13"/>
  <c r="P449" i="13"/>
  <c r="P448" i="13"/>
  <c r="P445" i="13"/>
  <c r="P442" i="13"/>
  <c r="P432" i="13"/>
  <c r="J430" i="13"/>
  <c r="J432" i="13"/>
  <c r="P490" i="13"/>
  <c r="P402" i="13"/>
  <c r="P427" i="13"/>
  <c r="P398" i="13"/>
  <c r="P479" i="13"/>
  <c r="P447" i="13"/>
  <c r="P458" i="13"/>
  <c r="P389" i="13"/>
  <c r="P407" i="13"/>
  <c r="P403" i="13"/>
  <c r="P428" i="13"/>
  <c r="P420" i="13"/>
  <c r="P400" i="13"/>
  <c r="P499" i="13"/>
  <c r="P470" i="13"/>
  <c r="P469" i="13"/>
  <c r="P468" i="13"/>
  <c r="P467" i="13"/>
  <c r="P438" i="13"/>
  <c r="P437" i="13"/>
  <c r="P436" i="13"/>
  <c r="P435" i="13"/>
  <c r="P429" i="13"/>
  <c r="P425" i="13"/>
  <c r="P416" i="13"/>
  <c r="P411" i="13"/>
  <c r="P381" i="13"/>
  <c r="P495" i="13"/>
  <c r="P464" i="13"/>
  <c r="P463" i="13"/>
  <c r="P421" i="13"/>
  <c r="P409" i="13"/>
  <c r="P405" i="13"/>
  <c r="P396" i="13"/>
  <c r="P423" i="13"/>
  <c r="P401" i="13"/>
  <c r="P410" i="13"/>
  <c r="P406" i="13"/>
  <c r="P397" i="13"/>
  <c r="P424" i="13"/>
  <c r="P419" i="13"/>
  <c r="P399" i="13"/>
  <c r="P492" i="13"/>
  <c r="P491" i="13"/>
  <c r="P476" i="13"/>
  <c r="P475" i="13"/>
  <c r="P460" i="13"/>
  <c r="P459" i="13"/>
  <c r="P444" i="13"/>
  <c r="P443" i="13"/>
  <c r="P415" i="13"/>
  <c r="P373" i="13"/>
  <c r="P388" i="13"/>
  <c r="P488" i="13"/>
  <c r="P487" i="13"/>
  <c r="P472" i="13"/>
  <c r="P471" i="13"/>
  <c r="P456" i="13"/>
  <c r="P455" i="13"/>
  <c r="P440" i="13"/>
  <c r="P439" i="13"/>
  <c r="P408" i="13"/>
  <c r="P404" i="13"/>
  <c r="P418" i="13"/>
  <c r="P379" i="13"/>
  <c r="J429" i="13"/>
  <c r="P358" i="13"/>
  <c r="P354" i="13"/>
  <c r="P346" i="13"/>
  <c r="N429" i="13"/>
  <c r="P394" i="13"/>
  <c r="P393" i="13"/>
  <c r="P392" i="13"/>
  <c r="P391" i="13"/>
  <c r="P390" i="13"/>
  <c r="P376" i="13"/>
  <c r="P343" i="13"/>
  <c r="P386" i="13"/>
  <c r="P364" i="13"/>
  <c r="P356" i="13"/>
  <c r="P352" i="13"/>
  <c r="P348" i="13"/>
  <c r="P344" i="13"/>
  <c r="P395" i="13"/>
  <c r="P372" i="13"/>
  <c r="P387" i="13"/>
  <c r="P310" i="13"/>
  <c r="P321" i="13"/>
  <c r="P380" i="13"/>
  <c r="P355" i="13"/>
  <c r="P347" i="13"/>
  <c r="P370" i="13"/>
  <c r="P383" i="13"/>
  <c r="P382" i="13"/>
  <c r="P384" i="13"/>
  <c r="P361" i="13"/>
  <c r="P357" i="13"/>
  <c r="P353" i="13"/>
  <c r="P349" i="13"/>
  <c r="P371" i="13"/>
  <c r="P385" i="13"/>
  <c r="P319" i="13"/>
  <c r="P318" i="13"/>
  <c r="P317" i="13"/>
  <c r="P316" i="13"/>
  <c r="P315" i="13"/>
  <c r="P314" i="13"/>
  <c r="P313" i="13"/>
  <c r="P312" i="13"/>
  <c r="P311" i="13"/>
  <c r="P378" i="13"/>
  <c r="P377" i="13"/>
  <c r="P320" i="13"/>
  <c r="P342" i="13"/>
  <c r="P341" i="13"/>
  <c r="P340" i="13"/>
  <c r="P339" i="13"/>
  <c r="P338" i="13"/>
  <c r="P337" i="13"/>
  <c r="P336" i="13"/>
  <c r="P335" i="13"/>
  <c r="P334" i="13"/>
  <c r="P333" i="13"/>
  <c r="P332" i="13"/>
  <c r="P331" i="13"/>
  <c r="P369" i="13"/>
  <c r="P368" i="13"/>
  <c r="P367" i="13"/>
  <c r="P366" i="13"/>
  <c r="P365" i="13"/>
  <c r="P375" i="13"/>
  <c r="P374" i="13"/>
  <c r="P351" i="13"/>
  <c r="P350" i="13"/>
  <c r="P309" i="13"/>
  <c r="P330" i="13"/>
  <c r="P329" i="13"/>
  <c r="P328" i="13"/>
  <c r="P327" i="13"/>
  <c r="P326" i="13"/>
  <c r="P325" i="13"/>
  <c r="P324" i="13"/>
  <c r="P323" i="13"/>
  <c r="P322" i="13"/>
  <c r="P363" i="13"/>
  <c r="P362" i="13"/>
  <c r="P360" i="13"/>
  <c r="P359" i="13"/>
  <c r="P345" i="13"/>
  <c r="P306" i="13"/>
  <c r="P304" i="13"/>
  <c r="P305" i="13"/>
  <c r="P307" i="13"/>
  <c r="P302" i="13"/>
  <c r="P300" i="13"/>
  <c r="P298" i="13"/>
  <c r="P303" i="13"/>
  <c r="P301" i="13"/>
  <c r="P299" i="13"/>
  <c r="P297" i="13"/>
  <c r="P308" i="13"/>
  <c r="J384" i="13"/>
  <c r="J386" i="13"/>
  <c r="J391" i="13"/>
  <c r="J392" i="13"/>
  <c r="J394" i="13"/>
  <c r="J399" i="13"/>
  <c r="J400" i="13"/>
  <c r="J402" i="13"/>
  <c r="J404" i="13"/>
  <c r="J407" i="13"/>
  <c r="J410" i="13"/>
  <c r="J412" i="13"/>
  <c r="J416" i="13"/>
  <c r="J418" i="13"/>
  <c r="J426" i="13"/>
  <c r="J428" i="13"/>
  <c r="N442" i="13" l="1"/>
  <c r="N441" i="13"/>
  <c r="N440" i="13"/>
  <c r="N438" i="13"/>
  <c r="N410" i="13"/>
  <c r="J425" i="13"/>
  <c r="J417" i="13"/>
  <c r="J409" i="13"/>
  <c r="J401" i="13"/>
  <c r="J393" i="13"/>
  <c r="J423" i="13"/>
  <c r="J415" i="13"/>
  <c r="J422" i="13"/>
  <c r="J414" i="13"/>
  <c r="J406" i="13"/>
  <c r="J398" i="13"/>
  <c r="J390" i="13"/>
  <c r="J408" i="13"/>
  <c r="J421" i="13"/>
  <c r="J413" i="13"/>
  <c r="J405" i="13"/>
  <c r="J397" i="13"/>
  <c r="J389" i="13"/>
  <c r="J424" i="13"/>
  <c r="J420" i="13"/>
  <c r="J396" i="13"/>
  <c r="J427" i="13"/>
  <c r="J419" i="13"/>
  <c r="J411" i="13"/>
  <c r="J403" i="13"/>
  <c r="J395" i="13"/>
  <c r="J332" i="13"/>
  <c r="J306" i="13"/>
  <c r="J307" i="13"/>
  <c r="J326" i="13"/>
  <c r="J302" i="13"/>
  <c r="J336" i="13"/>
  <c r="J365" i="13"/>
  <c r="J353" i="13"/>
  <c r="J297" i="13"/>
  <c r="J313" i="13"/>
  <c r="J324" i="13"/>
  <c r="J333" i="13"/>
  <c r="J343" i="13"/>
  <c r="J371" i="13"/>
  <c r="J366" i="13"/>
  <c r="J362" i="13"/>
  <c r="J358" i="13"/>
  <c r="J354" i="13"/>
  <c r="J379" i="13"/>
  <c r="J342" i="13"/>
  <c r="J378" i="13"/>
  <c r="J383" i="13"/>
  <c r="J311" i="13"/>
  <c r="J330" i="13"/>
  <c r="J322" i="13"/>
  <c r="J298" i="13"/>
  <c r="J341" i="13"/>
  <c r="J351" i="13"/>
  <c r="J352" i="13"/>
  <c r="J373" i="13"/>
  <c r="J367" i="13"/>
  <c r="J363" i="13"/>
  <c r="J359" i="13"/>
  <c r="J355" i="13"/>
  <c r="J370" i="13"/>
  <c r="J377" i="13"/>
  <c r="J382" i="13"/>
  <c r="J318" i="13"/>
  <c r="J310" i="13"/>
  <c r="J329" i="13"/>
  <c r="J321" i="13"/>
  <c r="J299" i="13"/>
  <c r="J340" i="13"/>
  <c r="J350" i="13"/>
  <c r="J337" i="13"/>
  <c r="J376" i="13"/>
  <c r="J381" i="13"/>
  <c r="J388" i="13"/>
  <c r="J303" i="13"/>
  <c r="J312" i="13"/>
  <c r="J331" i="13"/>
  <c r="J317" i="13"/>
  <c r="J309" i="13"/>
  <c r="J328" i="13"/>
  <c r="J320" i="13"/>
  <c r="J300" i="13"/>
  <c r="J339" i="13"/>
  <c r="J348" i="13"/>
  <c r="J349" i="13"/>
  <c r="J375" i="13"/>
  <c r="J368" i="13"/>
  <c r="J364" i="13"/>
  <c r="J360" i="13"/>
  <c r="J356" i="13"/>
  <c r="J372" i="13"/>
  <c r="J380" i="13"/>
  <c r="J387" i="13"/>
  <c r="J316" i="13"/>
  <c r="J308" i="13"/>
  <c r="J327" i="13"/>
  <c r="J319" i="13"/>
  <c r="J301" i="13"/>
  <c r="J338" i="13"/>
  <c r="J347" i="13"/>
  <c r="J374" i="13"/>
  <c r="J323" i="13"/>
  <c r="J315" i="13"/>
  <c r="J346" i="13"/>
  <c r="J335" i="13"/>
  <c r="J369" i="13"/>
  <c r="J361" i="13"/>
  <c r="J357" i="13"/>
  <c r="J385" i="13"/>
  <c r="J314" i="13"/>
  <c r="J325" i="13"/>
  <c r="J344" i="13"/>
  <c r="J334" i="13"/>
  <c r="J345" i="13"/>
  <c r="N426" i="13" l="1"/>
  <c r="N418" i="13"/>
  <c r="N402" i="13"/>
  <c r="N386" i="13"/>
  <c r="N394" i="13"/>
  <c r="N412" i="13"/>
  <c r="N384" i="13"/>
  <c r="N392" i="13"/>
  <c r="N428" i="13"/>
  <c r="N391" i="13"/>
  <c r="N400" i="13"/>
  <c r="N406" i="13"/>
  <c r="N403" i="13"/>
  <c r="N397" i="13"/>
  <c r="N404" i="13"/>
  <c r="N423" i="13"/>
  <c r="N393" i="13"/>
  <c r="N425" i="13"/>
  <c r="N398" i="13"/>
  <c r="N420" i="13"/>
  <c r="N415" i="13"/>
  <c r="N399" i="13"/>
  <c r="N414" i="13"/>
  <c r="N427" i="13"/>
  <c r="N389" i="13"/>
  <c r="N417" i="13"/>
  <c r="N411" i="13"/>
  <c r="N405" i="13"/>
  <c r="N401" i="13"/>
  <c r="N421" i="13"/>
  <c r="N390" i="13"/>
  <c r="N422" i="13"/>
  <c r="N416" i="13"/>
  <c r="N408" i="13"/>
  <c r="N395" i="13"/>
  <c r="N419" i="13"/>
  <c r="N396" i="13"/>
  <c r="N424" i="13"/>
  <c r="N413" i="13"/>
  <c r="N407" i="13"/>
  <c r="N409" i="13"/>
  <c r="N344" i="13"/>
  <c r="N357" i="13"/>
  <c r="N346" i="13"/>
  <c r="N347" i="13"/>
  <c r="N327" i="13"/>
  <c r="N380" i="13"/>
  <c r="N364" i="13"/>
  <c r="N348" i="13"/>
  <c r="N328" i="13"/>
  <c r="N312" i="13"/>
  <c r="N376" i="13"/>
  <c r="N299" i="13"/>
  <c r="N318" i="13"/>
  <c r="N370" i="13"/>
  <c r="N367" i="13"/>
  <c r="N341" i="13"/>
  <c r="N311" i="13"/>
  <c r="N342" i="13"/>
  <c r="N362" i="13"/>
  <c r="N333" i="13"/>
  <c r="N353" i="13"/>
  <c r="N326" i="13"/>
  <c r="J304" i="13"/>
  <c r="N338" i="13"/>
  <c r="N308" i="13"/>
  <c r="N372" i="13"/>
  <c r="N368" i="13"/>
  <c r="N339" i="13"/>
  <c r="N309" i="13"/>
  <c r="N303" i="13"/>
  <c r="N337" i="13"/>
  <c r="N321" i="13"/>
  <c r="N355" i="13"/>
  <c r="N373" i="13"/>
  <c r="N298" i="13"/>
  <c r="N379" i="13"/>
  <c r="N366" i="13"/>
  <c r="N324" i="13"/>
  <c r="N365" i="13"/>
  <c r="N307" i="13"/>
  <c r="J305" i="13"/>
  <c r="N325" i="13"/>
  <c r="N315" i="13"/>
  <c r="N345" i="13"/>
  <c r="N314" i="13"/>
  <c r="N369" i="13"/>
  <c r="N323" i="13"/>
  <c r="N361" i="13"/>
  <c r="N301" i="13"/>
  <c r="N316" i="13"/>
  <c r="N356" i="13"/>
  <c r="N375" i="13"/>
  <c r="N300" i="13"/>
  <c r="N317" i="13"/>
  <c r="N388" i="13"/>
  <c r="N350" i="13"/>
  <c r="N329" i="13"/>
  <c r="N382" i="13"/>
  <c r="N359" i="13"/>
  <c r="N352" i="13"/>
  <c r="N322" i="13"/>
  <c r="N383" i="13"/>
  <c r="N354" i="13"/>
  <c r="N371" i="13"/>
  <c r="N313" i="13"/>
  <c r="N336" i="13"/>
  <c r="N306" i="13"/>
  <c r="N334" i="13"/>
  <c r="N385" i="13"/>
  <c r="N335" i="13"/>
  <c r="N374" i="13"/>
  <c r="N319" i="13"/>
  <c r="N387" i="13"/>
  <c r="N360" i="13"/>
  <c r="N349" i="13"/>
  <c r="N320" i="13"/>
  <c r="N331" i="13"/>
  <c r="N381" i="13"/>
  <c r="N340" i="13"/>
  <c r="N310" i="13"/>
  <c r="N377" i="13"/>
  <c r="N363" i="13"/>
  <c r="N351" i="13"/>
  <c r="N330" i="13"/>
  <c r="N378" i="13"/>
  <c r="N358" i="13"/>
  <c r="N343" i="13"/>
  <c r="N297" i="13"/>
  <c r="N302" i="13"/>
  <c r="N332" i="13"/>
  <c r="A258" i="13"/>
  <c r="B258" i="13"/>
  <c r="C258" i="13"/>
  <c r="D258" i="13"/>
  <c r="E258" i="13"/>
  <c r="F258" i="13"/>
  <c r="G258" i="13"/>
  <c r="H258" i="13"/>
  <c r="I258" i="13"/>
  <c r="K258" i="13"/>
  <c r="O258" i="13" s="1"/>
  <c r="L258" i="13"/>
  <c r="M258" i="13"/>
  <c r="Q258" i="13"/>
  <c r="R258" i="13"/>
  <c r="A259" i="13"/>
  <c r="B259" i="13"/>
  <c r="C259" i="13"/>
  <c r="D259" i="13"/>
  <c r="E259" i="13"/>
  <c r="F259" i="13"/>
  <c r="G259" i="13"/>
  <c r="H259" i="13"/>
  <c r="I259" i="13"/>
  <c r="K259" i="13"/>
  <c r="O259" i="13" s="1"/>
  <c r="L259" i="13"/>
  <c r="M259" i="13"/>
  <c r="Q259" i="13"/>
  <c r="R259" i="13"/>
  <c r="A260" i="13"/>
  <c r="B260" i="13"/>
  <c r="C260" i="13"/>
  <c r="D260" i="13"/>
  <c r="E260" i="13"/>
  <c r="F260" i="13"/>
  <c r="G260" i="13"/>
  <c r="H260" i="13"/>
  <c r="I260" i="13"/>
  <c r="K260" i="13"/>
  <c r="O260" i="13" s="1"/>
  <c r="L260" i="13"/>
  <c r="M260" i="13"/>
  <c r="Q260" i="13"/>
  <c r="R260" i="13"/>
  <c r="A261" i="13"/>
  <c r="B261" i="13"/>
  <c r="C261" i="13"/>
  <c r="D261" i="13"/>
  <c r="E261" i="13"/>
  <c r="F261" i="13"/>
  <c r="G261" i="13"/>
  <c r="H261" i="13"/>
  <c r="I261" i="13"/>
  <c r="K261" i="13"/>
  <c r="O261" i="13" s="1"/>
  <c r="L261" i="13"/>
  <c r="M261" i="13"/>
  <c r="Q261" i="13"/>
  <c r="R261" i="13"/>
  <c r="A262" i="13"/>
  <c r="B262" i="13"/>
  <c r="C262" i="13"/>
  <c r="D262" i="13"/>
  <c r="E262" i="13"/>
  <c r="F262" i="13"/>
  <c r="G262" i="13"/>
  <c r="H262" i="13"/>
  <c r="I262" i="13"/>
  <c r="K262" i="13"/>
  <c r="O262" i="13" s="1"/>
  <c r="L262" i="13"/>
  <c r="M262" i="13"/>
  <c r="Q262" i="13"/>
  <c r="R262" i="13"/>
  <c r="A263" i="13"/>
  <c r="B263" i="13"/>
  <c r="C263" i="13"/>
  <c r="D263" i="13"/>
  <c r="E263" i="13"/>
  <c r="F263" i="13"/>
  <c r="G263" i="13"/>
  <c r="H263" i="13"/>
  <c r="I263" i="13"/>
  <c r="K263" i="13"/>
  <c r="O263" i="13" s="1"/>
  <c r="L263" i="13"/>
  <c r="M263" i="13"/>
  <c r="Q263" i="13"/>
  <c r="R263" i="13"/>
  <c r="A264" i="13"/>
  <c r="B264" i="13"/>
  <c r="C264" i="13"/>
  <c r="D264" i="13"/>
  <c r="E264" i="13"/>
  <c r="F264" i="13"/>
  <c r="G264" i="13"/>
  <c r="H264" i="13"/>
  <c r="I264" i="13"/>
  <c r="K264" i="13"/>
  <c r="O264" i="13" s="1"/>
  <c r="L264" i="13"/>
  <c r="M264" i="13"/>
  <c r="Q264" i="13"/>
  <c r="R264" i="13"/>
  <c r="A265" i="13"/>
  <c r="B265" i="13"/>
  <c r="C265" i="13"/>
  <c r="D265" i="13"/>
  <c r="E265" i="13"/>
  <c r="F265" i="13"/>
  <c r="G265" i="13"/>
  <c r="H265" i="13"/>
  <c r="I265" i="13"/>
  <c r="K265" i="13"/>
  <c r="O265" i="13" s="1"/>
  <c r="L265" i="13"/>
  <c r="M265" i="13"/>
  <c r="Q265" i="13"/>
  <c r="R265" i="13"/>
  <c r="A266" i="13"/>
  <c r="B266" i="13"/>
  <c r="C266" i="13"/>
  <c r="D266" i="13"/>
  <c r="E266" i="13"/>
  <c r="F266" i="13"/>
  <c r="G266" i="13"/>
  <c r="H266" i="13"/>
  <c r="I266" i="13"/>
  <c r="K266" i="13"/>
  <c r="O266" i="13" s="1"/>
  <c r="L266" i="13"/>
  <c r="M266" i="13"/>
  <c r="Q266" i="13"/>
  <c r="R266" i="13"/>
  <c r="A267" i="13"/>
  <c r="B267" i="13"/>
  <c r="C267" i="13"/>
  <c r="D267" i="13"/>
  <c r="E267" i="13"/>
  <c r="F267" i="13"/>
  <c r="G267" i="13"/>
  <c r="H267" i="13"/>
  <c r="I267" i="13"/>
  <c r="K267" i="13"/>
  <c r="O267" i="13" s="1"/>
  <c r="L267" i="13"/>
  <c r="M267" i="13"/>
  <c r="Q267" i="13"/>
  <c r="R267" i="13"/>
  <c r="A268" i="13"/>
  <c r="B268" i="13"/>
  <c r="C268" i="13"/>
  <c r="D268" i="13"/>
  <c r="E268" i="13"/>
  <c r="F268" i="13"/>
  <c r="G268" i="13"/>
  <c r="H268" i="13"/>
  <c r="I268" i="13"/>
  <c r="K268" i="13"/>
  <c r="O268" i="13" s="1"/>
  <c r="L268" i="13"/>
  <c r="M268" i="13"/>
  <c r="Q268" i="13"/>
  <c r="R268" i="13"/>
  <c r="A269" i="13"/>
  <c r="B269" i="13"/>
  <c r="C269" i="13"/>
  <c r="D269" i="13"/>
  <c r="E269" i="13"/>
  <c r="F269" i="13"/>
  <c r="G269" i="13"/>
  <c r="H269" i="13"/>
  <c r="I269" i="13"/>
  <c r="K269" i="13"/>
  <c r="O269" i="13" s="1"/>
  <c r="L269" i="13"/>
  <c r="M269" i="13"/>
  <c r="Q269" i="13"/>
  <c r="R269" i="13"/>
  <c r="A270" i="13"/>
  <c r="B270" i="13"/>
  <c r="C270" i="13"/>
  <c r="D270" i="13"/>
  <c r="E270" i="13"/>
  <c r="F270" i="13"/>
  <c r="G270" i="13"/>
  <c r="H270" i="13"/>
  <c r="I270" i="13"/>
  <c r="K270" i="13"/>
  <c r="O270" i="13" s="1"/>
  <c r="L270" i="13"/>
  <c r="M270" i="13"/>
  <c r="Q270" i="13"/>
  <c r="R270" i="13"/>
  <c r="A271" i="13"/>
  <c r="B271" i="13"/>
  <c r="C271" i="13"/>
  <c r="D271" i="13"/>
  <c r="E271" i="13"/>
  <c r="F271" i="13"/>
  <c r="G271" i="13"/>
  <c r="H271" i="13"/>
  <c r="I271" i="13"/>
  <c r="K271" i="13"/>
  <c r="O271" i="13" s="1"/>
  <c r="L271" i="13"/>
  <c r="M271" i="13"/>
  <c r="Q271" i="13"/>
  <c r="R271" i="13"/>
  <c r="A272" i="13"/>
  <c r="B272" i="13"/>
  <c r="C272" i="13"/>
  <c r="D272" i="13"/>
  <c r="E272" i="13"/>
  <c r="F272" i="13"/>
  <c r="G272" i="13"/>
  <c r="H272" i="13"/>
  <c r="I272" i="13"/>
  <c r="K272" i="13"/>
  <c r="O272" i="13" s="1"/>
  <c r="L272" i="13"/>
  <c r="M272" i="13"/>
  <c r="Q272" i="13"/>
  <c r="R272" i="13"/>
  <c r="A273" i="13"/>
  <c r="B273" i="13"/>
  <c r="C273" i="13"/>
  <c r="D273" i="13"/>
  <c r="E273" i="13"/>
  <c r="F273" i="13"/>
  <c r="G273" i="13"/>
  <c r="H273" i="13"/>
  <c r="I273" i="13"/>
  <c r="K273" i="13"/>
  <c r="O273" i="13" s="1"/>
  <c r="L273" i="13"/>
  <c r="M273" i="13"/>
  <c r="Q273" i="13"/>
  <c r="R273" i="13"/>
  <c r="A274" i="13"/>
  <c r="B274" i="13"/>
  <c r="C274" i="13"/>
  <c r="D274" i="13"/>
  <c r="E274" i="13"/>
  <c r="F274" i="13"/>
  <c r="G274" i="13"/>
  <c r="H274" i="13"/>
  <c r="I274" i="13"/>
  <c r="K274" i="13"/>
  <c r="O274" i="13" s="1"/>
  <c r="L274" i="13"/>
  <c r="M274" i="13"/>
  <c r="Q274" i="13"/>
  <c r="R274" i="13"/>
  <c r="A275" i="13"/>
  <c r="B275" i="13"/>
  <c r="C275" i="13"/>
  <c r="D275" i="13"/>
  <c r="E275" i="13"/>
  <c r="F275" i="13"/>
  <c r="G275" i="13"/>
  <c r="H275" i="13"/>
  <c r="I275" i="13"/>
  <c r="K275" i="13"/>
  <c r="O275" i="13" s="1"/>
  <c r="L275" i="13"/>
  <c r="M275" i="13"/>
  <c r="Q275" i="13"/>
  <c r="R275" i="13"/>
  <c r="A276" i="13"/>
  <c r="B276" i="13"/>
  <c r="C276" i="13"/>
  <c r="D276" i="13"/>
  <c r="E276" i="13"/>
  <c r="F276" i="13"/>
  <c r="G276" i="13"/>
  <c r="H276" i="13"/>
  <c r="I276" i="13"/>
  <c r="K276" i="13"/>
  <c r="O276" i="13" s="1"/>
  <c r="L276" i="13"/>
  <c r="M276" i="13"/>
  <c r="Q276" i="13"/>
  <c r="R276" i="13"/>
  <c r="A277" i="13"/>
  <c r="B277" i="13"/>
  <c r="C277" i="13"/>
  <c r="D277" i="13"/>
  <c r="E277" i="13"/>
  <c r="F277" i="13"/>
  <c r="G277" i="13"/>
  <c r="H277" i="13"/>
  <c r="I277" i="13"/>
  <c r="K277" i="13"/>
  <c r="O277" i="13" s="1"/>
  <c r="L277" i="13"/>
  <c r="M277" i="13"/>
  <c r="Q277" i="13"/>
  <c r="R277" i="13"/>
  <c r="A278" i="13"/>
  <c r="B278" i="13"/>
  <c r="C278" i="13"/>
  <c r="D278" i="13"/>
  <c r="E278" i="13"/>
  <c r="F278" i="13"/>
  <c r="G278" i="13"/>
  <c r="H278" i="13"/>
  <c r="I278" i="13"/>
  <c r="K278" i="13"/>
  <c r="O278" i="13" s="1"/>
  <c r="L278" i="13"/>
  <c r="M278" i="13"/>
  <c r="Q278" i="13"/>
  <c r="R278" i="13"/>
  <c r="A279" i="13"/>
  <c r="B279" i="13"/>
  <c r="C279" i="13"/>
  <c r="D279" i="13"/>
  <c r="E279" i="13"/>
  <c r="F279" i="13"/>
  <c r="G279" i="13"/>
  <c r="H279" i="13"/>
  <c r="I279" i="13"/>
  <c r="K279" i="13"/>
  <c r="O279" i="13" s="1"/>
  <c r="L279" i="13"/>
  <c r="M279" i="13"/>
  <c r="Q279" i="13"/>
  <c r="R279" i="13"/>
  <c r="A280" i="13"/>
  <c r="B280" i="13"/>
  <c r="C280" i="13"/>
  <c r="D280" i="13"/>
  <c r="E280" i="13"/>
  <c r="F280" i="13"/>
  <c r="G280" i="13"/>
  <c r="H280" i="13"/>
  <c r="I280" i="13"/>
  <c r="K280" i="13"/>
  <c r="O280" i="13" s="1"/>
  <c r="L280" i="13"/>
  <c r="M280" i="13"/>
  <c r="Q280" i="13"/>
  <c r="R280" i="13"/>
  <c r="A281" i="13"/>
  <c r="B281" i="13"/>
  <c r="C281" i="13"/>
  <c r="D281" i="13"/>
  <c r="E281" i="13"/>
  <c r="F281" i="13"/>
  <c r="G281" i="13"/>
  <c r="H281" i="13"/>
  <c r="I281" i="13"/>
  <c r="K281" i="13"/>
  <c r="O281" i="13" s="1"/>
  <c r="L281" i="13"/>
  <c r="M281" i="13"/>
  <c r="Q281" i="13"/>
  <c r="R281" i="13"/>
  <c r="A282" i="13"/>
  <c r="B282" i="13"/>
  <c r="C282" i="13"/>
  <c r="D282" i="13"/>
  <c r="E282" i="13"/>
  <c r="F282" i="13"/>
  <c r="G282" i="13"/>
  <c r="H282" i="13"/>
  <c r="I282" i="13"/>
  <c r="K282" i="13"/>
  <c r="O282" i="13" s="1"/>
  <c r="L282" i="13"/>
  <c r="M282" i="13"/>
  <c r="Q282" i="13"/>
  <c r="R282" i="13"/>
  <c r="A283" i="13"/>
  <c r="B283" i="13"/>
  <c r="C283" i="13"/>
  <c r="D283" i="13"/>
  <c r="E283" i="13"/>
  <c r="F283" i="13"/>
  <c r="G283" i="13"/>
  <c r="H283" i="13"/>
  <c r="I283" i="13"/>
  <c r="K283" i="13"/>
  <c r="O283" i="13" s="1"/>
  <c r="L283" i="13"/>
  <c r="M283" i="13"/>
  <c r="Q283" i="13"/>
  <c r="R283" i="13"/>
  <c r="A284" i="13"/>
  <c r="B284" i="13"/>
  <c r="C284" i="13"/>
  <c r="D284" i="13"/>
  <c r="E284" i="13"/>
  <c r="F284" i="13"/>
  <c r="G284" i="13"/>
  <c r="H284" i="13"/>
  <c r="I284" i="13"/>
  <c r="K284" i="13"/>
  <c r="O284" i="13" s="1"/>
  <c r="L284" i="13"/>
  <c r="M284" i="13"/>
  <c r="Q284" i="13"/>
  <c r="R284" i="13"/>
  <c r="A285" i="13"/>
  <c r="B285" i="13"/>
  <c r="C285" i="13"/>
  <c r="D285" i="13"/>
  <c r="E285" i="13"/>
  <c r="F285" i="13"/>
  <c r="G285" i="13"/>
  <c r="H285" i="13"/>
  <c r="I285" i="13"/>
  <c r="K285" i="13"/>
  <c r="O285" i="13" s="1"/>
  <c r="L285" i="13"/>
  <c r="M285" i="13"/>
  <c r="Q285" i="13"/>
  <c r="R285" i="13"/>
  <c r="A286" i="13"/>
  <c r="B286" i="13"/>
  <c r="C286" i="13"/>
  <c r="D286" i="13"/>
  <c r="E286" i="13"/>
  <c r="F286" i="13"/>
  <c r="G286" i="13"/>
  <c r="H286" i="13"/>
  <c r="I286" i="13"/>
  <c r="K286" i="13"/>
  <c r="O286" i="13" s="1"/>
  <c r="L286" i="13"/>
  <c r="M286" i="13"/>
  <c r="Q286" i="13"/>
  <c r="R286" i="13"/>
  <c r="A287" i="13"/>
  <c r="B287" i="13"/>
  <c r="C287" i="13"/>
  <c r="D287" i="13"/>
  <c r="E287" i="13"/>
  <c r="F287" i="13"/>
  <c r="G287" i="13"/>
  <c r="H287" i="13"/>
  <c r="I287" i="13"/>
  <c r="K287" i="13"/>
  <c r="O287" i="13" s="1"/>
  <c r="L287" i="13"/>
  <c r="M287" i="13"/>
  <c r="Q287" i="13"/>
  <c r="R287" i="13"/>
  <c r="A288" i="13"/>
  <c r="B288" i="13"/>
  <c r="C288" i="13"/>
  <c r="D288" i="13"/>
  <c r="E288" i="13"/>
  <c r="F288" i="13"/>
  <c r="G288" i="13"/>
  <c r="H288" i="13"/>
  <c r="I288" i="13"/>
  <c r="K288" i="13"/>
  <c r="O288" i="13" s="1"/>
  <c r="L288" i="13"/>
  <c r="M288" i="13"/>
  <c r="Q288" i="13"/>
  <c r="R288" i="13"/>
  <c r="A289" i="13"/>
  <c r="B289" i="13"/>
  <c r="C289" i="13"/>
  <c r="D289" i="13"/>
  <c r="E289" i="13"/>
  <c r="F289" i="13"/>
  <c r="G289" i="13"/>
  <c r="H289" i="13"/>
  <c r="I289" i="13"/>
  <c r="K289" i="13"/>
  <c r="O289" i="13" s="1"/>
  <c r="L289" i="13"/>
  <c r="M289" i="13"/>
  <c r="Q289" i="13"/>
  <c r="R289" i="13"/>
  <c r="A290" i="13"/>
  <c r="B290" i="13"/>
  <c r="C290" i="13"/>
  <c r="D290" i="13"/>
  <c r="E290" i="13"/>
  <c r="F290" i="13"/>
  <c r="G290" i="13"/>
  <c r="H290" i="13"/>
  <c r="I290" i="13"/>
  <c r="K290" i="13"/>
  <c r="O290" i="13" s="1"/>
  <c r="L290" i="13"/>
  <c r="M290" i="13"/>
  <c r="Q290" i="13"/>
  <c r="R290" i="13"/>
  <c r="A291" i="13"/>
  <c r="B291" i="13"/>
  <c r="C291" i="13"/>
  <c r="D291" i="13"/>
  <c r="E291" i="13"/>
  <c r="F291" i="13"/>
  <c r="G291" i="13"/>
  <c r="H291" i="13"/>
  <c r="I291" i="13"/>
  <c r="K291" i="13"/>
  <c r="O291" i="13" s="1"/>
  <c r="L291" i="13"/>
  <c r="M291" i="13"/>
  <c r="Q291" i="13"/>
  <c r="R291" i="13"/>
  <c r="A292" i="13"/>
  <c r="B292" i="13"/>
  <c r="C292" i="13"/>
  <c r="D292" i="13"/>
  <c r="E292" i="13"/>
  <c r="F292" i="13"/>
  <c r="G292" i="13"/>
  <c r="H292" i="13"/>
  <c r="I292" i="13"/>
  <c r="K292" i="13"/>
  <c r="O292" i="13" s="1"/>
  <c r="L292" i="13"/>
  <c r="M292" i="13"/>
  <c r="Q292" i="13"/>
  <c r="R292" i="13"/>
  <c r="A293" i="13"/>
  <c r="B293" i="13"/>
  <c r="C293" i="13"/>
  <c r="D293" i="13"/>
  <c r="E293" i="13"/>
  <c r="F293" i="13"/>
  <c r="G293" i="13"/>
  <c r="H293" i="13"/>
  <c r="I293" i="13"/>
  <c r="J293" i="13"/>
  <c r="K293" i="13"/>
  <c r="O293" i="13" s="1"/>
  <c r="L293" i="13"/>
  <c r="M293" i="13"/>
  <c r="N293" i="13"/>
  <c r="Q293" i="13"/>
  <c r="R293" i="13"/>
  <c r="A294" i="13"/>
  <c r="B294" i="13"/>
  <c r="C294" i="13"/>
  <c r="D294" i="13"/>
  <c r="E294" i="13"/>
  <c r="F294" i="13"/>
  <c r="G294" i="13"/>
  <c r="H294" i="13"/>
  <c r="I294" i="13"/>
  <c r="J294" i="13"/>
  <c r="K294" i="13"/>
  <c r="O294" i="13" s="1"/>
  <c r="L294" i="13"/>
  <c r="M294" i="13"/>
  <c r="N294" i="13"/>
  <c r="Q294" i="13"/>
  <c r="R294" i="13"/>
  <c r="A295" i="13"/>
  <c r="B295" i="13"/>
  <c r="C295" i="13"/>
  <c r="D295" i="13"/>
  <c r="E295" i="13"/>
  <c r="F295" i="13"/>
  <c r="G295" i="13"/>
  <c r="H295" i="13"/>
  <c r="I295" i="13"/>
  <c r="J295" i="13"/>
  <c r="K295" i="13"/>
  <c r="O295" i="13" s="1"/>
  <c r="L295" i="13"/>
  <c r="M295" i="13"/>
  <c r="N295" i="13"/>
  <c r="Q295" i="13"/>
  <c r="R295" i="13"/>
  <c r="A296" i="13"/>
  <c r="B296" i="13"/>
  <c r="C296" i="13"/>
  <c r="D296" i="13"/>
  <c r="E296" i="13"/>
  <c r="F296" i="13"/>
  <c r="G296" i="13"/>
  <c r="H296" i="13"/>
  <c r="I296" i="13"/>
  <c r="J296" i="13"/>
  <c r="K296" i="13"/>
  <c r="O296" i="13" s="1"/>
  <c r="L296" i="13"/>
  <c r="M296" i="13"/>
  <c r="N296" i="13"/>
  <c r="Q296" i="13"/>
  <c r="R296" i="13"/>
  <c r="A247" i="13"/>
  <c r="B247" i="13"/>
  <c r="C247" i="13"/>
  <c r="D247" i="13"/>
  <c r="E247" i="13"/>
  <c r="F247" i="13"/>
  <c r="G247" i="13"/>
  <c r="H247" i="13"/>
  <c r="I247" i="13"/>
  <c r="K247" i="13"/>
  <c r="O247" i="13" s="1"/>
  <c r="L247" i="13"/>
  <c r="M247" i="13"/>
  <c r="Q247" i="13"/>
  <c r="R247" i="13"/>
  <c r="A248" i="13"/>
  <c r="B248" i="13"/>
  <c r="C248" i="13"/>
  <c r="D248" i="13"/>
  <c r="E248" i="13"/>
  <c r="F248" i="13"/>
  <c r="G248" i="13"/>
  <c r="H248" i="13"/>
  <c r="I248" i="13"/>
  <c r="K248" i="13"/>
  <c r="O248" i="13" s="1"/>
  <c r="L248" i="13"/>
  <c r="M248" i="13"/>
  <c r="Q248" i="13"/>
  <c r="R248" i="13"/>
  <c r="A249" i="13"/>
  <c r="B249" i="13"/>
  <c r="C249" i="13"/>
  <c r="D249" i="13"/>
  <c r="E249" i="13"/>
  <c r="F249" i="13"/>
  <c r="G249" i="13"/>
  <c r="H249" i="13"/>
  <c r="I249" i="13"/>
  <c r="K249" i="13"/>
  <c r="O249" i="13" s="1"/>
  <c r="L249" i="13"/>
  <c r="M249" i="13"/>
  <c r="Q249" i="13"/>
  <c r="R249" i="13"/>
  <c r="A250" i="13"/>
  <c r="B250" i="13"/>
  <c r="C250" i="13"/>
  <c r="D250" i="13"/>
  <c r="E250" i="13"/>
  <c r="F250" i="13"/>
  <c r="G250" i="13"/>
  <c r="H250" i="13"/>
  <c r="I250" i="13"/>
  <c r="K250" i="13"/>
  <c r="O250" i="13" s="1"/>
  <c r="L250" i="13"/>
  <c r="M250" i="13"/>
  <c r="Q250" i="13"/>
  <c r="R250" i="13"/>
  <c r="A251" i="13"/>
  <c r="B251" i="13"/>
  <c r="C251" i="13"/>
  <c r="D251" i="13"/>
  <c r="E251" i="13"/>
  <c r="F251" i="13"/>
  <c r="G251" i="13"/>
  <c r="H251" i="13"/>
  <c r="I251" i="13"/>
  <c r="K251" i="13"/>
  <c r="O251" i="13" s="1"/>
  <c r="L251" i="13"/>
  <c r="M251" i="13"/>
  <c r="Q251" i="13"/>
  <c r="R251" i="13"/>
  <c r="A252" i="13"/>
  <c r="B252" i="13"/>
  <c r="C252" i="13"/>
  <c r="D252" i="13"/>
  <c r="E252" i="13"/>
  <c r="F252" i="13"/>
  <c r="G252" i="13"/>
  <c r="H252" i="13"/>
  <c r="I252" i="13"/>
  <c r="K252" i="13"/>
  <c r="O252" i="13" s="1"/>
  <c r="L252" i="13"/>
  <c r="M252" i="13"/>
  <c r="Q252" i="13"/>
  <c r="R252" i="13"/>
  <c r="A253" i="13"/>
  <c r="B253" i="13"/>
  <c r="C253" i="13"/>
  <c r="D253" i="13"/>
  <c r="E253" i="13"/>
  <c r="F253" i="13"/>
  <c r="G253" i="13"/>
  <c r="H253" i="13"/>
  <c r="I253" i="13"/>
  <c r="K253" i="13"/>
  <c r="O253" i="13" s="1"/>
  <c r="L253" i="13"/>
  <c r="M253" i="13"/>
  <c r="Q253" i="13"/>
  <c r="R253" i="13"/>
  <c r="A254" i="13"/>
  <c r="B254" i="13"/>
  <c r="C254" i="13"/>
  <c r="D254" i="13"/>
  <c r="E254" i="13"/>
  <c r="F254" i="13"/>
  <c r="G254" i="13"/>
  <c r="H254" i="13"/>
  <c r="I254" i="13"/>
  <c r="K254" i="13"/>
  <c r="O254" i="13" s="1"/>
  <c r="L254" i="13"/>
  <c r="M254" i="13"/>
  <c r="Q254" i="13"/>
  <c r="R254" i="13"/>
  <c r="A255" i="13"/>
  <c r="B255" i="13"/>
  <c r="C255" i="13"/>
  <c r="D255" i="13"/>
  <c r="E255" i="13"/>
  <c r="F255" i="13"/>
  <c r="G255" i="13"/>
  <c r="H255" i="13"/>
  <c r="I255" i="13"/>
  <c r="K255" i="13"/>
  <c r="O255" i="13" s="1"/>
  <c r="L255" i="13"/>
  <c r="M255" i="13"/>
  <c r="Q255" i="13"/>
  <c r="R255" i="13"/>
  <c r="A256" i="13"/>
  <c r="B256" i="13"/>
  <c r="C256" i="13"/>
  <c r="D256" i="13"/>
  <c r="E256" i="13"/>
  <c r="F256" i="13"/>
  <c r="G256" i="13"/>
  <c r="H256" i="13"/>
  <c r="I256" i="13"/>
  <c r="K256" i="13"/>
  <c r="O256" i="13" s="1"/>
  <c r="L256" i="13"/>
  <c r="M256" i="13"/>
  <c r="Q256" i="13"/>
  <c r="R256" i="13"/>
  <c r="A257" i="13"/>
  <c r="B257" i="13"/>
  <c r="C257" i="13"/>
  <c r="D257" i="13"/>
  <c r="E257" i="13"/>
  <c r="F257" i="13"/>
  <c r="G257" i="13"/>
  <c r="H257" i="13"/>
  <c r="I257" i="13"/>
  <c r="K257" i="13"/>
  <c r="O257" i="13" s="1"/>
  <c r="L257" i="13"/>
  <c r="M257" i="13"/>
  <c r="Q257" i="13"/>
  <c r="R257" i="13"/>
  <c r="A232" i="13"/>
  <c r="B232" i="13"/>
  <c r="C232" i="13"/>
  <c r="D232" i="13"/>
  <c r="E232" i="13"/>
  <c r="F232" i="13"/>
  <c r="G232" i="13"/>
  <c r="H232" i="13"/>
  <c r="I232" i="13"/>
  <c r="K232" i="13"/>
  <c r="O232" i="13" s="1"/>
  <c r="L232" i="13"/>
  <c r="M232" i="13"/>
  <c r="Q232" i="13"/>
  <c r="R232" i="13"/>
  <c r="A233" i="13"/>
  <c r="B233" i="13"/>
  <c r="C233" i="13"/>
  <c r="D233" i="13"/>
  <c r="E233" i="13"/>
  <c r="F233" i="13"/>
  <c r="G233" i="13"/>
  <c r="H233" i="13"/>
  <c r="I233" i="13"/>
  <c r="K233" i="13"/>
  <c r="O233" i="13" s="1"/>
  <c r="L233" i="13"/>
  <c r="M233" i="13"/>
  <c r="Q233" i="13"/>
  <c r="R233" i="13"/>
  <c r="A234" i="13"/>
  <c r="B234" i="13"/>
  <c r="C234" i="13"/>
  <c r="D234" i="13"/>
  <c r="E234" i="13"/>
  <c r="F234" i="13"/>
  <c r="G234" i="13"/>
  <c r="H234" i="13"/>
  <c r="I234" i="13"/>
  <c r="K234" i="13"/>
  <c r="O234" i="13" s="1"/>
  <c r="L234" i="13"/>
  <c r="M234" i="13"/>
  <c r="Q234" i="13"/>
  <c r="R234" i="13"/>
  <c r="A235" i="13"/>
  <c r="B235" i="13"/>
  <c r="C235" i="13"/>
  <c r="D235" i="13"/>
  <c r="E235" i="13"/>
  <c r="F235" i="13"/>
  <c r="G235" i="13"/>
  <c r="H235" i="13"/>
  <c r="I235" i="13"/>
  <c r="K235" i="13"/>
  <c r="O235" i="13" s="1"/>
  <c r="L235" i="13"/>
  <c r="M235" i="13"/>
  <c r="Q235" i="13"/>
  <c r="R235" i="13"/>
  <c r="A236" i="13"/>
  <c r="B236" i="13"/>
  <c r="C236" i="13"/>
  <c r="D236" i="13"/>
  <c r="E236" i="13"/>
  <c r="F236" i="13"/>
  <c r="G236" i="13"/>
  <c r="H236" i="13"/>
  <c r="I236" i="13"/>
  <c r="K236" i="13"/>
  <c r="O236" i="13" s="1"/>
  <c r="L236" i="13"/>
  <c r="M236" i="13"/>
  <c r="Q236" i="13"/>
  <c r="R236" i="13"/>
  <c r="A237" i="13"/>
  <c r="B237" i="13"/>
  <c r="C237" i="13"/>
  <c r="D237" i="13"/>
  <c r="E237" i="13"/>
  <c r="F237" i="13"/>
  <c r="G237" i="13"/>
  <c r="H237" i="13"/>
  <c r="I237" i="13"/>
  <c r="K237" i="13"/>
  <c r="O237" i="13" s="1"/>
  <c r="L237" i="13"/>
  <c r="M237" i="13"/>
  <c r="Q237" i="13"/>
  <c r="R237" i="13"/>
  <c r="A238" i="13"/>
  <c r="B238" i="13"/>
  <c r="C238" i="13"/>
  <c r="D238" i="13"/>
  <c r="E238" i="13"/>
  <c r="F238" i="13"/>
  <c r="G238" i="13"/>
  <c r="H238" i="13"/>
  <c r="I238" i="13"/>
  <c r="K238" i="13"/>
  <c r="O238" i="13" s="1"/>
  <c r="L238" i="13"/>
  <c r="M238" i="13"/>
  <c r="Q238" i="13"/>
  <c r="R238" i="13"/>
  <c r="A239" i="13"/>
  <c r="B239" i="13"/>
  <c r="C239" i="13"/>
  <c r="D239" i="13"/>
  <c r="E239" i="13"/>
  <c r="F239" i="13"/>
  <c r="G239" i="13"/>
  <c r="H239" i="13"/>
  <c r="I239" i="13"/>
  <c r="K239" i="13"/>
  <c r="O239" i="13" s="1"/>
  <c r="L239" i="13"/>
  <c r="M239" i="13"/>
  <c r="Q239" i="13"/>
  <c r="R239" i="13"/>
  <c r="A240" i="13"/>
  <c r="B240" i="13"/>
  <c r="C240" i="13"/>
  <c r="D240" i="13"/>
  <c r="E240" i="13"/>
  <c r="F240" i="13"/>
  <c r="G240" i="13"/>
  <c r="H240" i="13"/>
  <c r="I240" i="13"/>
  <c r="K240" i="13"/>
  <c r="O240" i="13" s="1"/>
  <c r="L240" i="13"/>
  <c r="M240" i="13"/>
  <c r="Q240" i="13"/>
  <c r="R240" i="13"/>
  <c r="A241" i="13"/>
  <c r="B241" i="13"/>
  <c r="C241" i="13"/>
  <c r="D241" i="13"/>
  <c r="E241" i="13"/>
  <c r="F241" i="13"/>
  <c r="G241" i="13"/>
  <c r="H241" i="13"/>
  <c r="I241" i="13"/>
  <c r="K241" i="13"/>
  <c r="O241" i="13" s="1"/>
  <c r="L241" i="13"/>
  <c r="M241" i="13"/>
  <c r="Q241" i="13"/>
  <c r="R241" i="13"/>
  <c r="A242" i="13"/>
  <c r="B242" i="13"/>
  <c r="C242" i="13"/>
  <c r="D242" i="13"/>
  <c r="E242" i="13"/>
  <c r="F242" i="13"/>
  <c r="G242" i="13"/>
  <c r="H242" i="13"/>
  <c r="I242" i="13"/>
  <c r="K242" i="13"/>
  <c r="O242" i="13" s="1"/>
  <c r="L242" i="13"/>
  <c r="M242" i="13"/>
  <c r="Q242" i="13"/>
  <c r="R242" i="13"/>
  <c r="A243" i="13"/>
  <c r="B243" i="13"/>
  <c r="C243" i="13"/>
  <c r="D243" i="13"/>
  <c r="E243" i="13"/>
  <c r="F243" i="13"/>
  <c r="G243" i="13"/>
  <c r="H243" i="13"/>
  <c r="I243" i="13"/>
  <c r="K243" i="13"/>
  <c r="O243" i="13" s="1"/>
  <c r="L243" i="13"/>
  <c r="M243" i="13"/>
  <c r="Q243" i="13"/>
  <c r="R243" i="13"/>
  <c r="A244" i="13"/>
  <c r="B244" i="13"/>
  <c r="C244" i="13"/>
  <c r="D244" i="13"/>
  <c r="E244" i="13"/>
  <c r="F244" i="13"/>
  <c r="G244" i="13"/>
  <c r="H244" i="13"/>
  <c r="I244" i="13"/>
  <c r="K244" i="13"/>
  <c r="O244" i="13" s="1"/>
  <c r="L244" i="13"/>
  <c r="M244" i="13"/>
  <c r="Q244" i="13"/>
  <c r="R244" i="13"/>
  <c r="A245" i="13"/>
  <c r="B245" i="13"/>
  <c r="C245" i="13"/>
  <c r="D245" i="13"/>
  <c r="E245" i="13"/>
  <c r="F245" i="13"/>
  <c r="G245" i="13"/>
  <c r="H245" i="13"/>
  <c r="I245" i="13"/>
  <c r="K245" i="13"/>
  <c r="O245" i="13" s="1"/>
  <c r="L245" i="13"/>
  <c r="M245" i="13"/>
  <c r="Q245" i="13"/>
  <c r="R245" i="13"/>
  <c r="A246" i="13"/>
  <c r="B246" i="13"/>
  <c r="C246" i="13"/>
  <c r="D246" i="13"/>
  <c r="E246" i="13"/>
  <c r="F246" i="13"/>
  <c r="G246" i="13"/>
  <c r="H246" i="13"/>
  <c r="I246" i="13"/>
  <c r="K246" i="13"/>
  <c r="O246" i="13" s="1"/>
  <c r="L246" i="13"/>
  <c r="M246" i="13"/>
  <c r="Q246" i="13"/>
  <c r="R246" i="13"/>
  <c r="A223" i="13"/>
  <c r="B223" i="13"/>
  <c r="C223" i="13"/>
  <c r="D223" i="13"/>
  <c r="E223" i="13"/>
  <c r="F223" i="13"/>
  <c r="G223" i="13"/>
  <c r="H223" i="13"/>
  <c r="I223" i="13"/>
  <c r="K223" i="13"/>
  <c r="O223" i="13" s="1"/>
  <c r="L223" i="13"/>
  <c r="M223" i="13"/>
  <c r="Q223" i="13"/>
  <c r="R223" i="13"/>
  <c r="A224" i="13"/>
  <c r="B224" i="13"/>
  <c r="C224" i="13"/>
  <c r="D224" i="13"/>
  <c r="E224" i="13"/>
  <c r="F224" i="13"/>
  <c r="G224" i="13"/>
  <c r="H224" i="13"/>
  <c r="I224" i="13"/>
  <c r="K224" i="13"/>
  <c r="O224" i="13" s="1"/>
  <c r="L224" i="13"/>
  <c r="M224" i="13"/>
  <c r="Q224" i="13"/>
  <c r="R224" i="13"/>
  <c r="A225" i="13"/>
  <c r="B225" i="13"/>
  <c r="C225" i="13"/>
  <c r="D225" i="13"/>
  <c r="E225" i="13"/>
  <c r="F225" i="13"/>
  <c r="G225" i="13"/>
  <c r="H225" i="13"/>
  <c r="I225" i="13"/>
  <c r="K225" i="13"/>
  <c r="O225" i="13" s="1"/>
  <c r="L225" i="13"/>
  <c r="M225" i="13"/>
  <c r="Q225" i="13"/>
  <c r="R225" i="13"/>
  <c r="A226" i="13"/>
  <c r="B226" i="13"/>
  <c r="C226" i="13"/>
  <c r="D226" i="13"/>
  <c r="E226" i="13"/>
  <c r="F226" i="13"/>
  <c r="G226" i="13"/>
  <c r="H226" i="13"/>
  <c r="I226" i="13"/>
  <c r="K226" i="13"/>
  <c r="O226" i="13" s="1"/>
  <c r="L226" i="13"/>
  <c r="M226" i="13"/>
  <c r="Q226" i="13"/>
  <c r="R226" i="13"/>
  <c r="A227" i="13"/>
  <c r="B227" i="13"/>
  <c r="C227" i="13"/>
  <c r="D227" i="13"/>
  <c r="E227" i="13"/>
  <c r="F227" i="13"/>
  <c r="G227" i="13"/>
  <c r="H227" i="13"/>
  <c r="I227" i="13"/>
  <c r="K227" i="13"/>
  <c r="O227" i="13" s="1"/>
  <c r="L227" i="13"/>
  <c r="M227" i="13"/>
  <c r="Q227" i="13"/>
  <c r="R227" i="13"/>
  <c r="A228" i="13"/>
  <c r="B228" i="13"/>
  <c r="C228" i="13"/>
  <c r="D228" i="13"/>
  <c r="E228" i="13"/>
  <c r="F228" i="13"/>
  <c r="G228" i="13"/>
  <c r="H228" i="13"/>
  <c r="I228" i="13"/>
  <c r="K228" i="13"/>
  <c r="O228" i="13" s="1"/>
  <c r="L228" i="13"/>
  <c r="M228" i="13"/>
  <c r="Q228" i="13"/>
  <c r="R228" i="13"/>
  <c r="A229" i="13"/>
  <c r="B229" i="13"/>
  <c r="C229" i="13"/>
  <c r="D229" i="13"/>
  <c r="E229" i="13"/>
  <c r="F229" i="13"/>
  <c r="G229" i="13"/>
  <c r="H229" i="13"/>
  <c r="I229" i="13"/>
  <c r="K229" i="13"/>
  <c r="O229" i="13" s="1"/>
  <c r="L229" i="13"/>
  <c r="M229" i="13"/>
  <c r="Q229" i="13"/>
  <c r="R229" i="13"/>
  <c r="A230" i="13"/>
  <c r="B230" i="13"/>
  <c r="C230" i="13"/>
  <c r="D230" i="13"/>
  <c r="E230" i="13"/>
  <c r="F230" i="13"/>
  <c r="G230" i="13"/>
  <c r="H230" i="13"/>
  <c r="I230" i="13"/>
  <c r="K230" i="13"/>
  <c r="O230" i="13" s="1"/>
  <c r="L230" i="13"/>
  <c r="M230" i="13"/>
  <c r="Q230" i="13"/>
  <c r="R230" i="13"/>
  <c r="A231" i="13"/>
  <c r="B231" i="13"/>
  <c r="C231" i="13"/>
  <c r="D231" i="13"/>
  <c r="E231" i="13"/>
  <c r="F231" i="13"/>
  <c r="G231" i="13"/>
  <c r="H231" i="13"/>
  <c r="I231" i="13"/>
  <c r="K231" i="13"/>
  <c r="O231" i="13" s="1"/>
  <c r="L231" i="13"/>
  <c r="M231" i="13"/>
  <c r="Q231" i="13"/>
  <c r="R231" i="13"/>
  <c r="A215" i="13"/>
  <c r="B215" i="13"/>
  <c r="C215" i="13"/>
  <c r="D215" i="13"/>
  <c r="E215" i="13"/>
  <c r="F215" i="13"/>
  <c r="G215" i="13"/>
  <c r="H215" i="13"/>
  <c r="I215" i="13"/>
  <c r="K215" i="13"/>
  <c r="O215" i="13" s="1"/>
  <c r="L215" i="13"/>
  <c r="M215" i="13"/>
  <c r="Q215" i="13"/>
  <c r="R215" i="13"/>
  <c r="A216" i="13"/>
  <c r="B216" i="13"/>
  <c r="C216" i="13"/>
  <c r="D216" i="13"/>
  <c r="E216" i="13"/>
  <c r="F216" i="13"/>
  <c r="G216" i="13"/>
  <c r="H216" i="13"/>
  <c r="I216" i="13"/>
  <c r="K216" i="13"/>
  <c r="O216" i="13" s="1"/>
  <c r="L216" i="13"/>
  <c r="M216" i="13"/>
  <c r="Q216" i="13"/>
  <c r="R216" i="13"/>
  <c r="A217" i="13"/>
  <c r="B217" i="13"/>
  <c r="C217" i="13"/>
  <c r="D217" i="13"/>
  <c r="E217" i="13"/>
  <c r="F217" i="13"/>
  <c r="G217" i="13"/>
  <c r="H217" i="13"/>
  <c r="I217" i="13"/>
  <c r="K217" i="13"/>
  <c r="O217" i="13" s="1"/>
  <c r="L217" i="13"/>
  <c r="M217" i="13"/>
  <c r="Q217" i="13"/>
  <c r="R217" i="13"/>
  <c r="A218" i="13"/>
  <c r="B218" i="13"/>
  <c r="C218" i="13"/>
  <c r="D218" i="13"/>
  <c r="E218" i="13"/>
  <c r="F218" i="13"/>
  <c r="G218" i="13"/>
  <c r="H218" i="13"/>
  <c r="I218" i="13"/>
  <c r="K218" i="13"/>
  <c r="O218" i="13" s="1"/>
  <c r="L218" i="13"/>
  <c r="M218" i="13"/>
  <c r="Q218" i="13"/>
  <c r="R218" i="13"/>
  <c r="A219" i="13"/>
  <c r="B219" i="13"/>
  <c r="C219" i="13"/>
  <c r="D219" i="13"/>
  <c r="E219" i="13"/>
  <c r="F219" i="13"/>
  <c r="G219" i="13"/>
  <c r="H219" i="13"/>
  <c r="I219" i="13"/>
  <c r="K219" i="13"/>
  <c r="O219" i="13" s="1"/>
  <c r="L219" i="13"/>
  <c r="M219" i="13"/>
  <c r="Q219" i="13"/>
  <c r="R219" i="13"/>
  <c r="A220" i="13"/>
  <c r="B220" i="13"/>
  <c r="C220" i="13"/>
  <c r="D220" i="13"/>
  <c r="E220" i="13"/>
  <c r="F220" i="13"/>
  <c r="G220" i="13"/>
  <c r="H220" i="13"/>
  <c r="I220" i="13"/>
  <c r="K220" i="13"/>
  <c r="O220" i="13" s="1"/>
  <c r="L220" i="13"/>
  <c r="M220" i="13"/>
  <c r="Q220" i="13"/>
  <c r="R220" i="13"/>
  <c r="A221" i="13"/>
  <c r="B221" i="13"/>
  <c r="C221" i="13"/>
  <c r="D221" i="13"/>
  <c r="E221" i="13"/>
  <c r="F221" i="13"/>
  <c r="G221" i="13"/>
  <c r="H221" i="13"/>
  <c r="I221" i="13"/>
  <c r="K221" i="13"/>
  <c r="O221" i="13" s="1"/>
  <c r="L221" i="13"/>
  <c r="M221" i="13"/>
  <c r="Q221" i="13"/>
  <c r="R221" i="13"/>
  <c r="A222" i="13"/>
  <c r="B222" i="13"/>
  <c r="C222" i="13"/>
  <c r="D222" i="13"/>
  <c r="E222" i="13"/>
  <c r="F222" i="13"/>
  <c r="G222" i="13"/>
  <c r="H222" i="13"/>
  <c r="I222" i="13"/>
  <c r="K222" i="13"/>
  <c r="O222" i="13" s="1"/>
  <c r="L222" i="13"/>
  <c r="M222" i="13"/>
  <c r="Q222" i="13"/>
  <c r="R222" i="13"/>
  <c r="N305" i="13" l="1"/>
  <c r="N304" i="13"/>
  <c r="P241" i="13"/>
  <c r="P237" i="13"/>
  <c r="P247" i="13"/>
  <c r="P221" i="13"/>
  <c r="P242" i="13"/>
  <c r="P238" i="13"/>
  <c r="P288" i="13"/>
  <c r="P264" i="13"/>
  <c r="P256" i="13"/>
  <c r="P290" i="13"/>
  <c r="P286" i="13"/>
  <c r="P243" i="13"/>
  <c r="P282" i="13"/>
  <c r="P270" i="13"/>
  <c r="P266" i="13"/>
  <c r="P271" i="13"/>
  <c r="P267" i="13"/>
  <c r="P263" i="13"/>
  <c r="P259" i="13"/>
  <c r="P254" i="13"/>
  <c r="P278" i="13"/>
  <c r="P274" i="13"/>
  <c r="P287" i="13"/>
  <c r="P275" i="13"/>
  <c r="P215" i="13"/>
  <c r="P296" i="13"/>
  <c r="P295" i="13"/>
  <c r="P294" i="13"/>
  <c r="P293" i="13"/>
  <c r="P292" i="13"/>
  <c r="P255" i="13"/>
  <c r="P291" i="13"/>
  <c r="P283" i="13"/>
  <c r="P279" i="13"/>
  <c r="P252" i="13"/>
  <c r="P284" i="13"/>
  <c r="P280" i="13"/>
  <c r="P276" i="13"/>
  <c r="P272" i="13"/>
  <c r="P240" i="13"/>
  <c r="P289" i="13"/>
  <c r="P273" i="13"/>
  <c r="P260" i="13"/>
  <c r="P216" i="13"/>
  <c r="P253" i="13"/>
  <c r="P285" i="13"/>
  <c r="P281" i="13"/>
  <c r="P277" i="13"/>
  <c r="P268" i="13"/>
  <c r="P251" i="13"/>
  <c r="P269" i="13"/>
  <c r="P265" i="13"/>
  <c r="P262" i="13"/>
  <c r="P258" i="13"/>
  <c r="P239" i="13"/>
  <c r="P229" i="13"/>
  <c r="P228" i="13"/>
  <c r="P227" i="13"/>
  <c r="P226" i="13"/>
  <c r="P225" i="13"/>
  <c r="P224" i="13"/>
  <c r="P223" i="13"/>
  <c r="P246" i="13"/>
  <c r="P245" i="13"/>
  <c r="P244" i="13"/>
  <c r="P234" i="13"/>
  <c r="P233" i="13"/>
  <c r="P232" i="13"/>
  <c r="P257" i="13"/>
  <c r="P250" i="13"/>
  <c r="P249" i="13"/>
  <c r="P248" i="13"/>
  <c r="P261" i="13"/>
  <c r="P222" i="13"/>
  <c r="P220" i="13"/>
  <c r="P231" i="13"/>
  <c r="P236" i="13"/>
  <c r="P235" i="13"/>
  <c r="P230" i="13"/>
  <c r="P219" i="13"/>
  <c r="P218" i="13"/>
  <c r="P217" i="13"/>
  <c r="J292" i="13"/>
  <c r="J290" i="13" l="1"/>
  <c r="J276" i="13"/>
  <c r="J267" i="13"/>
  <c r="J273" i="13"/>
  <c r="J282" i="13"/>
  <c r="J277" i="13"/>
  <c r="J272" i="13"/>
  <c r="J275" i="13"/>
  <c r="J281" i="13"/>
  <c r="J271" i="13"/>
  <c r="N290" i="13"/>
  <c r="J289" i="13"/>
  <c r="J269" i="13"/>
  <c r="J285" i="13"/>
  <c r="J283" i="13"/>
  <c r="N292" i="13"/>
  <c r="J291" i="13"/>
  <c r="J270" i="13"/>
  <c r="J274" i="13"/>
  <c r="J280" i="13"/>
  <c r="J284" i="13"/>
  <c r="J288" i="13"/>
  <c r="J268" i="13"/>
  <c r="J279" i="13"/>
  <c r="J287" i="13"/>
  <c r="J278" i="13"/>
  <c r="J286" i="13"/>
  <c r="N281" i="13" l="1"/>
  <c r="N278" i="13"/>
  <c r="N288" i="13"/>
  <c r="N270" i="13"/>
  <c r="N269" i="13"/>
  <c r="N275" i="13"/>
  <c r="N273" i="13"/>
  <c r="N284" i="13"/>
  <c r="N289" i="13"/>
  <c r="N272" i="13"/>
  <c r="N267" i="13"/>
  <c r="N287" i="13"/>
  <c r="N279" i="13"/>
  <c r="N280" i="13"/>
  <c r="N286" i="13"/>
  <c r="N283" i="13"/>
  <c r="N271" i="13"/>
  <c r="N277" i="13"/>
  <c r="N268" i="13"/>
  <c r="N274" i="13"/>
  <c r="N291" i="13"/>
  <c r="N285" i="13"/>
  <c r="N282" i="13"/>
  <c r="N276" i="13"/>
  <c r="J236" i="13"/>
  <c r="J235" i="13" l="1"/>
  <c r="J259" i="13"/>
  <c r="J251" i="13"/>
  <c r="J243" i="13"/>
  <c r="J225" i="13"/>
  <c r="J217" i="13"/>
  <c r="J234" i="13"/>
  <c r="J266" i="13"/>
  <c r="J258" i="13"/>
  <c r="J250" i="13"/>
  <c r="J242" i="13"/>
  <c r="J226" i="13"/>
  <c r="J233" i="13"/>
  <c r="J265" i="13"/>
  <c r="J241" i="13"/>
  <c r="J231" i="13"/>
  <c r="J223" i="13"/>
  <c r="J215" i="13"/>
  <c r="J264" i="13"/>
  <c r="J256" i="13"/>
  <c r="J248" i="13"/>
  <c r="J240" i="13"/>
  <c r="J232" i="13"/>
  <c r="J249" i="13"/>
  <c r="J230" i="13"/>
  <c r="J263" i="13"/>
  <c r="J255" i="13"/>
  <c r="J247" i="13"/>
  <c r="J239" i="13"/>
  <c r="J216" i="13"/>
  <c r="J221" i="13"/>
  <c r="J262" i="13"/>
  <c r="J254" i="13"/>
  <c r="J246" i="13"/>
  <c r="J238" i="13"/>
  <c r="J218" i="13"/>
  <c r="J257" i="13"/>
  <c r="J228" i="13"/>
  <c r="J220" i="13"/>
  <c r="J261" i="13"/>
  <c r="J253" i="13"/>
  <c r="J245" i="13"/>
  <c r="J237" i="13"/>
  <c r="J224" i="13"/>
  <c r="J222" i="13"/>
  <c r="J229" i="13"/>
  <c r="J227" i="13"/>
  <c r="J219" i="13"/>
  <c r="J260" i="13"/>
  <c r="J252" i="13"/>
  <c r="J244" i="13"/>
  <c r="N236" i="13" l="1"/>
  <c r="N252" i="13"/>
  <c r="N227" i="13"/>
  <c r="N247" i="13"/>
  <c r="N249" i="13"/>
  <c r="N237" i="13"/>
  <c r="N220" i="13"/>
  <c r="N238" i="13"/>
  <c r="N221" i="13"/>
  <c r="N256" i="13"/>
  <c r="N231" i="13"/>
  <c r="N226" i="13"/>
  <c r="N266" i="13"/>
  <c r="N243" i="13"/>
  <c r="N229" i="13"/>
  <c r="N232" i="13"/>
  <c r="N245" i="13"/>
  <c r="N228" i="13"/>
  <c r="N246" i="13"/>
  <c r="N216" i="13"/>
  <c r="N264" i="13"/>
  <c r="N241" i="13"/>
  <c r="N242" i="13"/>
  <c r="N234" i="13"/>
  <c r="N251" i="13"/>
  <c r="N263" i="13"/>
  <c r="N253" i="13"/>
  <c r="N257" i="13"/>
  <c r="N254" i="13"/>
  <c r="N240" i="13"/>
  <c r="N215" i="13"/>
  <c r="N265" i="13"/>
  <c r="N250" i="13"/>
  <c r="N217" i="13"/>
  <c r="N259" i="13"/>
  <c r="N244" i="13"/>
  <c r="N219" i="13"/>
  <c r="N224" i="13"/>
  <c r="N239" i="13"/>
  <c r="N230" i="13"/>
  <c r="N260" i="13"/>
  <c r="N255" i="13"/>
  <c r="N222" i="13"/>
  <c r="N261" i="13"/>
  <c r="N218" i="13"/>
  <c r="N262" i="13"/>
  <c r="N248" i="13"/>
  <c r="N223" i="13"/>
  <c r="N233" i="13"/>
  <c r="N258" i="13"/>
  <c r="N225" i="13"/>
  <c r="N235" i="13"/>
  <c r="N200" i="13" l="1"/>
  <c r="J159" i="13"/>
  <c r="N198" i="13"/>
  <c r="N199" i="13"/>
  <c r="N196" i="13"/>
  <c r="N151" i="13"/>
  <c r="N129" i="13"/>
  <c r="N132" i="13"/>
  <c r="J133" i="13"/>
  <c r="N136" i="13"/>
  <c r="N137" i="13"/>
  <c r="J139" i="13"/>
  <c r="N144" i="13"/>
  <c r="N145" i="13"/>
  <c r="J146" i="13"/>
  <c r="N150" i="13"/>
  <c r="J114" i="13"/>
  <c r="J117" i="13"/>
  <c r="J118" i="13"/>
  <c r="J120" i="13"/>
  <c r="N121" i="13"/>
  <c r="J123" i="13"/>
  <c r="J124" i="13"/>
  <c r="J125" i="13"/>
  <c r="N126" i="13"/>
  <c r="N127" i="13"/>
  <c r="N128" i="13"/>
  <c r="N112" i="13"/>
  <c r="J104" i="13"/>
  <c r="J106" i="13"/>
  <c r="J107" i="13"/>
  <c r="J108" i="13"/>
  <c r="J109" i="13"/>
  <c r="J110" i="13"/>
  <c r="J111" i="13"/>
  <c r="N102" i="13"/>
  <c r="A103" i="13"/>
  <c r="B103" i="13"/>
  <c r="C103" i="13"/>
  <c r="D103" i="13"/>
  <c r="E103" i="13"/>
  <c r="F103" i="13"/>
  <c r="G103" i="13"/>
  <c r="H103" i="13"/>
  <c r="I103" i="13"/>
  <c r="K103" i="13"/>
  <c r="O103" i="13" s="1"/>
  <c r="L103" i="13"/>
  <c r="M103" i="13"/>
  <c r="Q103" i="13"/>
  <c r="R103" i="13"/>
  <c r="A104" i="13"/>
  <c r="B104" i="13"/>
  <c r="C104" i="13"/>
  <c r="D104" i="13"/>
  <c r="E104" i="13"/>
  <c r="F104" i="13"/>
  <c r="G104" i="13"/>
  <c r="H104" i="13"/>
  <c r="I104" i="13"/>
  <c r="K104" i="13"/>
  <c r="O104" i="13" s="1"/>
  <c r="L104" i="13"/>
  <c r="M104" i="13"/>
  <c r="Q104" i="13"/>
  <c r="R104" i="13"/>
  <c r="A105" i="13"/>
  <c r="B105" i="13"/>
  <c r="C105" i="13"/>
  <c r="D105" i="13"/>
  <c r="E105" i="13"/>
  <c r="F105" i="13"/>
  <c r="G105" i="13"/>
  <c r="H105" i="13"/>
  <c r="I105" i="13"/>
  <c r="K105" i="13"/>
  <c r="O105" i="13" s="1"/>
  <c r="L105" i="13"/>
  <c r="M105" i="13"/>
  <c r="Q105" i="13"/>
  <c r="R105" i="13"/>
  <c r="A106" i="13"/>
  <c r="B106" i="13"/>
  <c r="C106" i="13"/>
  <c r="D106" i="13"/>
  <c r="E106" i="13"/>
  <c r="F106" i="13"/>
  <c r="G106" i="13"/>
  <c r="H106" i="13"/>
  <c r="I106" i="13"/>
  <c r="K106" i="13"/>
  <c r="O106" i="13" s="1"/>
  <c r="L106" i="13"/>
  <c r="M106" i="13"/>
  <c r="Q106" i="13"/>
  <c r="R106" i="13"/>
  <c r="A107" i="13"/>
  <c r="B107" i="13"/>
  <c r="C107" i="13"/>
  <c r="D107" i="13"/>
  <c r="E107" i="13"/>
  <c r="F107" i="13"/>
  <c r="G107" i="13"/>
  <c r="H107" i="13"/>
  <c r="I107" i="13"/>
  <c r="K107" i="13"/>
  <c r="O107" i="13" s="1"/>
  <c r="L107" i="13"/>
  <c r="M107" i="13"/>
  <c r="Q107" i="13"/>
  <c r="R107" i="13"/>
  <c r="A108" i="13"/>
  <c r="B108" i="13"/>
  <c r="C108" i="13"/>
  <c r="D108" i="13"/>
  <c r="E108" i="13"/>
  <c r="F108" i="13"/>
  <c r="G108" i="13"/>
  <c r="H108" i="13"/>
  <c r="I108" i="13"/>
  <c r="K108" i="13"/>
  <c r="O108" i="13" s="1"/>
  <c r="L108" i="13"/>
  <c r="M108" i="13"/>
  <c r="Q108" i="13"/>
  <c r="R108" i="13"/>
  <c r="A109" i="13"/>
  <c r="B109" i="13"/>
  <c r="C109" i="13"/>
  <c r="D109" i="13"/>
  <c r="E109" i="13"/>
  <c r="F109" i="13"/>
  <c r="G109" i="13"/>
  <c r="H109" i="13"/>
  <c r="I109" i="13"/>
  <c r="K109" i="13"/>
  <c r="O109" i="13" s="1"/>
  <c r="L109" i="13"/>
  <c r="M109" i="13"/>
  <c r="Q109" i="13"/>
  <c r="R109" i="13"/>
  <c r="A110" i="13"/>
  <c r="B110" i="13"/>
  <c r="C110" i="13"/>
  <c r="D110" i="13"/>
  <c r="E110" i="13"/>
  <c r="F110" i="13"/>
  <c r="G110" i="13"/>
  <c r="H110" i="13"/>
  <c r="I110" i="13"/>
  <c r="K110" i="13"/>
  <c r="O110" i="13" s="1"/>
  <c r="L110" i="13"/>
  <c r="M110" i="13"/>
  <c r="Q110" i="13"/>
  <c r="R110" i="13"/>
  <c r="A111" i="13"/>
  <c r="B111" i="13"/>
  <c r="C111" i="13"/>
  <c r="D111" i="13"/>
  <c r="E111" i="13"/>
  <c r="F111" i="13"/>
  <c r="G111" i="13"/>
  <c r="H111" i="13"/>
  <c r="I111" i="13"/>
  <c r="K111" i="13"/>
  <c r="O111" i="13" s="1"/>
  <c r="L111" i="13"/>
  <c r="M111" i="13"/>
  <c r="Q111" i="13"/>
  <c r="R111" i="13"/>
  <c r="A112" i="13"/>
  <c r="B112" i="13"/>
  <c r="C112" i="13"/>
  <c r="D112" i="13"/>
  <c r="E112" i="13"/>
  <c r="F112" i="13"/>
  <c r="G112" i="13"/>
  <c r="H112" i="13"/>
  <c r="I112" i="13"/>
  <c r="K112" i="13"/>
  <c r="O112" i="13" s="1"/>
  <c r="L112" i="13"/>
  <c r="M112" i="13"/>
  <c r="Q112" i="13"/>
  <c r="R112" i="13"/>
  <c r="A113" i="13"/>
  <c r="B113" i="13"/>
  <c r="C113" i="13"/>
  <c r="D113" i="13"/>
  <c r="E113" i="13"/>
  <c r="F113" i="13"/>
  <c r="G113" i="13"/>
  <c r="H113" i="13"/>
  <c r="I113" i="13"/>
  <c r="K113" i="13"/>
  <c r="O113" i="13" s="1"/>
  <c r="L113" i="13"/>
  <c r="M113" i="13"/>
  <c r="Q113" i="13"/>
  <c r="R113" i="13"/>
  <c r="A114" i="13"/>
  <c r="B114" i="13"/>
  <c r="C114" i="13"/>
  <c r="D114" i="13"/>
  <c r="E114" i="13"/>
  <c r="F114" i="13"/>
  <c r="G114" i="13"/>
  <c r="H114" i="13"/>
  <c r="I114" i="13"/>
  <c r="K114" i="13"/>
  <c r="O114" i="13" s="1"/>
  <c r="L114" i="13"/>
  <c r="M114" i="13"/>
  <c r="Q114" i="13"/>
  <c r="R114" i="13"/>
  <c r="A115" i="13"/>
  <c r="B115" i="13"/>
  <c r="C115" i="13"/>
  <c r="D115" i="13"/>
  <c r="E115" i="13"/>
  <c r="F115" i="13"/>
  <c r="G115" i="13"/>
  <c r="H115" i="13"/>
  <c r="I115" i="13"/>
  <c r="K115" i="13"/>
  <c r="O115" i="13" s="1"/>
  <c r="L115" i="13"/>
  <c r="M115" i="13"/>
  <c r="Q115" i="13"/>
  <c r="R115" i="13"/>
  <c r="A116" i="13"/>
  <c r="B116" i="13"/>
  <c r="C116" i="13"/>
  <c r="D116" i="13"/>
  <c r="E116" i="13"/>
  <c r="F116" i="13"/>
  <c r="G116" i="13"/>
  <c r="H116" i="13"/>
  <c r="I116" i="13"/>
  <c r="K116" i="13"/>
  <c r="O116" i="13" s="1"/>
  <c r="L116" i="13"/>
  <c r="M116" i="13"/>
  <c r="Q116" i="13"/>
  <c r="R116" i="13"/>
  <c r="A117" i="13"/>
  <c r="B117" i="13"/>
  <c r="C117" i="13"/>
  <c r="D117" i="13"/>
  <c r="E117" i="13"/>
  <c r="F117" i="13"/>
  <c r="G117" i="13"/>
  <c r="H117" i="13"/>
  <c r="I117" i="13"/>
  <c r="K117" i="13"/>
  <c r="O117" i="13" s="1"/>
  <c r="L117" i="13"/>
  <c r="M117" i="13"/>
  <c r="Q117" i="13"/>
  <c r="R117" i="13"/>
  <c r="A118" i="13"/>
  <c r="B118" i="13"/>
  <c r="C118" i="13"/>
  <c r="D118" i="13"/>
  <c r="E118" i="13"/>
  <c r="F118" i="13"/>
  <c r="G118" i="13"/>
  <c r="H118" i="13"/>
  <c r="I118" i="13"/>
  <c r="K118" i="13"/>
  <c r="O118" i="13" s="1"/>
  <c r="L118" i="13"/>
  <c r="M118" i="13"/>
  <c r="Q118" i="13"/>
  <c r="R118" i="13"/>
  <c r="A119" i="13"/>
  <c r="B119" i="13"/>
  <c r="C119" i="13"/>
  <c r="D119" i="13"/>
  <c r="E119" i="13"/>
  <c r="F119" i="13"/>
  <c r="G119" i="13"/>
  <c r="H119" i="13"/>
  <c r="I119" i="13"/>
  <c r="K119" i="13"/>
  <c r="O119" i="13" s="1"/>
  <c r="L119" i="13"/>
  <c r="M119" i="13"/>
  <c r="Q119" i="13"/>
  <c r="R119" i="13"/>
  <c r="A120" i="13"/>
  <c r="B120" i="13"/>
  <c r="C120" i="13"/>
  <c r="D120" i="13"/>
  <c r="E120" i="13"/>
  <c r="F120" i="13"/>
  <c r="G120" i="13"/>
  <c r="H120" i="13"/>
  <c r="I120" i="13"/>
  <c r="K120" i="13"/>
  <c r="O120" i="13" s="1"/>
  <c r="L120" i="13"/>
  <c r="M120" i="13"/>
  <c r="Q120" i="13"/>
  <c r="R120" i="13"/>
  <c r="A121" i="13"/>
  <c r="B121" i="13"/>
  <c r="C121" i="13"/>
  <c r="D121" i="13"/>
  <c r="E121" i="13"/>
  <c r="F121" i="13"/>
  <c r="G121" i="13"/>
  <c r="H121" i="13"/>
  <c r="I121" i="13"/>
  <c r="K121" i="13"/>
  <c r="O121" i="13" s="1"/>
  <c r="L121" i="13"/>
  <c r="M121" i="13"/>
  <c r="Q121" i="13"/>
  <c r="R121" i="13"/>
  <c r="A122" i="13"/>
  <c r="B122" i="13"/>
  <c r="C122" i="13"/>
  <c r="D122" i="13"/>
  <c r="E122" i="13"/>
  <c r="F122" i="13"/>
  <c r="G122" i="13"/>
  <c r="H122" i="13"/>
  <c r="I122" i="13"/>
  <c r="K122" i="13"/>
  <c r="O122" i="13" s="1"/>
  <c r="L122" i="13"/>
  <c r="M122" i="13"/>
  <c r="Q122" i="13"/>
  <c r="R122" i="13"/>
  <c r="A123" i="13"/>
  <c r="B123" i="13"/>
  <c r="C123" i="13"/>
  <c r="D123" i="13"/>
  <c r="E123" i="13"/>
  <c r="F123" i="13"/>
  <c r="G123" i="13"/>
  <c r="H123" i="13"/>
  <c r="I123" i="13"/>
  <c r="K123" i="13"/>
  <c r="O123" i="13" s="1"/>
  <c r="L123" i="13"/>
  <c r="M123" i="13"/>
  <c r="Q123" i="13"/>
  <c r="R123" i="13"/>
  <c r="A124" i="13"/>
  <c r="B124" i="13"/>
  <c r="C124" i="13"/>
  <c r="D124" i="13"/>
  <c r="E124" i="13"/>
  <c r="F124" i="13"/>
  <c r="G124" i="13"/>
  <c r="H124" i="13"/>
  <c r="I124" i="13"/>
  <c r="K124" i="13"/>
  <c r="O124" i="13" s="1"/>
  <c r="L124" i="13"/>
  <c r="M124" i="13"/>
  <c r="Q124" i="13"/>
  <c r="R124" i="13"/>
  <c r="A125" i="13"/>
  <c r="B125" i="13"/>
  <c r="C125" i="13"/>
  <c r="D125" i="13"/>
  <c r="E125" i="13"/>
  <c r="F125" i="13"/>
  <c r="G125" i="13"/>
  <c r="H125" i="13"/>
  <c r="I125" i="13"/>
  <c r="K125" i="13"/>
  <c r="O125" i="13" s="1"/>
  <c r="L125" i="13"/>
  <c r="M125" i="13"/>
  <c r="Q125" i="13"/>
  <c r="R125" i="13"/>
  <c r="A126" i="13"/>
  <c r="B126" i="13"/>
  <c r="C126" i="13"/>
  <c r="D126" i="13"/>
  <c r="E126" i="13"/>
  <c r="F126" i="13"/>
  <c r="G126" i="13"/>
  <c r="H126" i="13"/>
  <c r="I126" i="13"/>
  <c r="K126" i="13"/>
  <c r="O126" i="13" s="1"/>
  <c r="L126" i="13"/>
  <c r="M126" i="13"/>
  <c r="Q126" i="13"/>
  <c r="R126" i="13"/>
  <c r="A127" i="13"/>
  <c r="B127" i="13"/>
  <c r="C127" i="13"/>
  <c r="D127" i="13"/>
  <c r="E127" i="13"/>
  <c r="F127" i="13"/>
  <c r="G127" i="13"/>
  <c r="H127" i="13"/>
  <c r="I127" i="13"/>
  <c r="K127" i="13"/>
  <c r="O127" i="13" s="1"/>
  <c r="L127" i="13"/>
  <c r="M127" i="13"/>
  <c r="Q127" i="13"/>
  <c r="R127" i="13"/>
  <c r="A128" i="13"/>
  <c r="B128" i="13"/>
  <c r="C128" i="13"/>
  <c r="D128" i="13"/>
  <c r="E128" i="13"/>
  <c r="F128" i="13"/>
  <c r="G128" i="13"/>
  <c r="H128" i="13"/>
  <c r="I128" i="13"/>
  <c r="K128" i="13"/>
  <c r="O128" i="13" s="1"/>
  <c r="L128" i="13"/>
  <c r="M128" i="13"/>
  <c r="Q128" i="13"/>
  <c r="R128" i="13"/>
  <c r="A129" i="13"/>
  <c r="B129" i="13"/>
  <c r="C129" i="13"/>
  <c r="D129" i="13"/>
  <c r="E129" i="13"/>
  <c r="F129" i="13"/>
  <c r="G129" i="13"/>
  <c r="H129" i="13"/>
  <c r="I129" i="13"/>
  <c r="K129" i="13"/>
  <c r="O129" i="13" s="1"/>
  <c r="L129" i="13"/>
  <c r="M129" i="13"/>
  <c r="Q129" i="13"/>
  <c r="R129" i="13"/>
  <c r="A130" i="13"/>
  <c r="B130" i="13"/>
  <c r="C130" i="13"/>
  <c r="D130" i="13"/>
  <c r="E130" i="13"/>
  <c r="F130" i="13"/>
  <c r="G130" i="13"/>
  <c r="H130" i="13"/>
  <c r="I130" i="13"/>
  <c r="K130" i="13"/>
  <c r="O130" i="13" s="1"/>
  <c r="L130" i="13"/>
  <c r="M130" i="13"/>
  <c r="Q130" i="13"/>
  <c r="R130" i="13"/>
  <c r="A131" i="13"/>
  <c r="B131" i="13"/>
  <c r="C131" i="13"/>
  <c r="D131" i="13"/>
  <c r="E131" i="13"/>
  <c r="F131" i="13"/>
  <c r="G131" i="13"/>
  <c r="H131" i="13"/>
  <c r="I131" i="13"/>
  <c r="K131" i="13"/>
  <c r="O131" i="13" s="1"/>
  <c r="L131" i="13"/>
  <c r="M131" i="13"/>
  <c r="Q131" i="13"/>
  <c r="R131" i="13"/>
  <c r="A132" i="13"/>
  <c r="B132" i="13"/>
  <c r="C132" i="13"/>
  <c r="D132" i="13"/>
  <c r="E132" i="13"/>
  <c r="F132" i="13"/>
  <c r="G132" i="13"/>
  <c r="H132" i="13"/>
  <c r="I132" i="13"/>
  <c r="K132" i="13"/>
  <c r="O132" i="13" s="1"/>
  <c r="L132" i="13"/>
  <c r="M132" i="13"/>
  <c r="Q132" i="13"/>
  <c r="R132" i="13"/>
  <c r="A133" i="13"/>
  <c r="B133" i="13"/>
  <c r="C133" i="13"/>
  <c r="D133" i="13"/>
  <c r="E133" i="13"/>
  <c r="F133" i="13"/>
  <c r="G133" i="13"/>
  <c r="H133" i="13"/>
  <c r="I133" i="13"/>
  <c r="K133" i="13"/>
  <c r="O133" i="13" s="1"/>
  <c r="L133" i="13"/>
  <c r="M133" i="13"/>
  <c r="Q133" i="13"/>
  <c r="R133" i="13"/>
  <c r="A134" i="13"/>
  <c r="B134" i="13"/>
  <c r="C134" i="13"/>
  <c r="D134" i="13"/>
  <c r="E134" i="13"/>
  <c r="F134" i="13"/>
  <c r="G134" i="13"/>
  <c r="H134" i="13"/>
  <c r="I134" i="13"/>
  <c r="K134" i="13"/>
  <c r="O134" i="13" s="1"/>
  <c r="L134" i="13"/>
  <c r="M134" i="13"/>
  <c r="Q134" i="13"/>
  <c r="R134" i="13"/>
  <c r="A135" i="13"/>
  <c r="B135" i="13"/>
  <c r="C135" i="13"/>
  <c r="D135" i="13"/>
  <c r="E135" i="13"/>
  <c r="F135" i="13"/>
  <c r="G135" i="13"/>
  <c r="H135" i="13"/>
  <c r="I135" i="13"/>
  <c r="K135" i="13"/>
  <c r="O135" i="13" s="1"/>
  <c r="L135" i="13"/>
  <c r="M135" i="13"/>
  <c r="Q135" i="13"/>
  <c r="R135" i="13"/>
  <c r="A136" i="13"/>
  <c r="B136" i="13"/>
  <c r="C136" i="13"/>
  <c r="D136" i="13"/>
  <c r="E136" i="13"/>
  <c r="F136" i="13"/>
  <c r="G136" i="13"/>
  <c r="H136" i="13"/>
  <c r="I136" i="13"/>
  <c r="K136" i="13"/>
  <c r="O136" i="13" s="1"/>
  <c r="L136" i="13"/>
  <c r="M136" i="13"/>
  <c r="Q136" i="13"/>
  <c r="R136" i="13"/>
  <c r="A137" i="13"/>
  <c r="B137" i="13"/>
  <c r="C137" i="13"/>
  <c r="D137" i="13"/>
  <c r="E137" i="13"/>
  <c r="F137" i="13"/>
  <c r="G137" i="13"/>
  <c r="H137" i="13"/>
  <c r="I137" i="13"/>
  <c r="K137" i="13"/>
  <c r="O137" i="13" s="1"/>
  <c r="L137" i="13"/>
  <c r="M137" i="13"/>
  <c r="Q137" i="13"/>
  <c r="R137" i="13"/>
  <c r="A138" i="13"/>
  <c r="B138" i="13"/>
  <c r="C138" i="13"/>
  <c r="D138" i="13"/>
  <c r="E138" i="13"/>
  <c r="F138" i="13"/>
  <c r="G138" i="13"/>
  <c r="H138" i="13"/>
  <c r="I138" i="13"/>
  <c r="K138" i="13"/>
  <c r="O138" i="13" s="1"/>
  <c r="L138" i="13"/>
  <c r="M138" i="13"/>
  <c r="Q138" i="13"/>
  <c r="R138" i="13"/>
  <c r="A139" i="13"/>
  <c r="B139" i="13"/>
  <c r="C139" i="13"/>
  <c r="D139" i="13"/>
  <c r="E139" i="13"/>
  <c r="F139" i="13"/>
  <c r="G139" i="13"/>
  <c r="H139" i="13"/>
  <c r="I139" i="13"/>
  <c r="K139" i="13"/>
  <c r="O139" i="13" s="1"/>
  <c r="L139" i="13"/>
  <c r="M139" i="13"/>
  <c r="Q139" i="13"/>
  <c r="R139" i="13"/>
  <c r="A140" i="13"/>
  <c r="B140" i="13"/>
  <c r="C140" i="13"/>
  <c r="D140" i="13"/>
  <c r="E140" i="13"/>
  <c r="F140" i="13"/>
  <c r="G140" i="13"/>
  <c r="H140" i="13"/>
  <c r="I140" i="13"/>
  <c r="K140" i="13"/>
  <c r="O140" i="13" s="1"/>
  <c r="L140" i="13"/>
  <c r="M140" i="13"/>
  <c r="Q140" i="13"/>
  <c r="R140" i="13"/>
  <c r="A141" i="13"/>
  <c r="B141" i="13"/>
  <c r="C141" i="13"/>
  <c r="D141" i="13"/>
  <c r="E141" i="13"/>
  <c r="F141" i="13"/>
  <c r="G141" i="13"/>
  <c r="H141" i="13"/>
  <c r="I141" i="13"/>
  <c r="K141" i="13"/>
  <c r="O141" i="13" s="1"/>
  <c r="L141" i="13"/>
  <c r="M141" i="13"/>
  <c r="Q141" i="13"/>
  <c r="R141" i="13"/>
  <c r="A142" i="13"/>
  <c r="B142" i="13"/>
  <c r="C142" i="13"/>
  <c r="D142" i="13"/>
  <c r="E142" i="13"/>
  <c r="F142" i="13"/>
  <c r="G142" i="13"/>
  <c r="H142" i="13"/>
  <c r="I142" i="13"/>
  <c r="K142" i="13"/>
  <c r="O142" i="13" s="1"/>
  <c r="L142" i="13"/>
  <c r="M142" i="13"/>
  <c r="Q142" i="13"/>
  <c r="R142" i="13"/>
  <c r="A143" i="13"/>
  <c r="B143" i="13"/>
  <c r="C143" i="13"/>
  <c r="D143" i="13"/>
  <c r="E143" i="13"/>
  <c r="F143" i="13"/>
  <c r="G143" i="13"/>
  <c r="H143" i="13"/>
  <c r="I143" i="13"/>
  <c r="K143" i="13"/>
  <c r="O143" i="13" s="1"/>
  <c r="L143" i="13"/>
  <c r="M143" i="13"/>
  <c r="Q143" i="13"/>
  <c r="R143" i="13"/>
  <c r="A144" i="13"/>
  <c r="B144" i="13"/>
  <c r="C144" i="13"/>
  <c r="D144" i="13"/>
  <c r="E144" i="13"/>
  <c r="F144" i="13"/>
  <c r="G144" i="13"/>
  <c r="H144" i="13"/>
  <c r="I144" i="13"/>
  <c r="K144" i="13"/>
  <c r="O144" i="13" s="1"/>
  <c r="L144" i="13"/>
  <c r="M144" i="13"/>
  <c r="Q144" i="13"/>
  <c r="R144" i="13"/>
  <c r="A145" i="13"/>
  <c r="B145" i="13"/>
  <c r="C145" i="13"/>
  <c r="D145" i="13"/>
  <c r="E145" i="13"/>
  <c r="F145" i="13"/>
  <c r="G145" i="13"/>
  <c r="H145" i="13"/>
  <c r="I145" i="13"/>
  <c r="K145" i="13"/>
  <c r="O145" i="13" s="1"/>
  <c r="L145" i="13"/>
  <c r="M145" i="13"/>
  <c r="Q145" i="13"/>
  <c r="R145" i="13"/>
  <c r="A146" i="13"/>
  <c r="B146" i="13"/>
  <c r="C146" i="13"/>
  <c r="D146" i="13"/>
  <c r="E146" i="13"/>
  <c r="F146" i="13"/>
  <c r="G146" i="13"/>
  <c r="H146" i="13"/>
  <c r="I146" i="13"/>
  <c r="K146" i="13"/>
  <c r="O146" i="13" s="1"/>
  <c r="L146" i="13"/>
  <c r="M146" i="13"/>
  <c r="Q146" i="13"/>
  <c r="R146" i="13"/>
  <c r="A147" i="13"/>
  <c r="B147" i="13"/>
  <c r="C147" i="13"/>
  <c r="D147" i="13"/>
  <c r="E147" i="13"/>
  <c r="F147" i="13"/>
  <c r="G147" i="13"/>
  <c r="H147" i="13"/>
  <c r="I147" i="13"/>
  <c r="K147" i="13"/>
  <c r="O147" i="13" s="1"/>
  <c r="L147" i="13"/>
  <c r="M147" i="13"/>
  <c r="Q147" i="13"/>
  <c r="R147" i="13"/>
  <c r="A148" i="13"/>
  <c r="B148" i="13"/>
  <c r="C148" i="13"/>
  <c r="D148" i="13"/>
  <c r="E148" i="13"/>
  <c r="F148" i="13"/>
  <c r="G148" i="13"/>
  <c r="H148" i="13"/>
  <c r="I148" i="13"/>
  <c r="K148" i="13"/>
  <c r="O148" i="13" s="1"/>
  <c r="L148" i="13"/>
  <c r="M148" i="13"/>
  <c r="Q148" i="13"/>
  <c r="R148" i="13"/>
  <c r="A149" i="13"/>
  <c r="B149" i="13"/>
  <c r="C149" i="13"/>
  <c r="D149" i="13"/>
  <c r="E149" i="13"/>
  <c r="F149" i="13"/>
  <c r="G149" i="13"/>
  <c r="H149" i="13"/>
  <c r="I149" i="13"/>
  <c r="K149" i="13"/>
  <c r="O149" i="13" s="1"/>
  <c r="L149" i="13"/>
  <c r="M149" i="13"/>
  <c r="Q149" i="13"/>
  <c r="R149" i="13"/>
  <c r="A150" i="13"/>
  <c r="B150" i="13"/>
  <c r="C150" i="13"/>
  <c r="D150" i="13"/>
  <c r="E150" i="13"/>
  <c r="F150" i="13"/>
  <c r="G150" i="13"/>
  <c r="H150" i="13"/>
  <c r="I150" i="13"/>
  <c r="K150" i="13"/>
  <c r="O150" i="13" s="1"/>
  <c r="L150" i="13"/>
  <c r="M150" i="13"/>
  <c r="Q150" i="13"/>
  <c r="R150" i="13"/>
  <c r="A151" i="13"/>
  <c r="B151" i="13"/>
  <c r="C151" i="13"/>
  <c r="D151" i="13"/>
  <c r="E151" i="13"/>
  <c r="F151" i="13"/>
  <c r="G151" i="13"/>
  <c r="H151" i="13"/>
  <c r="I151" i="13"/>
  <c r="K151" i="13"/>
  <c r="O151" i="13" s="1"/>
  <c r="L151" i="13"/>
  <c r="M151" i="13"/>
  <c r="Q151" i="13"/>
  <c r="R151" i="13"/>
  <c r="A152" i="13"/>
  <c r="B152" i="13"/>
  <c r="C152" i="13"/>
  <c r="D152" i="13"/>
  <c r="E152" i="13"/>
  <c r="F152" i="13"/>
  <c r="G152" i="13"/>
  <c r="H152" i="13"/>
  <c r="I152" i="13"/>
  <c r="K152" i="13"/>
  <c r="O152" i="13" s="1"/>
  <c r="L152" i="13"/>
  <c r="M152" i="13"/>
  <c r="Q152" i="13"/>
  <c r="R152" i="13"/>
  <c r="A153" i="13"/>
  <c r="B153" i="13"/>
  <c r="C153" i="13"/>
  <c r="D153" i="13"/>
  <c r="E153" i="13"/>
  <c r="F153" i="13"/>
  <c r="G153" i="13"/>
  <c r="H153" i="13"/>
  <c r="I153" i="13"/>
  <c r="K153" i="13"/>
  <c r="O153" i="13" s="1"/>
  <c r="L153" i="13"/>
  <c r="M153" i="13"/>
  <c r="Q153" i="13"/>
  <c r="R153" i="13"/>
  <c r="A154" i="13"/>
  <c r="B154" i="13"/>
  <c r="C154" i="13"/>
  <c r="D154" i="13"/>
  <c r="E154" i="13"/>
  <c r="F154" i="13"/>
  <c r="G154" i="13"/>
  <c r="H154" i="13"/>
  <c r="I154" i="13"/>
  <c r="K154" i="13"/>
  <c r="O154" i="13" s="1"/>
  <c r="L154" i="13"/>
  <c r="M154" i="13"/>
  <c r="Q154" i="13"/>
  <c r="R154" i="13"/>
  <c r="A155" i="13"/>
  <c r="B155" i="13"/>
  <c r="C155" i="13"/>
  <c r="D155" i="13"/>
  <c r="E155" i="13"/>
  <c r="F155" i="13"/>
  <c r="G155" i="13"/>
  <c r="H155" i="13"/>
  <c r="I155" i="13"/>
  <c r="K155" i="13"/>
  <c r="O155" i="13" s="1"/>
  <c r="L155" i="13"/>
  <c r="M155" i="13"/>
  <c r="Q155" i="13"/>
  <c r="R155" i="13"/>
  <c r="A156" i="13"/>
  <c r="B156" i="13"/>
  <c r="C156" i="13"/>
  <c r="D156" i="13"/>
  <c r="E156" i="13"/>
  <c r="F156" i="13"/>
  <c r="G156" i="13"/>
  <c r="H156" i="13"/>
  <c r="I156" i="13"/>
  <c r="K156" i="13"/>
  <c r="O156" i="13" s="1"/>
  <c r="L156" i="13"/>
  <c r="M156" i="13"/>
  <c r="Q156" i="13"/>
  <c r="R156" i="13"/>
  <c r="A157" i="13"/>
  <c r="B157" i="13"/>
  <c r="C157" i="13"/>
  <c r="D157" i="13"/>
  <c r="E157" i="13"/>
  <c r="F157" i="13"/>
  <c r="G157" i="13"/>
  <c r="H157" i="13"/>
  <c r="I157" i="13"/>
  <c r="J157" i="13"/>
  <c r="K157" i="13"/>
  <c r="O157" i="13" s="1"/>
  <c r="L157" i="13"/>
  <c r="M157" i="13"/>
  <c r="N157" i="13"/>
  <c r="Q157" i="13"/>
  <c r="R157" i="13"/>
  <c r="A158" i="13"/>
  <c r="B158" i="13"/>
  <c r="C158" i="13"/>
  <c r="D158" i="13"/>
  <c r="E158" i="13"/>
  <c r="F158" i="13"/>
  <c r="G158" i="13"/>
  <c r="H158" i="13"/>
  <c r="I158" i="13"/>
  <c r="K158" i="13"/>
  <c r="O158" i="13" s="1"/>
  <c r="L158" i="13"/>
  <c r="M158" i="13"/>
  <c r="Q158" i="13"/>
  <c r="R158" i="13"/>
  <c r="A159" i="13"/>
  <c r="B159" i="13"/>
  <c r="C159" i="13"/>
  <c r="D159" i="13"/>
  <c r="E159" i="13"/>
  <c r="F159" i="13"/>
  <c r="G159" i="13"/>
  <c r="H159" i="13"/>
  <c r="I159" i="13"/>
  <c r="K159" i="13"/>
  <c r="O159" i="13" s="1"/>
  <c r="L159" i="13"/>
  <c r="M159" i="13"/>
  <c r="Q159" i="13"/>
  <c r="R159" i="13"/>
  <c r="A160" i="13"/>
  <c r="B160" i="13"/>
  <c r="C160" i="13"/>
  <c r="D160" i="13"/>
  <c r="E160" i="13"/>
  <c r="F160" i="13"/>
  <c r="G160" i="13"/>
  <c r="H160" i="13"/>
  <c r="I160" i="13"/>
  <c r="K160" i="13"/>
  <c r="O160" i="13" s="1"/>
  <c r="L160" i="13"/>
  <c r="M160" i="13"/>
  <c r="N160" i="13"/>
  <c r="Q160" i="13"/>
  <c r="R160" i="13"/>
  <c r="A161" i="13"/>
  <c r="B161" i="13"/>
  <c r="C161" i="13"/>
  <c r="D161" i="13"/>
  <c r="E161" i="13"/>
  <c r="F161" i="13"/>
  <c r="G161" i="13"/>
  <c r="H161" i="13"/>
  <c r="I161" i="13"/>
  <c r="J161" i="13"/>
  <c r="K161" i="13"/>
  <c r="O161" i="13" s="1"/>
  <c r="L161" i="13"/>
  <c r="M161" i="13"/>
  <c r="N161" i="13"/>
  <c r="Q161" i="13"/>
  <c r="R161" i="13"/>
  <c r="A162" i="13"/>
  <c r="B162" i="13"/>
  <c r="C162" i="13"/>
  <c r="D162" i="13"/>
  <c r="E162" i="13"/>
  <c r="F162" i="13"/>
  <c r="G162" i="13"/>
  <c r="H162" i="13"/>
  <c r="I162" i="13"/>
  <c r="K162" i="13"/>
  <c r="O162" i="13" s="1"/>
  <c r="L162" i="13"/>
  <c r="M162" i="13"/>
  <c r="N162" i="13"/>
  <c r="Q162" i="13"/>
  <c r="R162" i="13"/>
  <c r="A163" i="13"/>
  <c r="B163" i="13"/>
  <c r="C163" i="13"/>
  <c r="D163" i="13"/>
  <c r="E163" i="13"/>
  <c r="F163" i="13"/>
  <c r="G163" i="13"/>
  <c r="H163" i="13"/>
  <c r="I163" i="13"/>
  <c r="K163" i="13"/>
  <c r="O163" i="13" s="1"/>
  <c r="L163" i="13"/>
  <c r="M163" i="13"/>
  <c r="Q163" i="13"/>
  <c r="R163" i="13"/>
  <c r="A164" i="13"/>
  <c r="B164" i="13"/>
  <c r="C164" i="13"/>
  <c r="D164" i="13"/>
  <c r="E164" i="13"/>
  <c r="F164" i="13"/>
  <c r="G164" i="13"/>
  <c r="H164" i="13"/>
  <c r="I164" i="13"/>
  <c r="J164" i="13"/>
  <c r="K164" i="13"/>
  <c r="O164" i="13" s="1"/>
  <c r="L164" i="13"/>
  <c r="M164" i="13"/>
  <c r="N164" i="13"/>
  <c r="Q164" i="13"/>
  <c r="R164" i="13"/>
  <c r="A165" i="13"/>
  <c r="B165" i="13"/>
  <c r="C165" i="13"/>
  <c r="D165" i="13"/>
  <c r="E165" i="13"/>
  <c r="F165" i="13"/>
  <c r="G165" i="13"/>
  <c r="H165" i="13"/>
  <c r="I165" i="13"/>
  <c r="K165" i="13"/>
  <c r="O165" i="13" s="1"/>
  <c r="L165" i="13"/>
  <c r="M165" i="13"/>
  <c r="Q165" i="13"/>
  <c r="R165" i="13"/>
  <c r="A166" i="13"/>
  <c r="B166" i="13"/>
  <c r="C166" i="13"/>
  <c r="D166" i="13"/>
  <c r="E166" i="13"/>
  <c r="F166" i="13"/>
  <c r="G166" i="13"/>
  <c r="H166" i="13"/>
  <c r="I166" i="13"/>
  <c r="J166" i="13"/>
  <c r="K166" i="13"/>
  <c r="O166" i="13" s="1"/>
  <c r="L166" i="13"/>
  <c r="M166" i="13"/>
  <c r="N166" i="13"/>
  <c r="Q166" i="13"/>
  <c r="R166" i="13"/>
  <c r="A167" i="13"/>
  <c r="B167" i="13"/>
  <c r="C167" i="13"/>
  <c r="D167" i="13"/>
  <c r="E167" i="13"/>
  <c r="F167" i="13"/>
  <c r="G167" i="13"/>
  <c r="H167" i="13"/>
  <c r="I167" i="13"/>
  <c r="J167" i="13"/>
  <c r="K167" i="13"/>
  <c r="O167" i="13" s="1"/>
  <c r="L167" i="13"/>
  <c r="M167" i="13"/>
  <c r="N167" i="13"/>
  <c r="Q167" i="13"/>
  <c r="R167" i="13"/>
  <c r="A168" i="13"/>
  <c r="B168" i="13"/>
  <c r="C168" i="13"/>
  <c r="D168" i="13"/>
  <c r="E168" i="13"/>
  <c r="F168" i="13"/>
  <c r="G168" i="13"/>
  <c r="H168" i="13"/>
  <c r="I168" i="13"/>
  <c r="J168" i="13"/>
  <c r="K168" i="13"/>
  <c r="O168" i="13" s="1"/>
  <c r="L168" i="13"/>
  <c r="M168" i="13"/>
  <c r="N168" i="13"/>
  <c r="Q168" i="13"/>
  <c r="R168" i="13"/>
  <c r="A169" i="13"/>
  <c r="B169" i="13"/>
  <c r="C169" i="13"/>
  <c r="D169" i="13"/>
  <c r="E169" i="13"/>
  <c r="F169" i="13"/>
  <c r="G169" i="13"/>
  <c r="H169" i="13"/>
  <c r="I169" i="13"/>
  <c r="J169" i="13"/>
  <c r="K169" i="13"/>
  <c r="O169" i="13" s="1"/>
  <c r="L169" i="13"/>
  <c r="M169" i="13"/>
  <c r="N169" i="13"/>
  <c r="Q169" i="13"/>
  <c r="R169" i="13"/>
  <c r="A170" i="13"/>
  <c r="B170" i="13"/>
  <c r="C170" i="13"/>
  <c r="D170" i="13"/>
  <c r="E170" i="13"/>
  <c r="F170" i="13"/>
  <c r="G170" i="13"/>
  <c r="H170" i="13"/>
  <c r="I170" i="13"/>
  <c r="J170" i="13"/>
  <c r="K170" i="13"/>
  <c r="O170" i="13" s="1"/>
  <c r="L170" i="13"/>
  <c r="M170" i="13"/>
  <c r="N170" i="13"/>
  <c r="Q170" i="13"/>
  <c r="R170" i="13"/>
  <c r="A171" i="13"/>
  <c r="B171" i="13"/>
  <c r="C171" i="13"/>
  <c r="D171" i="13"/>
  <c r="E171" i="13"/>
  <c r="F171" i="13"/>
  <c r="G171" i="13"/>
  <c r="H171" i="13"/>
  <c r="I171" i="13"/>
  <c r="J171" i="13"/>
  <c r="K171" i="13"/>
  <c r="O171" i="13" s="1"/>
  <c r="L171" i="13"/>
  <c r="M171" i="13"/>
  <c r="N171" i="13"/>
  <c r="Q171" i="13"/>
  <c r="R171" i="13"/>
  <c r="A172" i="13"/>
  <c r="B172" i="13"/>
  <c r="C172" i="13"/>
  <c r="D172" i="13"/>
  <c r="E172" i="13"/>
  <c r="F172" i="13"/>
  <c r="G172" i="13"/>
  <c r="H172" i="13"/>
  <c r="I172" i="13"/>
  <c r="J172" i="13"/>
  <c r="K172" i="13"/>
  <c r="O172" i="13" s="1"/>
  <c r="L172" i="13"/>
  <c r="M172" i="13"/>
  <c r="N172" i="13"/>
  <c r="Q172" i="13"/>
  <c r="R172" i="13"/>
  <c r="A173" i="13"/>
  <c r="B173" i="13"/>
  <c r="C173" i="13"/>
  <c r="D173" i="13"/>
  <c r="E173" i="13"/>
  <c r="F173" i="13"/>
  <c r="G173" i="13"/>
  <c r="H173" i="13"/>
  <c r="I173" i="13"/>
  <c r="J173" i="13"/>
  <c r="K173" i="13"/>
  <c r="O173" i="13" s="1"/>
  <c r="L173" i="13"/>
  <c r="M173" i="13"/>
  <c r="N173" i="13"/>
  <c r="Q173" i="13"/>
  <c r="R173" i="13"/>
  <c r="A174" i="13"/>
  <c r="B174" i="13"/>
  <c r="C174" i="13"/>
  <c r="D174" i="13"/>
  <c r="E174" i="13"/>
  <c r="F174" i="13"/>
  <c r="G174" i="13"/>
  <c r="H174" i="13"/>
  <c r="I174" i="13"/>
  <c r="J174" i="13"/>
  <c r="K174" i="13"/>
  <c r="O174" i="13" s="1"/>
  <c r="L174" i="13"/>
  <c r="M174" i="13"/>
  <c r="N174" i="13"/>
  <c r="Q174" i="13"/>
  <c r="R174" i="13"/>
  <c r="A175" i="13"/>
  <c r="B175" i="13"/>
  <c r="C175" i="13"/>
  <c r="D175" i="13"/>
  <c r="E175" i="13"/>
  <c r="F175" i="13"/>
  <c r="G175" i="13"/>
  <c r="H175" i="13"/>
  <c r="I175" i="13"/>
  <c r="K175" i="13"/>
  <c r="O175" i="13" s="1"/>
  <c r="L175" i="13"/>
  <c r="M175" i="13"/>
  <c r="Q175" i="13"/>
  <c r="R175" i="13"/>
  <c r="A176" i="13"/>
  <c r="B176" i="13"/>
  <c r="C176" i="13"/>
  <c r="D176" i="13"/>
  <c r="E176" i="13"/>
  <c r="F176" i="13"/>
  <c r="G176" i="13"/>
  <c r="H176" i="13"/>
  <c r="I176" i="13"/>
  <c r="J176" i="13"/>
  <c r="K176" i="13"/>
  <c r="O176" i="13" s="1"/>
  <c r="L176" i="13"/>
  <c r="M176" i="13"/>
  <c r="N176" i="13"/>
  <c r="Q176" i="13"/>
  <c r="R176" i="13"/>
  <c r="A177" i="13"/>
  <c r="B177" i="13"/>
  <c r="C177" i="13"/>
  <c r="D177" i="13"/>
  <c r="E177" i="13"/>
  <c r="F177" i="13"/>
  <c r="G177" i="13"/>
  <c r="H177" i="13"/>
  <c r="I177" i="13"/>
  <c r="J177" i="13"/>
  <c r="K177" i="13"/>
  <c r="O177" i="13" s="1"/>
  <c r="L177" i="13"/>
  <c r="M177" i="13"/>
  <c r="Q177" i="13"/>
  <c r="R177" i="13"/>
  <c r="A178" i="13"/>
  <c r="B178" i="13"/>
  <c r="C178" i="13"/>
  <c r="D178" i="13"/>
  <c r="E178" i="13"/>
  <c r="F178" i="13"/>
  <c r="G178" i="13"/>
  <c r="H178" i="13"/>
  <c r="I178" i="13"/>
  <c r="J178" i="13"/>
  <c r="K178" i="13"/>
  <c r="O178" i="13" s="1"/>
  <c r="L178" i="13"/>
  <c r="M178" i="13"/>
  <c r="N178" i="13"/>
  <c r="Q178" i="13"/>
  <c r="R178" i="13"/>
  <c r="A179" i="13"/>
  <c r="B179" i="13"/>
  <c r="C179" i="13"/>
  <c r="D179" i="13"/>
  <c r="E179" i="13"/>
  <c r="F179" i="13"/>
  <c r="G179" i="13"/>
  <c r="H179" i="13"/>
  <c r="I179" i="13"/>
  <c r="J179" i="13"/>
  <c r="K179" i="13"/>
  <c r="O179" i="13" s="1"/>
  <c r="L179" i="13"/>
  <c r="M179" i="13"/>
  <c r="N179" i="13"/>
  <c r="Q179" i="13"/>
  <c r="R179" i="13"/>
  <c r="A180" i="13"/>
  <c r="B180" i="13"/>
  <c r="C180" i="13"/>
  <c r="D180" i="13"/>
  <c r="E180" i="13"/>
  <c r="F180" i="13"/>
  <c r="G180" i="13"/>
  <c r="H180" i="13"/>
  <c r="I180" i="13"/>
  <c r="J180" i="13"/>
  <c r="K180" i="13"/>
  <c r="O180" i="13" s="1"/>
  <c r="L180" i="13"/>
  <c r="M180" i="13"/>
  <c r="N180" i="13"/>
  <c r="Q180" i="13"/>
  <c r="R180" i="13"/>
  <c r="A181" i="13"/>
  <c r="B181" i="13"/>
  <c r="C181" i="13"/>
  <c r="D181" i="13"/>
  <c r="E181" i="13"/>
  <c r="F181" i="13"/>
  <c r="G181" i="13"/>
  <c r="H181" i="13"/>
  <c r="I181" i="13"/>
  <c r="J181" i="13"/>
  <c r="K181" i="13"/>
  <c r="O181" i="13" s="1"/>
  <c r="L181" i="13"/>
  <c r="M181" i="13"/>
  <c r="N181" i="13"/>
  <c r="Q181" i="13"/>
  <c r="R181" i="13"/>
  <c r="A182" i="13"/>
  <c r="B182" i="13"/>
  <c r="C182" i="13"/>
  <c r="D182" i="13"/>
  <c r="E182" i="13"/>
  <c r="F182" i="13"/>
  <c r="G182" i="13"/>
  <c r="H182" i="13"/>
  <c r="I182" i="13"/>
  <c r="J182" i="13"/>
  <c r="K182" i="13"/>
  <c r="O182" i="13" s="1"/>
  <c r="L182" i="13"/>
  <c r="M182" i="13"/>
  <c r="N182" i="13"/>
  <c r="Q182" i="13"/>
  <c r="R182" i="13"/>
  <c r="A183" i="13"/>
  <c r="B183" i="13"/>
  <c r="C183" i="13"/>
  <c r="D183" i="13"/>
  <c r="E183" i="13"/>
  <c r="F183" i="13"/>
  <c r="G183" i="13"/>
  <c r="H183" i="13"/>
  <c r="I183" i="13"/>
  <c r="J183" i="13"/>
  <c r="K183" i="13"/>
  <c r="O183" i="13" s="1"/>
  <c r="L183" i="13"/>
  <c r="M183" i="13"/>
  <c r="N183" i="13"/>
  <c r="Q183" i="13"/>
  <c r="R183" i="13"/>
  <c r="A184" i="13"/>
  <c r="B184" i="13"/>
  <c r="C184" i="13"/>
  <c r="D184" i="13"/>
  <c r="E184" i="13"/>
  <c r="F184" i="13"/>
  <c r="G184" i="13"/>
  <c r="H184" i="13"/>
  <c r="I184" i="13"/>
  <c r="J184" i="13"/>
  <c r="K184" i="13"/>
  <c r="O184" i="13" s="1"/>
  <c r="L184" i="13"/>
  <c r="M184" i="13"/>
  <c r="N184" i="13"/>
  <c r="Q184" i="13"/>
  <c r="R184" i="13"/>
  <c r="A185" i="13"/>
  <c r="B185" i="13"/>
  <c r="C185" i="13"/>
  <c r="D185" i="13"/>
  <c r="E185" i="13"/>
  <c r="F185" i="13"/>
  <c r="G185" i="13"/>
  <c r="H185" i="13"/>
  <c r="I185" i="13"/>
  <c r="J185" i="13"/>
  <c r="K185" i="13"/>
  <c r="O185" i="13" s="1"/>
  <c r="L185" i="13"/>
  <c r="M185" i="13"/>
  <c r="N185" i="13"/>
  <c r="Q185" i="13"/>
  <c r="R185" i="13"/>
  <c r="A186" i="13"/>
  <c r="B186" i="13"/>
  <c r="C186" i="13"/>
  <c r="D186" i="13"/>
  <c r="E186" i="13"/>
  <c r="F186" i="13"/>
  <c r="G186" i="13"/>
  <c r="H186" i="13"/>
  <c r="I186" i="13"/>
  <c r="J186" i="13"/>
  <c r="K186" i="13"/>
  <c r="O186" i="13" s="1"/>
  <c r="L186" i="13"/>
  <c r="M186" i="13"/>
  <c r="N186" i="13"/>
  <c r="Q186" i="13"/>
  <c r="R186" i="13"/>
  <c r="A187" i="13"/>
  <c r="B187" i="13"/>
  <c r="C187" i="13"/>
  <c r="D187" i="13"/>
  <c r="E187" i="13"/>
  <c r="F187" i="13"/>
  <c r="G187" i="13"/>
  <c r="H187" i="13"/>
  <c r="I187" i="13"/>
  <c r="J187" i="13"/>
  <c r="K187" i="13"/>
  <c r="O187" i="13" s="1"/>
  <c r="L187" i="13"/>
  <c r="M187" i="13"/>
  <c r="N187" i="13"/>
  <c r="Q187" i="13"/>
  <c r="R187" i="13"/>
  <c r="A188" i="13"/>
  <c r="B188" i="13"/>
  <c r="C188" i="13"/>
  <c r="D188" i="13"/>
  <c r="E188" i="13"/>
  <c r="F188" i="13"/>
  <c r="G188" i="13"/>
  <c r="H188" i="13"/>
  <c r="I188" i="13"/>
  <c r="J188" i="13"/>
  <c r="K188" i="13"/>
  <c r="O188" i="13" s="1"/>
  <c r="L188" i="13"/>
  <c r="M188" i="13"/>
  <c r="N188" i="13"/>
  <c r="Q188" i="13"/>
  <c r="R188" i="13"/>
  <c r="A189" i="13"/>
  <c r="B189" i="13"/>
  <c r="C189" i="13"/>
  <c r="D189" i="13"/>
  <c r="E189" i="13"/>
  <c r="F189" i="13"/>
  <c r="G189" i="13"/>
  <c r="H189" i="13"/>
  <c r="I189" i="13"/>
  <c r="J189" i="13"/>
  <c r="K189" i="13"/>
  <c r="O189" i="13" s="1"/>
  <c r="L189" i="13"/>
  <c r="M189" i="13"/>
  <c r="N189" i="13"/>
  <c r="Q189" i="13"/>
  <c r="R189" i="13"/>
  <c r="A190" i="13"/>
  <c r="B190" i="13"/>
  <c r="C190" i="13"/>
  <c r="D190" i="13"/>
  <c r="E190" i="13"/>
  <c r="F190" i="13"/>
  <c r="G190" i="13"/>
  <c r="H190" i="13"/>
  <c r="I190" i="13"/>
  <c r="J190" i="13"/>
  <c r="K190" i="13"/>
  <c r="O190" i="13" s="1"/>
  <c r="L190" i="13"/>
  <c r="M190" i="13"/>
  <c r="N190" i="13"/>
  <c r="Q190" i="13"/>
  <c r="R190" i="13"/>
  <c r="A191" i="13"/>
  <c r="B191" i="13"/>
  <c r="C191" i="13"/>
  <c r="D191" i="13"/>
  <c r="E191" i="13"/>
  <c r="F191" i="13"/>
  <c r="G191" i="13"/>
  <c r="H191" i="13"/>
  <c r="I191" i="13"/>
  <c r="J191" i="13"/>
  <c r="K191" i="13"/>
  <c r="O191" i="13" s="1"/>
  <c r="L191" i="13"/>
  <c r="M191" i="13"/>
  <c r="N191" i="13"/>
  <c r="Q191" i="13"/>
  <c r="R191" i="13"/>
  <c r="A192" i="13"/>
  <c r="B192" i="13"/>
  <c r="C192" i="13"/>
  <c r="D192" i="13"/>
  <c r="E192" i="13"/>
  <c r="F192" i="13"/>
  <c r="G192" i="13"/>
  <c r="H192" i="13"/>
  <c r="I192" i="13"/>
  <c r="J192" i="13"/>
  <c r="K192" i="13"/>
  <c r="O192" i="13" s="1"/>
  <c r="L192" i="13"/>
  <c r="M192" i="13"/>
  <c r="N192" i="13"/>
  <c r="Q192" i="13"/>
  <c r="R192" i="13"/>
  <c r="A193" i="13"/>
  <c r="B193" i="13"/>
  <c r="C193" i="13"/>
  <c r="D193" i="13"/>
  <c r="E193" i="13"/>
  <c r="F193" i="13"/>
  <c r="G193" i="13"/>
  <c r="H193" i="13"/>
  <c r="I193" i="13"/>
  <c r="J193" i="13"/>
  <c r="K193" i="13"/>
  <c r="O193" i="13" s="1"/>
  <c r="L193" i="13"/>
  <c r="M193" i="13"/>
  <c r="N193" i="13"/>
  <c r="Q193" i="13"/>
  <c r="R193" i="13"/>
  <c r="A194" i="13"/>
  <c r="B194" i="13"/>
  <c r="C194" i="13"/>
  <c r="D194" i="13"/>
  <c r="E194" i="13"/>
  <c r="F194" i="13"/>
  <c r="G194" i="13"/>
  <c r="H194" i="13"/>
  <c r="I194" i="13"/>
  <c r="J194" i="13"/>
  <c r="K194" i="13"/>
  <c r="O194" i="13" s="1"/>
  <c r="L194" i="13"/>
  <c r="M194" i="13"/>
  <c r="N194" i="13"/>
  <c r="Q194" i="13"/>
  <c r="R194" i="13"/>
  <c r="A195" i="13"/>
  <c r="B195" i="13"/>
  <c r="C195" i="13"/>
  <c r="D195" i="13"/>
  <c r="E195" i="13"/>
  <c r="F195" i="13"/>
  <c r="G195" i="13"/>
  <c r="H195" i="13"/>
  <c r="I195" i="13"/>
  <c r="K195" i="13"/>
  <c r="O195" i="13" s="1"/>
  <c r="L195" i="13"/>
  <c r="M195" i="13"/>
  <c r="Q195" i="13"/>
  <c r="R195" i="13"/>
  <c r="A196" i="13"/>
  <c r="B196" i="13"/>
  <c r="C196" i="13"/>
  <c r="D196" i="13"/>
  <c r="E196" i="13"/>
  <c r="F196" i="13"/>
  <c r="G196" i="13"/>
  <c r="H196" i="13"/>
  <c r="I196" i="13"/>
  <c r="K196" i="13"/>
  <c r="O196" i="13" s="1"/>
  <c r="L196" i="13"/>
  <c r="M196" i="13"/>
  <c r="Q196" i="13"/>
  <c r="R196" i="13"/>
  <c r="A197" i="13"/>
  <c r="B197" i="13"/>
  <c r="C197" i="13"/>
  <c r="D197" i="13"/>
  <c r="E197" i="13"/>
  <c r="F197" i="13"/>
  <c r="G197" i="13"/>
  <c r="H197" i="13"/>
  <c r="I197" i="13"/>
  <c r="K197" i="13"/>
  <c r="O197" i="13" s="1"/>
  <c r="L197" i="13"/>
  <c r="M197" i="13"/>
  <c r="Q197" i="13"/>
  <c r="R197" i="13"/>
  <c r="A198" i="13"/>
  <c r="B198" i="13"/>
  <c r="C198" i="13"/>
  <c r="D198" i="13"/>
  <c r="E198" i="13"/>
  <c r="F198" i="13"/>
  <c r="G198" i="13"/>
  <c r="H198" i="13"/>
  <c r="I198" i="13"/>
  <c r="K198" i="13"/>
  <c r="O198" i="13" s="1"/>
  <c r="L198" i="13"/>
  <c r="M198" i="13"/>
  <c r="Q198" i="13"/>
  <c r="R198" i="13"/>
  <c r="A199" i="13"/>
  <c r="B199" i="13"/>
  <c r="C199" i="13"/>
  <c r="D199" i="13"/>
  <c r="E199" i="13"/>
  <c r="F199" i="13"/>
  <c r="G199" i="13"/>
  <c r="H199" i="13"/>
  <c r="I199" i="13"/>
  <c r="K199" i="13"/>
  <c r="O199" i="13" s="1"/>
  <c r="L199" i="13"/>
  <c r="M199" i="13"/>
  <c r="Q199" i="13"/>
  <c r="R199" i="13"/>
  <c r="A200" i="13"/>
  <c r="B200" i="13"/>
  <c r="C200" i="13"/>
  <c r="D200" i="13"/>
  <c r="E200" i="13"/>
  <c r="F200" i="13"/>
  <c r="G200" i="13"/>
  <c r="H200" i="13"/>
  <c r="I200" i="13"/>
  <c r="K200" i="13"/>
  <c r="O200" i="13" s="1"/>
  <c r="L200" i="13"/>
  <c r="M200" i="13"/>
  <c r="Q200" i="13"/>
  <c r="R200" i="13"/>
  <c r="A201" i="13"/>
  <c r="B201" i="13"/>
  <c r="C201" i="13"/>
  <c r="D201" i="13"/>
  <c r="E201" i="13"/>
  <c r="F201" i="13"/>
  <c r="G201" i="13"/>
  <c r="H201" i="13"/>
  <c r="I201" i="13"/>
  <c r="J201" i="13"/>
  <c r="K201" i="13"/>
  <c r="O201" i="13" s="1"/>
  <c r="L201" i="13"/>
  <c r="M201" i="13"/>
  <c r="N201" i="13"/>
  <c r="Q201" i="13"/>
  <c r="R201" i="13"/>
  <c r="A202" i="13"/>
  <c r="B202" i="13"/>
  <c r="C202" i="13"/>
  <c r="D202" i="13"/>
  <c r="E202" i="13"/>
  <c r="F202" i="13"/>
  <c r="G202" i="13"/>
  <c r="H202" i="13"/>
  <c r="I202" i="13"/>
  <c r="J202" i="13"/>
  <c r="K202" i="13"/>
  <c r="O202" i="13" s="1"/>
  <c r="L202" i="13"/>
  <c r="M202" i="13"/>
  <c r="N202" i="13"/>
  <c r="Q202" i="13"/>
  <c r="R202" i="13"/>
  <c r="A203" i="13"/>
  <c r="B203" i="13"/>
  <c r="C203" i="13"/>
  <c r="D203" i="13"/>
  <c r="E203" i="13"/>
  <c r="F203" i="13"/>
  <c r="G203" i="13"/>
  <c r="H203" i="13"/>
  <c r="I203" i="13"/>
  <c r="J203" i="13"/>
  <c r="K203" i="13"/>
  <c r="O203" i="13" s="1"/>
  <c r="L203" i="13"/>
  <c r="M203" i="13"/>
  <c r="N203" i="13"/>
  <c r="Q203" i="13"/>
  <c r="R203" i="13"/>
  <c r="A204" i="13"/>
  <c r="B204" i="13"/>
  <c r="C204" i="13"/>
  <c r="D204" i="13"/>
  <c r="E204" i="13"/>
  <c r="F204" i="13"/>
  <c r="G204" i="13"/>
  <c r="H204" i="13"/>
  <c r="I204" i="13"/>
  <c r="J204" i="13"/>
  <c r="K204" i="13"/>
  <c r="O204" i="13" s="1"/>
  <c r="L204" i="13"/>
  <c r="M204" i="13"/>
  <c r="N204" i="13"/>
  <c r="Q204" i="13"/>
  <c r="R204" i="13"/>
  <c r="A205" i="13"/>
  <c r="B205" i="13"/>
  <c r="C205" i="13"/>
  <c r="D205" i="13"/>
  <c r="E205" i="13"/>
  <c r="F205" i="13"/>
  <c r="G205" i="13"/>
  <c r="H205" i="13"/>
  <c r="I205" i="13"/>
  <c r="J205" i="13"/>
  <c r="K205" i="13"/>
  <c r="O205" i="13" s="1"/>
  <c r="L205" i="13"/>
  <c r="M205" i="13"/>
  <c r="N205" i="13"/>
  <c r="Q205" i="13"/>
  <c r="R205" i="13"/>
  <c r="A206" i="13"/>
  <c r="B206" i="13"/>
  <c r="C206" i="13"/>
  <c r="D206" i="13"/>
  <c r="E206" i="13"/>
  <c r="F206" i="13"/>
  <c r="G206" i="13"/>
  <c r="H206" i="13"/>
  <c r="I206" i="13"/>
  <c r="J206" i="13"/>
  <c r="K206" i="13"/>
  <c r="O206" i="13" s="1"/>
  <c r="L206" i="13"/>
  <c r="M206" i="13"/>
  <c r="N206" i="13"/>
  <c r="Q206" i="13"/>
  <c r="R206" i="13"/>
  <c r="A207" i="13"/>
  <c r="B207" i="13"/>
  <c r="C207" i="13"/>
  <c r="D207" i="13"/>
  <c r="E207" i="13"/>
  <c r="F207" i="13"/>
  <c r="G207" i="13"/>
  <c r="H207" i="13"/>
  <c r="I207" i="13"/>
  <c r="J207" i="13"/>
  <c r="K207" i="13"/>
  <c r="O207" i="13" s="1"/>
  <c r="L207" i="13"/>
  <c r="M207" i="13"/>
  <c r="N207" i="13"/>
  <c r="Q207" i="13"/>
  <c r="R207" i="13"/>
  <c r="A208" i="13"/>
  <c r="B208" i="13"/>
  <c r="C208" i="13"/>
  <c r="D208" i="13"/>
  <c r="E208" i="13"/>
  <c r="F208" i="13"/>
  <c r="G208" i="13"/>
  <c r="H208" i="13"/>
  <c r="I208" i="13"/>
  <c r="J208" i="13"/>
  <c r="K208" i="13"/>
  <c r="O208" i="13" s="1"/>
  <c r="L208" i="13"/>
  <c r="M208" i="13"/>
  <c r="N208" i="13"/>
  <c r="Q208" i="13"/>
  <c r="R208" i="13"/>
  <c r="A209" i="13"/>
  <c r="B209" i="13"/>
  <c r="C209" i="13"/>
  <c r="D209" i="13"/>
  <c r="E209" i="13"/>
  <c r="F209" i="13"/>
  <c r="G209" i="13"/>
  <c r="H209" i="13"/>
  <c r="I209" i="13"/>
  <c r="J209" i="13"/>
  <c r="K209" i="13"/>
  <c r="O209" i="13" s="1"/>
  <c r="L209" i="13"/>
  <c r="M209" i="13"/>
  <c r="N209" i="13"/>
  <c r="Q209" i="13"/>
  <c r="R209" i="13"/>
  <c r="A210" i="13"/>
  <c r="B210" i="13"/>
  <c r="C210" i="13"/>
  <c r="D210" i="13"/>
  <c r="E210" i="13"/>
  <c r="F210" i="13"/>
  <c r="G210" i="13"/>
  <c r="H210" i="13"/>
  <c r="I210" i="13"/>
  <c r="J210" i="13"/>
  <c r="K210" i="13"/>
  <c r="O210" i="13" s="1"/>
  <c r="L210" i="13"/>
  <c r="M210" i="13"/>
  <c r="N210" i="13"/>
  <c r="Q210" i="13"/>
  <c r="R210" i="13"/>
  <c r="A211" i="13"/>
  <c r="B211" i="13"/>
  <c r="C211" i="13"/>
  <c r="D211" i="13"/>
  <c r="E211" i="13"/>
  <c r="F211" i="13"/>
  <c r="G211" i="13"/>
  <c r="H211" i="13"/>
  <c r="I211" i="13"/>
  <c r="J211" i="13"/>
  <c r="K211" i="13"/>
  <c r="O211" i="13" s="1"/>
  <c r="L211" i="13"/>
  <c r="M211" i="13"/>
  <c r="N211" i="13"/>
  <c r="Q211" i="13"/>
  <c r="R211" i="13"/>
  <c r="A212" i="13"/>
  <c r="B212" i="13"/>
  <c r="C212" i="13"/>
  <c r="D212" i="13"/>
  <c r="E212" i="13"/>
  <c r="F212" i="13"/>
  <c r="G212" i="13"/>
  <c r="H212" i="13"/>
  <c r="I212" i="13"/>
  <c r="J212" i="13"/>
  <c r="K212" i="13"/>
  <c r="O212" i="13" s="1"/>
  <c r="L212" i="13"/>
  <c r="M212" i="13"/>
  <c r="N212" i="13"/>
  <c r="Q212" i="13"/>
  <c r="R212" i="13"/>
  <c r="A213" i="13"/>
  <c r="B213" i="13"/>
  <c r="C213" i="13"/>
  <c r="D213" i="13"/>
  <c r="E213" i="13"/>
  <c r="F213" i="13"/>
  <c r="G213" i="13"/>
  <c r="H213" i="13"/>
  <c r="I213" i="13"/>
  <c r="J213" i="13"/>
  <c r="K213" i="13"/>
  <c r="O213" i="13" s="1"/>
  <c r="L213" i="13"/>
  <c r="M213" i="13"/>
  <c r="N213" i="13"/>
  <c r="Q213" i="13"/>
  <c r="R213" i="13"/>
  <c r="A214" i="13"/>
  <c r="B214" i="13"/>
  <c r="C214" i="13"/>
  <c r="D214" i="13"/>
  <c r="E214" i="13"/>
  <c r="F214" i="13"/>
  <c r="G214" i="13"/>
  <c r="H214" i="13"/>
  <c r="I214" i="13"/>
  <c r="J214" i="13"/>
  <c r="K214" i="13"/>
  <c r="O214" i="13" s="1"/>
  <c r="L214" i="13"/>
  <c r="M214" i="13"/>
  <c r="N214" i="13"/>
  <c r="Q214" i="13"/>
  <c r="R214" i="13"/>
  <c r="A59" i="13"/>
  <c r="B59" i="13"/>
  <c r="C59" i="13"/>
  <c r="D59" i="13"/>
  <c r="E59" i="13"/>
  <c r="F59" i="13"/>
  <c r="G59" i="13"/>
  <c r="H59" i="13"/>
  <c r="I59" i="13"/>
  <c r="K59" i="13"/>
  <c r="O59" i="13" s="1"/>
  <c r="L59" i="13"/>
  <c r="M59" i="13"/>
  <c r="Q59" i="13"/>
  <c r="R59" i="13"/>
  <c r="A60" i="13"/>
  <c r="B60" i="13"/>
  <c r="C60" i="13"/>
  <c r="D60" i="13"/>
  <c r="E60" i="13"/>
  <c r="F60" i="13"/>
  <c r="G60" i="13"/>
  <c r="H60" i="13"/>
  <c r="I60" i="13"/>
  <c r="K60" i="13"/>
  <c r="O60" i="13" s="1"/>
  <c r="L60" i="13"/>
  <c r="M60" i="13"/>
  <c r="Q60" i="13"/>
  <c r="R60" i="13"/>
  <c r="A61" i="13"/>
  <c r="B61" i="13"/>
  <c r="C61" i="13"/>
  <c r="D61" i="13"/>
  <c r="E61" i="13"/>
  <c r="F61" i="13"/>
  <c r="G61" i="13"/>
  <c r="H61" i="13"/>
  <c r="I61" i="13"/>
  <c r="K61" i="13"/>
  <c r="O61" i="13" s="1"/>
  <c r="L61" i="13"/>
  <c r="M61" i="13"/>
  <c r="Q61" i="13"/>
  <c r="R61" i="13"/>
  <c r="A62" i="13"/>
  <c r="B62" i="13"/>
  <c r="C62" i="13"/>
  <c r="D62" i="13"/>
  <c r="E62" i="13"/>
  <c r="F62" i="13"/>
  <c r="G62" i="13"/>
  <c r="H62" i="13"/>
  <c r="I62" i="13"/>
  <c r="K62" i="13"/>
  <c r="O62" i="13" s="1"/>
  <c r="L62" i="13"/>
  <c r="M62" i="13"/>
  <c r="Q62" i="13"/>
  <c r="R62" i="13"/>
  <c r="A63" i="13"/>
  <c r="B63" i="13"/>
  <c r="C63" i="13"/>
  <c r="D63" i="13"/>
  <c r="E63" i="13"/>
  <c r="F63" i="13"/>
  <c r="G63" i="13"/>
  <c r="H63" i="13"/>
  <c r="I63" i="13"/>
  <c r="K63" i="13"/>
  <c r="O63" i="13" s="1"/>
  <c r="L63" i="13"/>
  <c r="M63" i="13"/>
  <c r="Q63" i="13"/>
  <c r="R63" i="13"/>
  <c r="A64" i="13"/>
  <c r="B64" i="13"/>
  <c r="C64" i="13"/>
  <c r="D64" i="13"/>
  <c r="E64" i="13"/>
  <c r="F64" i="13"/>
  <c r="G64" i="13"/>
  <c r="H64" i="13"/>
  <c r="I64" i="13"/>
  <c r="K64" i="13"/>
  <c r="O64" i="13" s="1"/>
  <c r="L64" i="13"/>
  <c r="M64" i="13"/>
  <c r="Q64" i="13"/>
  <c r="R64" i="13"/>
  <c r="A65" i="13"/>
  <c r="B65" i="13"/>
  <c r="C65" i="13"/>
  <c r="D65" i="13"/>
  <c r="E65" i="13"/>
  <c r="F65" i="13"/>
  <c r="G65" i="13"/>
  <c r="H65" i="13"/>
  <c r="I65" i="13"/>
  <c r="K65" i="13"/>
  <c r="O65" i="13" s="1"/>
  <c r="L65" i="13"/>
  <c r="M65" i="13"/>
  <c r="Q65" i="13"/>
  <c r="R65" i="13"/>
  <c r="A66" i="13"/>
  <c r="B66" i="13"/>
  <c r="C66" i="13"/>
  <c r="D66" i="13"/>
  <c r="E66" i="13"/>
  <c r="F66" i="13"/>
  <c r="G66" i="13"/>
  <c r="H66" i="13"/>
  <c r="I66" i="13"/>
  <c r="K66" i="13"/>
  <c r="O66" i="13" s="1"/>
  <c r="L66" i="13"/>
  <c r="M66" i="13"/>
  <c r="Q66" i="13"/>
  <c r="R66" i="13"/>
  <c r="A67" i="13"/>
  <c r="B67" i="13"/>
  <c r="C67" i="13"/>
  <c r="D67" i="13"/>
  <c r="E67" i="13"/>
  <c r="F67" i="13"/>
  <c r="G67" i="13"/>
  <c r="H67" i="13"/>
  <c r="I67" i="13"/>
  <c r="K67" i="13"/>
  <c r="O67" i="13" s="1"/>
  <c r="L67" i="13"/>
  <c r="M67" i="13"/>
  <c r="Q67" i="13"/>
  <c r="R67" i="13"/>
  <c r="A68" i="13"/>
  <c r="B68" i="13"/>
  <c r="C68" i="13"/>
  <c r="D68" i="13"/>
  <c r="E68" i="13"/>
  <c r="F68" i="13"/>
  <c r="G68" i="13"/>
  <c r="H68" i="13"/>
  <c r="I68" i="13"/>
  <c r="K68" i="13"/>
  <c r="O68" i="13" s="1"/>
  <c r="L68" i="13"/>
  <c r="M68" i="13"/>
  <c r="Q68" i="13"/>
  <c r="R68" i="13"/>
  <c r="A69" i="13"/>
  <c r="B69" i="13"/>
  <c r="C69" i="13"/>
  <c r="D69" i="13"/>
  <c r="E69" i="13"/>
  <c r="F69" i="13"/>
  <c r="G69" i="13"/>
  <c r="H69" i="13"/>
  <c r="I69" i="13"/>
  <c r="K69" i="13"/>
  <c r="O69" i="13" s="1"/>
  <c r="L69" i="13"/>
  <c r="M69" i="13"/>
  <c r="Q69" i="13"/>
  <c r="R69" i="13"/>
  <c r="A70" i="13"/>
  <c r="B70" i="13"/>
  <c r="C70" i="13"/>
  <c r="D70" i="13"/>
  <c r="E70" i="13"/>
  <c r="F70" i="13"/>
  <c r="G70" i="13"/>
  <c r="H70" i="13"/>
  <c r="I70" i="13"/>
  <c r="K70" i="13"/>
  <c r="O70" i="13" s="1"/>
  <c r="L70" i="13"/>
  <c r="M70" i="13"/>
  <c r="Q70" i="13"/>
  <c r="R70" i="13"/>
  <c r="A71" i="13"/>
  <c r="B71" i="13"/>
  <c r="C71" i="13"/>
  <c r="D71" i="13"/>
  <c r="E71" i="13"/>
  <c r="F71" i="13"/>
  <c r="G71" i="13"/>
  <c r="H71" i="13"/>
  <c r="I71" i="13"/>
  <c r="K71" i="13"/>
  <c r="O71" i="13" s="1"/>
  <c r="L71" i="13"/>
  <c r="M71" i="13"/>
  <c r="Q71" i="13"/>
  <c r="R71" i="13"/>
  <c r="A72" i="13"/>
  <c r="B72" i="13"/>
  <c r="C72" i="13"/>
  <c r="D72" i="13"/>
  <c r="E72" i="13"/>
  <c r="F72" i="13"/>
  <c r="G72" i="13"/>
  <c r="H72" i="13"/>
  <c r="I72" i="13"/>
  <c r="K72" i="13"/>
  <c r="O72" i="13" s="1"/>
  <c r="L72" i="13"/>
  <c r="M72" i="13"/>
  <c r="Q72" i="13"/>
  <c r="R72" i="13"/>
  <c r="A73" i="13"/>
  <c r="B73" i="13"/>
  <c r="C73" i="13"/>
  <c r="D73" i="13"/>
  <c r="E73" i="13"/>
  <c r="F73" i="13"/>
  <c r="G73" i="13"/>
  <c r="H73" i="13"/>
  <c r="I73" i="13"/>
  <c r="K73" i="13"/>
  <c r="O73" i="13" s="1"/>
  <c r="L73" i="13"/>
  <c r="M73" i="13"/>
  <c r="Q73" i="13"/>
  <c r="R73" i="13"/>
  <c r="A74" i="13"/>
  <c r="B74" i="13"/>
  <c r="C74" i="13"/>
  <c r="D74" i="13"/>
  <c r="E74" i="13"/>
  <c r="F74" i="13"/>
  <c r="G74" i="13"/>
  <c r="H74" i="13"/>
  <c r="I74" i="13"/>
  <c r="K74" i="13"/>
  <c r="O74" i="13" s="1"/>
  <c r="L74" i="13"/>
  <c r="M74" i="13"/>
  <c r="Q74" i="13"/>
  <c r="R74" i="13"/>
  <c r="A75" i="13"/>
  <c r="B75" i="13"/>
  <c r="C75" i="13"/>
  <c r="D75" i="13"/>
  <c r="E75" i="13"/>
  <c r="F75" i="13"/>
  <c r="G75" i="13"/>
  <c r="H75" i="13"/>
  <c r="I75" i="13"/>
  <c r="K75" i="13"/>
  <c r="O75" i="13" s="1"/>
  <c r="L75" i="13"/>
  <c r="M75" i="13"/>
  <c r="Q75" i="13"/>
  <c r="R75" i="13"/>
  <c r="A76" i="13"/>
  <c r="B76" i="13"/>
  <c r="C76" i="13"/>
  <c r="D76" i="13"/>
  <c r="E76" i="13"/>
  <c r="F76" i="13"/>
  <c r="G76" i="13"/>
  <c r="H76" i="13"/>
  <c r="I76" i="13"/>
  <c r="K76" i="13"/>
  <c r="O76" i="13" s="1"/>
  <c r="L76" i="13"/>
  <c r="M76" i="13"/>
  <c r="Q76" i="13"/>
  <c r="R76" i="13"/>
  <c r="A77" i="13"/>
  <c r="B77" i="13"/>
  <c r="C77" i="13"/>
  <c r="D77" i="13"/>
  <c r="E77" i="13"/>
  <c r="F77" i="13"/>
  <c r="G77" i="13"/>
  <c r="H77" i="13"/>
  <c r="I77" i="13"/>
  <c r="K77" i="13"/>
  <c r="O77" i="13" s="1"/>
  <c r="L77" i="13"/>
  <c r="M77" i="13"/>
  <c r="Q77" i="13"/>
  <c r="R77" i="13"/>
  <c r="A78" i="13"/>
  <c r="B78" i="13"/>
  <c r="C78" i="13"/>
  <c r="D78" i="13"/>
  <c r="E78" i="13"/>
  <c r="F78" i="13"/>
  <c r="G78" i="13"/>
  <c r="H78" i="13"/>
  <c r="I78" i="13"/>
  <c r="K78" i="13"/>
  <c r="O78" i="13" s="1"/>
  <c r="L78" i="13"/>
  <c r="M78" i="13"/>
  <c r="Q78" i="13"/>
  <c r="R78" i="13"/>
  <c r="A79" i="13"/>
  <c r="B79" i="13"/>
  <c r="C79" i="13"/>
  <c r="D79" i="13"/>
  <c r="E79" i="13"/>
  <c r="F79" i="13"/>
  <c r="G79" i="13"/>
  <c r="H79" i="13"/>
  <c r="I79" i="13"/>
  <c r="K79" i="13"/>
  <c r="O79" i="13" s="1"/>
  <c r="L79" i="13"/>
  <c r="M79" i="13"/>
  <c r="Q79" i="13"/>
  <c r="R79" i="13"/>
  <c r="A80" i="13"/>
  <c r="B80" i="13"/>
  <c r="C80" i="13"/>
  <c r="D80" i="13"/>
  <c r="E80" i="13"/>
  <c r="F80" i="13"/>
  <c r="G80" i="13"/>
  <c r="H80" i="13"/>
  <c r="I80" i="13"/>
  <c r="K80" i="13"/>
  <c r="O80" i="13" s="1"/>
  <c r="L80" i="13"/>
  <c r="M80" i="13"/>
  <c r="Q80" i="13"/>
  <c r="R80" i="13"/>
  <c r="A81" i="13"/>
  <c r="B81" i="13"/>
  <c r="C81" i="13"/>
  <c r="D81" i="13"/>
  <c r="E81" i="13"/>
  <c r="F81" i="13"/>
  <c r="G81" i="13"/>
  <c r="H81" i="13"/>
  <c r="I81" i="13"/>
  <c r="K81" i="13"/>
  <c r="O81" i="13" s="1"/>
  <c r="L81" i="13"/>
  <c r="M81" i="13"/>
  <c r="Q81" i="13"/>
  <c r="R81" i="13"/>
  <c r="A82" i="13"/>
  <c r="B82" i="13"/>
  <c r="C82" i="13"/>
  <c r="D82" i="13"/>
  <c r="E82" i="13"/>
  <c r="F82" i="13"/>
  <c r="G82" i="13"/>
  <c r="H82" i="13"/>
  <c r="I82" i="13"/>
  <c r="K82" i="13"/>
  <c r="O82" i="13" s="1"/>
  <c r="L82" i="13"/>
  <c r="M82" i="13"/>
  <c r="Q82" i="13"/>
  <c r="R82" i="13"/>
  <c r="A83" i="13"/>
  <c r="B83" i="13"/>
  <c r="C83" i="13"/>
  <c r="D83" i="13"/>
  <c r="E83" i="13"/>
  <c r="F83" i="13"/>
  <c r="G83" i="13"/>
  <c r="H83" i="13"/>
  <c r="I83" i="13"/>
  <c r="K83" i="13"/>
  <c r="O83" i="13" s="1"/>
  <c r="L83" i="13"/>
  <c r="M83" i="13"/>
  <c r="Q83" i="13"/>
  <c r="R83" i="13"/>
  <c r="A84" i="13"/>
  <c r="B84" i="13"/>
  <c r="C84" i="13"/>
  <c r="D84" i="13"/>
  <c r="E84" i="13"/>
  <c r="F84" i="13"/>
  <c r="G84" i="13"/>
  <c r="H84" i="13"/>
  <c r="I84" i="13"/>
  <c r="K84" i="13"/>
  <c r="O84" i="13" s="1"/>
  <c r="L84" i="13"/>
  <c r="M84" i="13"/>
  <c r="Q84" i="13"/>
  <c r="R84" i="13"/>
  <c r="A85" i="13"/>
  <c r="B85" i="13"/>
  <c r="C85" i="13"/>
  <c r="D85" i="13"/>
  <c r="E85" i="13"/>
  <c r="F85" i="13"/>
  <c r="G85" i="13"/>
  <c r="H85" i="13"/>
  <c r="I85" i="13"/>
  <c r="K85" i="13"/>
  <c r="O85" i="13" s="1"/>
  <c r="L85" i="13"/>
  <c r="M85" i="13"/>
  <c r="Q85" i="13"/>
  <c r="R85" i="13"/>
  <c r="A86" i="13"/>
  <c r="B86" i="13"/>
  <c r="C86" i="13"/>
  <c r="D86" i="13"/>
  <c r="E86" i="13"/>
  <c r="F86" i="13"/>
  <c r="G86" i="13"/>
  <c r="H86" i="13"/>
  <c r="I86" i="13"/>
  <c r="K86" i="13"/>
  <c r="O86" i="13" s="1"/>
  <c r="L86" i="13"/>
  <c r="M86" i="13"/>
  <c r="Q86" i="13"/>
  <c r="R86" i="13"/>
  <c r="A87" i="13"/>
  <c r="B87" i="13"/>
  <c r="C87" i="13"/>
  <c r="D87" i="13"/>
  <c r="E87" i="13"/>
  <c r="F87" i="13"/>
  <c r="G87" i="13"/>
  <c r="H87" i="13"/>
  <c r="I87" i="13"/>
  <c r="K87" i="13"/>
  <c r="O87" i="13" s="1"/>
  <c r="L87" i="13"/>
  <c r="M87" i="13"/>
  <c r="Q87" i="13"/>
  <c r="R87" i="13"/>
  <c r="A88" i="13"/>
  <c r="B88" i="13"/>
  <c r="C88" i="13"/>
  <c r="D88" i="13"/>
  <c r="E88" i="13"/>
  <c r="F88" i="13"/>
  <c r="G88" i="13"/>
  <c r="H88" i="13"/>
  <c r="I88" i="13"/>
  <c r="K88" i="13"/>
  <c r="O88" i="13" s="1"/>
  <c r="L88" i="13"/>
  <c r="M88" i="13"/>
  <c r="Q88" i="13"/>
  <c r="R88" i="13"/>
  <c r="A89" i="13"/>
  <c r="B89" i="13"/>
  <c r="C89" i="13"/>
  <c r="D89" i="13"/>
  <c r="E89" i="13"/>
  <c r="F89" i="13"/>
  <c r="G89" i="13"/>
  <c r="H89" i="13"/>
  <c r="I89" i="13"/>
  <c r="K89" i="13"/>
  <c r="O89" i="13" s="1"/>
  <c r="L89" i="13"/>
  <c r="M89" i="13"/>
  <c r="Q89" i="13"/>
  <c r="R89" i="13"/>
  <c r="A90" i="13"/>
  <c r="B90" i="13"/>
  <c r="C90" i="13"/>
  <c r="D90" i="13"/>
  <c r="E90" i="13"/>
  <c r="F90" i="13"/>
  <c r="G90" i="13"/>
  <c r="H90" i="13"/>
  <c r="I90" i="13"/>
  <c r="K90" i="13"/>
  <c r="O90" i="13" s="1"/>
  <c r="L90" i="13"/>
  <c r="M90" i="13"/>
  <c r="Q90" i="13"/>
  <c r="R90" i="13"/>
  <c r="A91" i="13"/>
  <c r="B91" i="13"/>
  <c r="C91" i="13"/>
  <c r="D91" i="13"/>
  <c r="E91" i="13"/>
  <c r="F91" i="13"/>
  <c r="G91" i="13"/>
  <c r="H91" i="13"/>
  <c r="I91" i="13"/>
  <c r="K91" i="13"/>
  <c r="O91" i="13" s="1"/>
  <c r="L91" i="13"/>
  <c r="M91" i="13"/>
  <c r="Q91" i="13"/>
  <c r="R91" i="13"/>
  <c r="A92" i="13"/>
  <c r="B92" i="13"/>
  <c r="C92" i="13"/>
  <c r="D92" i="13"/>
  <c r="E92" i="13"/>
  <c r="F92" i="13"/>
  <c r="G92" i="13"/>
  <c r="H92" i="13"/>
  <c r="I92" i="13"/>
  <c r="K92" i="13"/>
  <c r="O92" i="13" s="1"/>
  <c r="L92" i="13"/>
  <c r="M92" i="13"/>
  <c r="Q92" i="13"/>
  <c r="R92" i="13"/>
  <c r="A93" i="13"/>
  <c r="B93" i="13"/>
  <c r="C93" i="13"/>
  <c r="D93" i="13"/>
  <c r="E93" i="13"/>
  <c r="F93" i="13"/>
  <c r="G93" i="13"/>
  <c r="H93" i="13"/>
  <c r="I93" i="13"/>
  <c r="K93" i="13"/>
  <c r="O93" i="13" s="1"/>
  <c r="L93" i="13"/>
  <c r="M93" i="13"/>
  <c r="Q93" i="13"/>
  <c r="R93" i="13"/>
  <c r="A94" i="13"/>
  <c r="B94" i="13"/>
  <c r="C94" i="13"/>
  <c r="D94" i="13"/>
  <c r="E94" i="13"/>
  <c r="F94" i="13"/>
  <c r="G94" i="13"/>
  <c r="H94" i="13"/>
  <c r="I94" i="13"/>
  <c r="K94" i="13"/>
  <c r="O94" i="13" s="1"/>
  <c r="L94" i="13"/>
  <c r="M94" i="13"/>
  <c r="Q94" i="13"/>
  <c r="R94" i="13"/>
  <c r="A95" i="13"/>
  <c r="B95" i="13"/>
  <c r="C95" i="13"/>
  <c r="D95" i="13"/>
  <c r="E95" i="13"/>
  <c r="F95" i="13"/>
  <c r="G95" i="13"/>
  <c r="H95" i="13"/>
  <c r="I95" i="13"/>
  <c r="K95" i="13"/>
  <c r="O95" i="13" s="1"/>
  <c r="L95" i="13"/>
  <c r="M95" i="13"/>
  <c r="Q95" i="13"/>
  <c r="R95" i="13"/>
  <c r="A96" i="13"/>
  <c r="B96" i="13"/>
  <c r="C96" i="13"/>
  <c r="D96" i="13"/>
  <c r="E96" i="13"/>
  <c r="F96" i="13"/>
  <c r="G96" i="13"/>
  <c r="H96" i="13"/>
  <c r="I96" i="13"/>
  <c r="K96" i="13"/>
  <c r="O96" i="13" s="1"/>
  <c r="L96" i="13"/>
  <c r="M96" i="13"/>
  <c r="Q96" i="13"/>
  <c r="R96" i="13"/>
  <c r="A97" i="13"/>
  <c r="B97" i="13"/>
  <c r="C97" i="13"/>
  <c r="D97" i="13"/>
  <c r="E97" i="13"/>
  <c r="F97" i="13"/>
  <c r="G97" i="13"/>
  <c r="H97" i="13"/>
  <c r="I97" i="13"/>
  <c r="K97" i="13"/>
  <c r="O97" i="13" s="1"/>
  <c r="L97" i="13"/>
  <c r="M97" i="13"/>
  <c r="Q97" i="13"/>
  <c r="R97" i="13"/>
  <c r="A98" i="13"/>
  <c r="B98" i="13"/>
  <c r="C98" i="13"/>
  <c r="D98" i="13"/>
  <c r="E98" i="13"/>
  <c r="F98" i="13"/>
  <c r="G98" i="13"/>
  <c r="H98" i="13"/>
  <c r="I98" i="13"/>
  <c r="K98" i="13"/>
  <c r="O98" i="13" s="1"/>
  <c r="L98" i="13"/>
  <c r="M98" i="13"/>
  <c r="Q98" i="13"/>
  <c r="R98" i="13"/>
  <c r="A99" i="13"/>
  <c r="B99" i="13"/>
  <c r="C99" i="13"/>
  <c r="D99" i="13"/>
  <c r="E99" i="13"/>
  <c r="F99" i="13"/>
  <c r="G99" i="13"/>
  <c r="H99" i="13"/>
  <c r="I99" i="13"/>
  <c r="K99" i="13"/>
  <c r="O99" i="13" s="1"/>
  <c r="L99" i="13"/>
  <c r="M99" i="13"/>
  <c r="Q99" i="13"/>
  <c r="R99" i="13"/>
  <c r="A100" i="13"/>
  <c r="B100" i="13"/>
  <c r="C100" i="13"/>
  <c r="D100" i="13"/>
  <c r="E100" i="13"/>
  <c r="F100" i="13"/>
  <c r="G100" i="13"/>
  <c r="H100" i="13"/>
  <c r="I100" i="13"/>
  <c r="K100" i="13"/>
  <c r="O100" i="13" s="1"/>
  <c r="L100" i="13"/>
  <c r="M100" i="13"/>
  <c r="Q100" i="13"/>
  <c r="R100" i="13"/>
  <c r="A101" i="13"/>
  <c r="B101" i="13"/>
  <c r="C101" i="13"/>
  <c r="D101" i="13"/>
  <c r="E101" i="13"/>
  <c r="F101" i="13"/>
  <c r="G101" i="13"/>
  <c r="H101" i="13"/>
  <c r="I101" i="13"/>
  <c r="K101" i="13"/>
  <c r="O101" i="13" s="1"/>
  <c r="L101" i="13"/>
  <c r="M101" i="13"/>
  <c r="Q101" i="13"/>
  <c r="R101" i="13"/>
  <c r="A102" i="13"/>
  <c r="B102" i="13"/>
  <c r="C102" i="13"/>
  <c r="D102" i="13"/>
  <c r="E102" i="13"/>
  <c r="F102" i="13"/>
  <c r="G102" i="13"/>
  <c r="H102" i="13"/>
  <c r="I102" i="13"/>
  <c r="K102" i="13"/>
  <c r="O102" i="13" s="1"/>
  <c r="L102" i="13"/>
  <c r="M102" i="13"/>
  <c r="Q102" i="13"/>
  <c r="R102" i="13"/>
  <c r="A25" i="13"/>
  <c r="B25" i="13"/>
  <c r="C25" i="13"/>
  <c r="D25" i="13"/>
  <c r="E25" i="13"/>
  <c r="F25" i="13"/>
  <c r="G25" i="13"/>
  <c r="H25" i="13"/>
  <c r="I25" i="13"/>
  <c r="K25" i="13"/>
  <c r="O25" i="13" s="1"/>
  <c r="L25" i="13"/>
  <c r="M25" i="13"/>
  <c r="Q25" i="13"/>
  <c r="R25" i="13"/>
  <c r="A26" i="13"/>
  <c r="B26" i="13"/>
  <c r="C26" i="13"/>
  <c r="D26" i="13"/>
  <c r="E26" i="13"/>
  <c r="F26" i="13"/>
  <c r="G26" i="13"/>
  <c r="H26" i="13"/>
  <c r="I26" i="13"/>
  <c r="K26" i="13"/>
  <c r="O26" i="13" s="1"/>
  <c r="L26" i="13"/>
  <c r="M26" i="13"/>
  <c r="Q26" i="13"/>
  <c r="R26" i="13"/>
  <c r="A27" i="13"/>
  <c r="B27" i="13"/>
  <c r="C27" i="13"/>
  <c r="D27" i="13"/>
  <c r="E27" i="13"/>
  <c r="F27" i="13"/>
  <c r="G27" i="13"/>
  <c r="H27" i="13"/>
  <c r="I27" i="13"/>
  <c r="K27" i="13"/>
  <c r="O27" i="13" s="1"/>
  <c r="L27" i="13"/>
  <c r="M27" i="13"/>
  <c r="Q27" i="13"/>
  <c r="R27" i="13"/>
  <c r="A28" i="13"/>
  <c r="B28" i="13"/>
  <c r="C28" i="13"/>
  <c r="D28" i="13"/>
  <c r="E28" i="13"/>
  <c r="F28" i="13"/>
  <c r="G28" i="13"/>
  <c r="H28" i="13"/>
  <c r="I28" i="13"/>
  <c r="K28" i="13"/>
  <c r="O28" i="13" s="1"/>
  <c r="L28" i="13"/>
  <c r="M28" i="13"/>
  <c r="Q28" i="13"/>
  <c r="R28" i="13"/>
  <c r="A29" i="13"/>
  <c r="B29" i="13"/>
  <c r="C29" i="13"/>
  <c r="D29" i="13"/>
  <c r="E29" i="13"/>
  <c r="F29" i="13"/>
  <c r="G29" i="13"/>
  <c r="H29" i="13"/>
  <c r="I29" i="13"/>
  <c r="K29" i="13"/>
  <c r="O29" i="13" s="1"/>
  <c r="L29" i="13"/>
  <c r="M29" i="13"/>
  <c r="Q29" i="13"/>
  <c r="R29" i="13"/>
  <c r="A30" i="13"/>
  <c r="B30" i="13"/>
  <c r="C30" i="13"/>
  <c r="D30" i="13"/>
  <c r="E30" i="13"/>
  <c r="F30" i="13"/>
  <c r="G30" i="13"/>
  <c r="H30" i="13"/>
  <c r="I30" i="13"/>
  <c r="K30" i="13"/>
  <c r="O30" i="13" s="1"/>
  <c r="L30" i="13"/>
  <c r="M30" i="13"/>
  <c r="Q30" i="13"/>
  <c r="R30" i="13"/>
  <c r="A31" i="13"/>
  <c r="B31" i="13"/>
  <c r="C31" i="13"/>
  <c r="D31" i="13"/>
  <c r="E31" i="13"/>
  <c r="F31" i="13"/>
  <c r="G31" i="13"/>
  <c r="H31" i="13"/>
  <c r="I31" i="13"/>
  <c r="K31" i="13"/>
  <c r="O31" i="13" s="1"/>
  <c r="L31" i="13"/>
  <c r="M31" i="13"/>
  <c r="Q31" i="13"/>
  <c r="R31" i="13"/>
  <c r="A32" i="13"/>
  <c r="B32" i="13"/>
  <c r="C32" i="13"/>
  <c r="D32" i="13"/>
  <c r="E32" i="13"/>
  <c r="F32" i="13"/>
  <c r="G32" i="13"/>
  <c r="H32" i="13"/>
  <c r="I32" i="13"/>
  <c r="K32" i="13"/>
  <c r="O32" i="13" s="1"/>
  <c r="L32" i="13"/>
  <c r="M32" i="13"/>
  <c r="Q32" i="13"/>
  <c r="R32" i="13"/>
  <c r="A33" i="13"/>
  <c r="B33" i="13"/>
  <c r="C33" i="13"/>
  <c r="D33" i="13"/>
  <c r="E33" i="13"/>
  <c r="F33" i="13"/>
  <c r="G33" i="13"/>
  <c r="H33" i="13"/>
  <c r="I33" i="13"/>
  <c r="K33" i="13"/>
  <c r="O33" i="13" s="1"/>
  <c r="L33" i="13"/>
  <c r="M33" i="13"/>
  <c r="Q33" i="13"/>
  <c r="R33" i="13"/>
  <c r="A34" i="13"/>
  <c r="B34" i="13"/>
  <c r="C34" i="13"/>
  <c r="D34" i="13"/>
  <c r="E34" i="13"/>
  <c r="F34" i="13"/>
  <c r="G34" i="13"/>
  <c r="H34" i="13"/>
  <c r="I34" i="13"/>
  <c r="K34" i="13"/>
  <c r="O34" i="13" s="1"/>
  <c r="L34" i="13"/>
  <c r="M34" i="13"/>
  <c r="Q34" i="13"/>
  <c r="R34" i="13"/>
  <c r="A35" i="13"/>
  <c r="B35" i="13"/>
  <c r="C35" i="13"/>
  <c r="D35" i="13"/>
  <c r="E35" i="13"/>
  <c r="F35" i="13"/>
  <c r="G35" i="13"/>
  <c r="H35" i="13"/>
  <c r="I35" i="13"/>
  <c r="K35" i="13"/>
  <c r="O35" i="13" s="1"/>
  <c r="L35" i="13"/>
  <c r="M35" i="13"/>
  <c r="Q35" i="13"/>
  <c r="R35" i="13"/>
  <c r="A36" i="13"/>
  <c r="B36" i="13"/>
  <c r="C36" i="13"/>
  <c r="D36" i="13"/>
  <c r="E36" i="13"/>
  <c r="F36" i="13"/>
  <c r="G36" i="13"/>
  <c r="H36" i="13"/>
  <c r="I36" i="13"/>
  <c r="K36" i="13"/>
  <c r="O36" i="13" s="1"/>
  <c r="L36" i="13"/>
  <c r="M36" i="13"/>
  <c r="Q36" i="13"/>
  <c r="R36" i="13"/>
  <c r="A37" i="13"/>
  <c r="B37" i="13"/>
  <c r="C37" i="13"/>
  <c r="D37" i="13"/>
  <c r="E37" i="13"/>
  <c r="F37" i="13"/>
  <c r="G37" i="13"/>
  <c r="H37" i="13"/>
  <c r="I37" i="13"/>
  <c r="K37" i="13"/>
  <c r="O37" i="13" s="1"/>
  <c r="L37" i="13"/>
  <c r="M37" i="13"/>
  <c r="Q37" i="13"/>
  <c r="R37" i="13"/>
  <c r="A38" i="13"/>
  <c r="B38" i="13"/>
  <c r="C38" i="13"/>
  <c r="D38" i="13"/>
  <c r="E38" i="13"/>
  <c r="F38" i="13"/>
  <c r="G38" i="13"/>
  <c r="H38" i="13"/>
  <c r="I38" i="13"/>
  <c r="K38" i="13"/>
  <c r="O38" i="13" s="1"/>
  <c r="L38" i="13"/>
  <c r="M38" i="13"/>
  <c r="Q38" i="13"/>
  <c r="R38" i="13"/>
  <c r="A39" i="13"/>
  <c r="B39" i="13"/>
  <c r="C39" i="13"/>
  <c r="D39" i="13"/>
  <c r="E39" i="13"/>
  <c r="F39" i="13"/>
  <c r="G39" i="13"/>
  <c r="H39" i="13"/>
  <c r="I39" i="13"/>
  <c r="K39" i="13"/>
  <c r="O39" i="13" s="1"/>
  <c r="L39" i="13"/>
  <c r="M39" i="13"/>
  <c r="Q39" i="13"/>
  <c r="R39" i="13"/>
  <c r="A40" i="13"/>
  <c r="B40" i="13"/>
  <c r="C40" i="13"/>
  <c r="D40" i="13"/>
  <c r="E40" i="13"/>
  <c r="F40" i="13"/>
  <c r="G40" i="13"/>
  <c r="H40" i="13"/>
  <c r="I40" i="13"/>
  <c r="K40" i="13"/>
  <c r="O40" i="13" s="1"/>
  <c r="L40" i="13"/>
  <c r="M40" i="13"/>
  <c r="Q40" i="13"/>
  <c r="R40" i="13"/>
  <c r="A41" i="13"/>
  <c r="B41" i="13"/>
  <c r="C41" i="13"/>
  <c r="D41" i="13"/>
  <c r="E41" i="13"/>
  <c r="F41" i="13"/>
  <c r="G41" i="13"/>
  <c r="H41" i="13"/>
  <c r="I41" i="13"/>
  <c r="K41" i="13"/>
  <c r="O41" i="13" s="1"/>
  <c r="L41" i="13"/>
  <c r="M41" i="13"/>
  <c r="Q41" i="13"/>
  <c r="R41" i="13"/>
  <c r="A42" i="13"/>
  <c r="B42" i="13"/>
  <c r="C42" i="13"/>
  <c r="D42" i="13"/>
  <c r="E42" i="13"/>
  <c r="F42" i="13"/>
  <c r="G42" i="13"/>
  <c r="H42" i="13"/>
  <c r="I42" i="13"/>
  <c r="K42" i="13"/>
  <c r="O42" i="13" s="1"/>
  <c r="L42" i="13"/>
  <c r="M42" i="13"/>
  <c r="Q42" i="13"/>
  <c r="R42" i="13"/>
  <c r="A43" i="13"/>
  <c r="B43" i="13"/>
  <c r="C43" i="13"/>
  <c r="D43" i="13"/>
  <c r="E43" i="13"/>
  <c r="F43" i="13"/>
  <c r="G43" i="13"/>
  <c r="H43" i="13"/>
  <c r="I43" i="13"/>
  <c r="K43" i="13"/>
  <c r="O43" i="13" s="1"/>
  <c r="L43" i="13"/>
  <c r="M43" i="13"/>
  <c r="Q43" i="13"/>
  <c r="R43" i="13"/>
  <c r="A44" i="13"/>
  <c r="B44" i="13"/>
  <c r="C44" i="13"/>
  <c r="D44" i="13"/>
  <c r="E44" i="13"/>
  <c r="F44" i="13"/>
  <c r="G44" i="13"/>
  <c r="H44" i="13"/>
  <c r="I44" i="13"/>
  <c r="K44" i="13"/>
  <c r="O44" i="13" s="1"/>
  <c r="L44" i="13"/>
  <c r="M44" i="13"/>
  <c r="Q44" i="13"/>
  <c r="R44" i="13"/>
  <c r="A45" i="13"/>
  <c r="B45" i="13"/>
  <c r="C45" i="13"/>
  <c r="D45" i="13"/>
  <c r="E45" i="13"/>
  <c r="F45" i="13"/>
  <c r="G45" i="13"/>
  <c r="H45" i="13"/>
  <c r="I45" i="13"/>
  <c r="K45" i="13"/>
  <c r="O45" i="13" s="1"/>
  <c r="L45" i="13"/>
  <c r="M45" i="13"/>
  <c r="Q45" i="13"/>
  <c r="R45" i="13"/>
  <c r="A46" i="13"/>
  <c r="B46" i="13"/>
  <c r="C46" i="13"/>
  <c r="D46" i="13"/>
  <c r="E46" i="13"/>
  <c r="F46" i="13"/>
  <c r="G46" i="13"/>
  <c r="H46" i="13"/>
  <c r="I46" i="13"/>
  <c r="K46" i="13"/>
  <c r="O46" i="13" s="1"/>
  <c r="L46" i="13"/>
  <c r="M46" i="13"/>
  <c r="Q46" i="13"/>
  <c r="R46" i="13"/>
  <c r="A47" i="13"/>
  <c r="B47" i="13"/>
  <c r="C47" i="13"/>
  <c r="D47" i="13"/>
  <c r="E47" i="13"/>
  <c r="F47" i="13"/>
  <c r="G47" i="13"/>
  <c r="H47" i="13"/>
  <c r="I47" i="13"/>
  <c r="K47" i="13"/>
  <c r="O47" i="13" s="1"/>
  <c r="L47" i="13"/>
  <c r="M47" i="13"/>
  <c r="Q47" i="13"/>
  <c r="R47" i="13"/>
  <c r="A48" i="13"/>
  <c r="B48" i="13"/>
  <c r="C48" i="13"/>
  <c r="D48" i="13"/>
  <c r="E48" i="13"/>
  <c r="F48" i="13"/>
  <c r="G48" i="13"/>
  <c r="H48" i="13"/>
  <c r="I48" i="13"/>
  <c r="K48" i="13"/>
  <c r="O48" i="13" s="1"/>
  <c r="L48" i="13"/>
  <c r="M48" i="13"/>
  <c r="Q48" i="13"/>
  <c r="R48" i="13"/>
  <c r="A49" i="13"/>
  <c r="B49" i="13"/>
  <c r="C49" i="13"/>
  <c r="D49" i="13"/>
  <c r="E49" i="13"/>
  <c r="F49" i="13"/>
  <c r="G49" i="13"/>
  <c r="H49" i="13"/>
  <c r="I49" i="13"/>
  <c r="K49" i="13"/>
  <c r="O49" i="13" s="1"/>
  <c r="L49" i="13"/>
  <c r="M49" i="13"/>
  <c r="Q49" i="13"/>
  <c r="R49" i="13"/>
  <c r="A50" i="13"/>
  <c r="B50" i="13"/>
  <c r="C50" i="13"/>
  <c r="D50" i="13"/>
  <c r="E50" i="13"/>
  <c r="F50" i="13"/>
  <c r="G50" i="13"/>
  <c r="H50" i="13"/>
  <c r="I50" i="13"/>
  <c r="K50" i="13"/>
  <c r="O50" i="13" s="1"/>
  <c r="L50" i="13"/>
  <c r="M50" i="13"/>
  <c r="Q50" i="13"/>
  <c r="R50" i="13"/>
  <c r="A51" i="13"/>
  <c r="B51" i="13"/>
  <c r="C51" i="13"/>
  <c r="D51" i="13"/>
  <c r="E51" i="13"/>
  <c r="F51" i="13"/>
  <c r="G51" i="13"/>
  <c r="H51" i="13"/>
  <c r="I51" i="13"/>
  <c r="K51" i="13"/>
  <c r="O51" i="13" s="1"/>
  <c r="L51" i="13"/>
  <c r="M51" i="13"/>
  <c r="Q51" i="13"/>
  <c r="R51" i="13"/>
  <c r="A52" i="13"/>
  <c r="B52" i="13"/>
  <c r="C52" i="13"/>
  <c r="D52" i="13"/>
  <c r="E52" i="13"/>
  <c r="F52" i="13"/>
  <c r="G52" i="13"/>
  <c r="H52" i="13"/>
  <c r="I52" i="13"/>
  <c r="K52" i="13"/>
  <c r="O52" i="13" s="1"/>
  <c r="L52" i="13"/>
  <c r="M52" i="13"/>
  <c r="Q52" i="13"/>
  <c r="R52" i="13"/>
  <c r="A53" i="13"/>
  <c r="B53" i="13"/>
  <c r="C53" i="13"/>
  <c r="D53" i="13"/>
  <c r="E53" i="13"/>
  <c r="F53" i="13"/>
  <c r="G53" i="13"/>
  <c r="H53" i="13"/>
  <c r="I53" i="13"/>
  <c r="K53" i="13"/>
  <c r="O53" i="13" s="1"/>
  <c r="L53" i="13"/>
  <c r="M53" i="13"/>
  <c r="Q53" i="13"/>
  <c r="R53" i="13"/>
  <c r="A54" i="13"/>
  <c r="B54" i="13"/>
  <c r="C54" i="13"/>
  <c r="D54" i="13"/>
  <c r="E54" i="13"/>
  <c r="F54" i="13"/>
  <c r="G54" i="13"/>
  <c r="H54" i="13"/>
  <c r="I54" i="13"/>
  <c r="K54" i="13"/>
  <c r="O54" i="13" s="1"/>
  <c r="L54" i="13"/>
  <c r="M54" i="13"/>
  <c r="Q54" i="13"/>
  <c r="R54" i="13"/>
  <c r="A55" i="13"/>
  <c r="B55" i="13"/>
  <c r="C55" i="13"/>
  <c r="D55" i="13"/>
  <c r="E55" i="13"/>
  <c r="F55" i="13"/>
  <c r="G55" i="13"/>
  <c r="H55" i="13"/>
  <c r="I55" i="13"/>
  <c r="K55" i="13"/>
  <c r="O55" i="13" s="1"/>
  <c r="L55" i="13"/>
  <c r="M55" i="13"/>
  <c r="Q55" i="13"/>
  <c r="R55" i="13"/>
  <c r="A56" i="13"/>
  <c r="B56" i="13"/>
  <c r="C56" i="13"/>
  <c r="D56" i="13"/>
  <c r="E56" i="13"/>
  <c r="F56" i="13"/>
  <c r="G56" i="13"/>
  <c r="H56" i="13"/>
  <c r="I56" i="13"/>
  <c r="K56" i="13"/>
  <c r="O56" i="13" s="1"/>
  <c r="L56" i="13"/>
  <c r="M56" i="13"/>
  <c r="Q56" i="13"/>
  <c r="R56" i="13"/>
  <c r="A57" i="13"/>
  <c r="B57" i="13"/>
  <c r="C57" i="13"/>
  <c r="D57" i="13"/>
  <c r="E57" i="13"/>
  <c r="F57" i="13"/>
  <c r="G57" i="13"/>
  <c r="H57" i="13"/>
  <c r="I57" i="13"/>
  <c r="K57" i="13"/>
  <c r="O57" i="13" s="1"/>
  <c r="L57" i="13"/>
  <c r="M57" i="13"/>
  <c r="Q57" i="13"/>
  <c r="R57" i="13"/>
  <c r="A58" i="13"/>
  <c r="B58" i="13"/>
  <c r="C58" i="13"/>
  <c r="D58" i="13"/>
  <c r="E58" i="13"/>
  <c r="F58" i="13"/>
  <c r="G58" i="13"/>
  <c r="H58" i="13"/>
  <c r="I58" i="13"/>
  <c r="K58" i="13"/>
  <c r="O58" i="13" s="1"/>
  <c r="L58" i="13"/>
  <c r="M58" i="13"/>
  <c r="Q58" i="13"/>
  <c r="R58" i="13"/>
  <c r="J94" i="13"/>
  <c r="J95" i="13"/>
  <c r="J96" i="13"/>
  <c r="J98" i="13"/>
  <c r="N70" i="13"/>
  <c r="N62" i="13"/>
  <c r="J196" i="13" l="1"/>
  <c r="J198" i="13"/>
  <c r="J200" i="13"/>
  <c r="J199" i="13"/>
  <c r="J195" i="13"/>
  <c r="N195" i="13"/>
  <c r="J197" i="13"/>
  <c r="J175" i="13"/>
  <c r="N175" i="13"/>
  <c r="N163" i="13"/>
  <c r="J165" i="13"/>
  <c r="J163" i="13"/>
  <c r="J162" i="13"/>
  <c r="J160" i="13"/>
  <c r="N158" i="13"/>
  <c r="J158" i="13"/>
  <c r="J153" i="13"/>
  <c r="N152" i="13"/>
  <c r="N133" i="13"/>
  <c r="J122" i="13"/>
  <c r="J156" i="13"/>
  <c r="J149" i="13"/>
  <c r="J141" i="13"/>
  <c r="J116" i="13"/>
  <c r="N113" i="13"/>
  <c r="J105" i="13"/>
  <c r="J152" i="13"/>
  <c r="J143" i="13"/>
  <c r="J115" i="13"/>
  <c r="J113" i="13"/>
  <c r="J135" i="13"/>
  <c r="J121" i="13"/>
  <c r="J145" i="13"/>
  <c r="N156" i="13"/>
  <c r="J155" i="13"/>
  <c r="N143" i="13"/>
  <c r="J140" i="13"/>
  <c r="J148" i="13"/>
  <c r="J132" i="13"/>
  <c r="J131" i="13"/>
  <c r="N140" i="13"/>
  <c r="J147" i="13"/>
  <c r="N197" i="13"/>
  <c r="J154" i="13"/>
  <c r="N148" i="13"/>
  <c r="N119" i="13"/>
  <c r="N106" i="13"/>
  <c r="J138" i="13"/>
  <c r="J130" i="13"/>
  <c r="N118" i="13"/>
  <c r="N135" i="13"/>
  <c r="N146" i="13"/>
  <c r="J119" i="13"/>
  <c r="J129" i="13"/>
  <c r="J126" i="13"/>
  <c r="N116" i="13"/>
  <c r="J137" i="13"/>
  <c r="J151" i="13"/>
  <c r="J127" i="13"/>
  <c r="N130" i="13"/>
  <c r="N122" i="13"/>
  <c r="N149" i="13"/>
  <c r="N141" i="13"/>
  <c r="N138" i="13"/>
  <c r="J150" i="13"/>
  <c r="J134" i="13"/>
  <c r="N142" i="13"/>
  <c r="N134" i="13"/>
  <c r="N147" i="13"/>
  <c r="N115" i="13"/>
  <c r="J142" i="13"/>
  <c r="N131" i="13"/>
  <c r="J128" i="13"/>
  <c r="J144" i="13"/>
  <c r="J136" i="13"/>
  <c r="N107" i="13"/>
  <c r="P214" i="13"/>
  <c r="P213" i="13"/>
  <c r="P212" i="13"/>
  <c r="P210" i="13"/>
  <c r="P209" i="13"/>
  <c r="P208" i="13"/>
  <c r="P207" i="13"/>
  <c r="P204" i="13"/>
  <c r="P203" i="13"/>
  <c r="P193" i="13"/>
  <c r="P190" i="13"/>
  <c r="P189" i="13"/>
  <c r="P188" i="13"/>
  <c r="P187" i="13"/>
  <c r="P186" i="13"/>
  <c r="P185" i="13"/>
  <c r="P184" i="13"/>
  <c r="P183" i="13"/>
  <c r="P182" i="13"/>
  <c r="P181" i="13"/>
  <c r="P180" i="13"/>
  <c r="P178" i="13"/>
  <c r="P177" i="13"/>
  <c r="P176" i="13"/>
  <c r="P175" i="13"/>
  <c r="P174" i="13"/>
  <c r="P173" i="13"/>
  <c r="P172" i="13"/>
  <c r="P171" i="13"/>
  <c r="P169" i="13"/>
  <c r="P166" i="13"/>
  <c r="N108" i="13"/>
  <c r="J112" i="13"/>
  <c r="N109" i="13"/>
  <c r="N95" i="13"/>
  <c r="P59" i="13"/>
  <c r="P60" i="13"/>
  <c r="P77" i="13"/>
  <c r="P69" i="13"/>
  <c r="P65" i="13"/>
  <c r="J59" i="13"/>
  <c r="N105" i="13"/>
  <c r="N103" i="13"/>
  <c r="J103" i="13"/>
  <c r="P158" i="13"/>
  <c r="P152" i="13"/>
  <c r="P151" i="13"/>
  <c r="P150" i="13"/>
  <c r="P149" i="13"/>
  <c r="P148" i="13"/>
  <c r="P147" i="13"/>
  <c r="P146" i="13"/>
  <c r="P145" i="13"/>
  <c r="P144" i="13"/>
  <c r="P143" i="13"/>
  <c r="P142" i="13"/>
  <c r="P141" i="13"/>
  <c r="P140" i="13"/>
  <c r="P139" i="13"/>
  <c r="P137" i="13"/>
  <c r="P128" i="13"/>
  <c r="P126" i="13"/>
  <c r="P114" i="13"/>
  <c r="P112" i="13"/>
  <c r="P111" i="13"/>
  <c r="P110" i="13"/>
  <c r="P109" i="13"/>
  <c r="P108" i="13"/>
  <c r="P107" i="13"/>
  <c r="P106" i="13"/>
  <c r="P105" i="13"/>
  <c r="P104" i="13"/>
  <c r="P94" i="13"/>
  <c r="P90" i="13"/>
  <c r="P86" i="13"/>
  <c r="P103" i="13"/>
  <c r="P61" i="13"/>
  <c r="P78" i="13"/>
  <c r="P66" i="13"/>
  <c r="P99" i="13"/>
  <c r="P95" i="13"/>
  <c r="P87" i="13"/>
  <c r="J102" i="13"/>
  <c r="P83" i="13"/>
  <c r="P34" i="13"/>
  <c r="P43" i="13"/>
  <c r="P39" i="13"/>
  <c r="P35" i="13"/>
  <c r="P96" i="13"/>
  <c r="P198" i="13"/>
  <c r="J90" i="13"/>
  <c r="N66" i="13"/>
  <c r="P57" i="13"/>
  <c r="J56" i="13"/>
  <c r="P202" i="13"/>
  <c r="P201" i="13"/>
  <c r="P200" i="13"/>
  <c r="P199" i="13"/>
  <c r="P170" i="13"/>
  <c r="P138" i="13"/>
  <c r="J57" i="13"/>
  <c r="P79" i="13"/>
  <c r="P195" i="13"/>
  <c r="P194" i="13"/>
  <c r="P134" i="13"/>
  <c r="P133" i="13"/>
  <c r="P132" i="13"/>
  <c r="P131" i="13"/>
  <c r="P130" i="13"/>
  <c r="P129" i="13"/>
  <c r="P58" i="13"/>
  <c r="P53" i="13"/>
  <c r="P37" i="13"/>
  <c r="P101" i="13"/>
  <c r="P84" i="13"/>
  <c r="P71" i="13"/>
  <c r="P67" i="13"/>
  <c r="P163" i="13"/>
  <c r="P162" i="13"/>
  <c r="P161" i="13"/>
  <c r="P160" i="13"/>
  <c r="P159" i="13"/>
  <c r="P192" i="13"/>
  <c r="P191" i="13"/>
  <c r="P157" i="13"/>
  <c r="P156" i="13"/>
  <c r="P155" i="13"/>
  <c r="P154" i="13"/>
  <c r="P153" i="13"/>
  <c r="P125" i="13"/>
  <c r="P124" i="13"/>
  <c r="P123" i="13"/>
  <c r="P122" i="13"/>
  <c r="P121" i="13"/>
  <c r="P120" i="13"/>
  <c r="P119" i="13"/>
  <c r="P118" i="13"/>
  <c r="P117" i="13"/>
  <c r="P116" i="13"/>
  <c r="P115" i="13"/>
  <c r="P42" i="13"/>
  <c r="P98" i="13"/>
  <c r="P85" i="13"/>
  <c r="P72" i="13"/>
  <c r="J58" i="13"/>
  <c r="J51" i="13"/>
  <c r="P38" i="13"/>
  <c r="P97" i="13"/>
  <c r="P70" i="13"/>
  <c r="P211" i="13"/>
  <c r="P197" i="13"/>
  <c r="P196" i="13"/>
  <c r="J52" i="13"/>
  <c r="P31" i="13"/>
  <c r="P54" i="13"/>
  <c r="J53" i="13"/>
  <c r="P168" i="13"/>
  <c r="P167" i="13"/>
  <c r="P127" i="13"/>
  <c r="P113" i="13"/>
  <c r="J54" i="13"/>
  <c r="P48" i="13"/>
  <c r="P44" i="13"/>
  <c r="P40" i="13"/>
  <c r="P88" i="13"/>
  <c r="N84" i="13"/>
  <c r="N79" i="13"/>
  <c r="P206" i="13"/>
  <c r="P205" i="13"/>
  <c r="P179" i="13"/>
  <c r="P165" i="13"/>
  <c r="P164" i="13"/>
  <c r="P55" i="13"/>
  <c r="P36" i="13"/>
  <c r="P100" i="13"/>
  <c r="P73" i="13"/>
  <c r="J72" i="13"/>
  <c r="P68" i="13"/>
  <c r="J85" i="13"/>
  <c r="P56" i="13"/>
  <c r="J49" i="13"/>
  <c r="P45" i="13"/>
  <c r="P41" i="13"/>
  <c r="N38" i="13"/>
  <c r="N97" i="13"/>
  <c r="P89" i="13"/>
  <c r="P136" i="13"/>
  <c r="P135" i="13"/>
  <c r="N100" i="13"/>
  <c r="N99" i="13"/>
  <c r="N40" i="13"/>
  <c r="N39" i="13"/>
  <c r="J77" i="13"/>
  <c r="J76" i="13"/>
  <c r="J75" i="13"/>
  <c r="J74" i="13"/>
  <c r="N67" i="13"/>
  <c r="J61" i="13"/>
  <c r="J55" i="13"/>
  <c r="P52" i="13"/>
  <c r="P51" i="13"/>
  <c r="P50" i="13"/>
  <c r="P49" i="13"/>
  <c r="J101" i="13"/>
  <c r="J89" i="13"/>
  <c r="J88" i="13"/>
  <c r="J87" i="13"/>
  <c r="J86" i="13"/>
  <c r="N83" i="13"/>
  <c r="N82" i="13"/>
  <c r="N81" i="13"/>
  <c r="N80" i="13"/>
  <c r="J73" i="13"/>
  <c r="J60" i="13"/>
  <c r="J48" i="13"/>
  <c r="J100" i="13"/>
  <c r="N93" i="13"/>
  <c r="N92" i="13"/>
  <c r="N91" i="13"/>
  <c r="N78" i="13"/>
  <c r="J71" i="13"/>
  <c r="J70" i="13"/>
  <c r="J69" i="13"/>
  <c r="J68" i="13"/>
  <c r="N65" i="13"/>
  <c r="N64" i="13"/>
  <c r="N63" i="13"/>
  <c r="J40" i="13"/>
  <c r="J39" i="13"/>
  <c r="J38" i="13"/>
  <c r="J99" i="13"/>
  <c r="J97" i="13"/>
  <c r="N90" i="13"/>
  <c r="J84" i="13"/>
  <c r="P82" i="13"/>
  <c r="P81" i="13"/>
  <c r="P80" i="13"/>
  <c r="N77" i="13"/>
  <c r="N76" i="13"/>
  <c r="N75" i="13"/>
  <c r="N74" i="13"/>
  <c r="J67" i="13"/>
  <c r="N61" i="13"/>
  <c r="N101" i="13"/>
  <c r="N89" i="13"/>
  <c r="N88" i="13"/>
  <c r="N87" i="13"/>
  <c r="N86" i="13"/>
  <c r="J83" i="13"/>
  <c r="J82" i="13"/>
  <c r="J81" i="13"/>
  <c r="J80" i="13"/>
  <c r="N73" i="13"/>
  <c r="N60" i="13"/>
  <c r="N58" i="13"/>
  <c r="N57" i="13"/>
  <c r="N56" i="13"/>
  <c r="N55" i="13"/>
  <c r="N54" i="13"/>
  <c r="N53" i="13"/>
  <c r="N52" i="13"/>
  <c r="N51" i="13"/>
  <c r="N50" i="13"/>
  <c r="N49" i="13"/>
  <c r="P93" i="13"/>
  <c r="P92" i="13"/>
  <c r="P91" i="13"/>
  <c r="N85" i="13"/>
  <c r="J79" i="13"/>
  <c r="N72" i="13"/>
  <c r="J66" i="13"/>
  <c r="P64" i="13"/>
  <c r="P63" i="13"/>
  <c r="P62" i="13"/>
  <c r="N59" i="13"/>
  <c r="J50" i="13"/>
  <c r="N48" i="13"/>
  <c r="P30" i="13"/>
  <c r="P29" i="13"/>
  <c r="P28" i="13"/>
  <c r="P27" i="13"/>
  <c r="P26" i="13"/>
  <c r="P25" i="13"/>
  <c r="P102" i="13"/>
  <c r="J93" i="13"/>
  <c r="J92" i="13"/>
  <c r="J91" i="13"/>
  <c r="J78" i="13"/>
  <c r="P76" i="13"/>
  <c r="P75" i="13"/>
  <c r="P74" i="13"/>
  <c r="N71" i="13"/>
  <c r="N69" i="13"/>
  <c r="N68" i="13"/>
  <c r="J65" i="13"/>
  <c r="J64" i="13"/>
  <c r="J63" i="13"/>
  <c r="J62" i="13"/>
  <c r="P47" i="13"/>
  <c r="P46" i="13"/>
  <c r="P33" i="13"/>
  <c r="P32" i="13"/>
  <c r="J22" i="13"/>
  <c r="J21" i="13"/>
  <c r="J20" i="13"/>
  <c r="J19" i="13"/>
  <c r="J16" i="13"/>
  <c r="J15" i="13"/>
  <c r="J13" i="13"/>
  <c r="N12" i="13"/>
  <c r="N11" i="13"/>
  <c r="J7" i="13"/>
  <c r="J5" i="13"/>
  <c r="J4" i="13"/>
  <c r="J3" i="13"/>
  <c r="R24" i="13"/>
  <c r="Q24" i="13"/>
  <c r="M24" i="13"/>
  <c r="L24" i="13"/>
  <c r="K24" i="13"/>
  <c r="O24" i="13" s="1"/>
  <c r="I24" i="13"/>
  <c r="H24" i="13"/>
  <c r="G24" i="13"/>
  <c r="F24" i="13"/>
  <c r="E24" i="13"/>
  <c r="D24" i="13"/>
  <c r="C24" i="13"/>
  <c r="B24" i="13"/>
  <c r="A24" i="13"/>
  <c r="R23" i="13"/>
  <c r="Q23" i="13"/>
  <c r="M23" i="13"/>
  <c r="L23" i="13"/>
  <c r="K23" i="13"/>
  <c r="O23" i="13" s="1"/>
  <c r="I23" i="13"/>
  <c r="H23" i="13"/>
  <c r="G23" i="13"/>
  <c r="F23" i="13"/>
  <c r="E23" i="13"/>
  <c r="D23" i="13"/>
  <c r="C23" i="13"/>
  <c r="B23" i="13"/>
  <c r="A23" i="13"/>
  <c r="R22" i="13"/>
  <c r="Q22" i="13"/>
  <c r="M22" i="13"/>
  <c r="L22" i="13"/>
  <c r="K22" i="13"/>
  <c r="O22" i="13" s="1"/>
  <c r="I22" i="13"/>
  <c r="H22" i="13"/>
  <c r="G22" i="13"/>
  <c r="F22" i="13"/>
  <c r="E22" i="13"/>
  <c r="D22" i="13"/>
  <c r="C22" i="13"/>
  <c r="B22" i="13"/>
  <c r="A22" i="13"/>
  <c r="R21" i="13"/>
  <c r="Q21" i="13"/>
  <c r="M21" i="13"/>
  <c r="L21" i="13"/>
  <c r="K21" i="13"/>
  <c r="O21" i="13" s="1"/>
  <c r="I21" i="13"/>
  <c r="H21" i="13"/>
  <c r="G21" i="13"/>
  <c r="F21" i="13"/>
  <c r="E21" i="13"/>
  <c r="D21" i="13"/>
  <c r="C21" i="13"/>
  <c r="B21" i="13"/>
  <c r="A21" i="13"/>
  <c r="R20" i="13"/>
  <c r="Q20" i="13"/>
  <c r="M20" i="13"/>
  <c r="L20" i="13"/>
  <c r="K20" i="13"/>
  <c r="O20" i="13" s="1"/>
  <c r="I20" i="13"/>
  <c r="H20" i="13"/>
  <c r="G20" i="13"/>
  <c r="F20" i="13"/>
  <c r="E20" i="13"/>
  <c r="D20" i="13"/>
  <c r="C20" i="13"/>
  <c r="B20" i="13"/>
  <c r="A20" i="13"/>
  <c r="R19" i="13"/>
  <c r="Q19" i="13"/>
  <c r="M19" i="13"/>
  <c r="L19" i="13"/>
  <c r="K19" i="13"/>
  <c r="O19" i="13" s="1"/>
  <c r="I19" i="13"/>
  <c r="H19" i="13"/>
  <c r="G19" i="13"/>
  <c r="F19" i="13"/>
  <c r="E19" i="13"/>
  <c r="D19" i="13"/>
  <c r="C19" i="13"/>
  <c r="B19" i="13"/>
  <c r="A19" i="13"/>
  <c r="R18" i="13"/>
  <c r="Q18" i="13"/>
  <c r="M18" i="13"/>
  <c r="L18" i="13"/>
  <c r="K18" i="13"/>
  <c r="O18" i="13" s="1"/>
  <c r="I18" i="13"/>
  <c r="H18" i="13"/>
  <c r="G18" i="13"/>
  <c r="F18" i="13"/>
  <c r="E18" i="13"/>
  <c r="D18" i="13"/>
  <c r="C18" i="13"/>
  <c r="B18" i="13"/>
  <c r="A18" i="13"/>
  <c r="R17" i="13"/>
  <c r="Q17" i="13"/>
  <c r="M17" i="13"/>
  <c r="L17" i="13"/>
  <c r="K17" i="13"/>
  <c r="O17" i="13" s="1"/>
  <c r="I17" i="13"/>
  <c r="H17" i="13"/>
  <c r="G17" i="13"/>
  <c r="F17" i="13"/>
  <c r="E17" i="13"/>
  <c r="D17" i="13"/>
  <c r="C17" i="13"/>
  <c r="B17" i="13"/>
  <c r="A17" i="13"/>
  <c r="R16" i="13"/>
  <c r="Q16" i="13"/>
  <c r="M16" i="13"/>
  <c r="L16" i="13"/>
  <c r="K16" i="13"/>
  <c r="O16" i="13" s="1"/>
  <c r="I16" i="13"/>
  <c r="H16" i="13"/>
  <c r="G16" i="13"/>
  <c r="F16" i="13"/>
  <c r="E16" i="13"/>
  <c r="D16" i="13"/>
  <c r="C16" i="13"/>
  <c r="B16" i="13"/>
  <c r="A16" i="13"/>
  <c r="R15" i="13"/>
  <c r="Q15" i="13"/>
  <c r="M15" i="13"/>
  <c r="L15" i="13"/>
  <c r="K15" i="13"/>
  <c r="O15" i="13" s="1"/>
  <c r="I15" i="13"/>
  <c r="H15" i="13"/>
  <c r="G15" i="13"/>
  <c r="F15" i="13"/>
  <c r="E15" i="13"/>
  <c r="D15" i="13"/>
  <c r="C15" i="13"/>
  <c r="B15" i="13"/>
  <c r="A15" i="13"/>
  <c r="R14" i="13"/>
  <c r="Q14" i="13"/>
  <c r="M14" i="13"/>
  <c r="L14" i="13"/>
  <c r="K14" i="13"/>
  <c r="O14" i="13" s="1"/>
  <c r="I14" i="13"/>
  <c r="H14" i="13"/>
  <c r="G14" i="13"/>
  <c r="F14" i="13"/>
  <c r="E14" i="13"/>
  <c r="D14" i="13"/>
  <c r="C14" i="13"/>
  <c r="B14" i="13"/>
  <c r="A14" i="13"/>
  <c r="R13" i="13"/>
  <c r="Q13" i="13"/>
  <c r="M13" i="13"/>
  <c r="L13" i="13"/>
  <c r="K13" i="13"/>
  <c r="O13" i="13" s="1"/>
  <c r="I13" i="13"/>
  <c r="H13" i="13"/>
  <c r="G13" i="13"/>
  <c r="F13" i="13"/>
  <c r="E13" i="13"/>
  <c r="D13" i="13"/>
  <c r="C13" i="13"/>
  <c r="B13" i="13"/>
  <c r="A13" i="13"/>
  <c r="R12" i="13"/>
  <c r="Q12" i="13"/>
  <c r="M12" i="13"/>
  <c r="L12" i="13"/>
  <c r="K12" i="13"/>
  <c r="O12" i="13" s="1"/>
  <c r="I12" i="13"/>
  <c r="H12" i="13"/>
  <c r="G12" i="13"/>
  <c r="F12" i="13"/>
  <c r="E12" i="13"/>
  <c r="D12" i="13"/>
  <c r="C12" i="13"/>
  <c r="B12" i="13"/>
  <c r="A12" i="13"/>
  <c r="R11" i="13"/>
  <c r="Q11" i="13"/>
  <c r="M11" i="13"/>
  <c r="L11" i="13"/>
  <c r="K11" i="13"/>
  <c r="O11" i="13" s="1"/>
  <c r="I11" i="13"/>
  <c r="H11" i="13"/>
  <c r="G11" i="13"/>
  <c r="F11" i="13"/>
  <c r="E11" i="13"/>
  <c r="D11" i="13"/>
  <c r="C11" i="13"/>
  <c r="B11" i="13"/>
  <c r="A11" i="13"/>
  <c r="R10" i="13"/>
  <c r="Q10" i="13"/>
  <c r="M10" i="13"/>
  <c r="L10" i="13"/>
  <c r="K10" i="13"/>
  <c r="O10" i="13" s="1"/>
  <c r="I10" i="13"/>
  <c r="H10" i="13"/>
  <c r="G10" i="13"/>
  <c r="F10" i="13"/>
  <c r="E10" i="13"/>
  <c r="D10" i="13"/>
  <c r="C10" i="13"/>
  <c r="B10" i="13"/>
  <c r="A10" i="13"/>
  <c r="R9" i="13"/>
  <c r="Q9" i="13"/>
  <c r="M9" i="13"/>
  <c r="L9" i="13"/>
  <c r="K9" i="13"/>
  <c r="O9" i="13" s="1"/>
  <c r="I9" i="13"/>
  <c r="H9" i="13"/>
  <c r="G9" i="13"/>
  <c r="F9" i="13"/>
  <c r="E9" i="13"/>
  <c r="D9" i="13"/>
  <c r="C9" i="13"/>
  <c r="B9" i="13"/>
  <c r="A9" i="13"/>
  <c r="R8" i="13"/>
  <c r="Q8" i="13"/>
  <c r="M8" i="13"/>
  <c r="L8" i="13"/>
  <c r="K8" i="13"/>
  <c r="O8" i="13" s="1"/>
  <c r="I8" i="13"/>
  <c r="H8" i="13"/>
  <c r="G8" i="13"/>
  <c r="F8" i="13"/>
  <c r="E8" i="13"/>
  <c r="D8" i="13"/>
  <c r="C8" i="13"/>
  <c r="B8" i="13"/>
  <c r="A8" i="13"/>
  <c r="R7" i="13"/>
  <c r="Q7" i="13"/>
  <c r="M7" i="13"/>
  <c r="L7" i="13"/>
  <c r="K7" i="13"/>
  <c r="O7" i="13" s="1"/>
  <c r="I7" i="13"/>
  <c r="H7" i="13"/>
  <c r="G7" i="13"/>
  <c r="F7" i="13"/>
  <c r="E7" i="13"/>
  <c r="D7" i="13"/>
  <c r="C7" i="13"/>
  <c r="B7" i="13"/>
  <c r="A7" i="13"/>
  <c r="R6" i="13"/>
  <c r="Q6" i="13"/>
  <c r="M6" i="13"/>
  <c r="L6" i="13"/>
  <c r="K6" i="13"/>
  <c r="O6" i="13" s="1"/>
  <c r="I6" i="13"/>
  <c r="H6" i="13"/>
  <c r="G6" i="13"/>
  <c r="F6" i="13"/>
  <c r="E6" i="13"/>
  <c r="D6" i="13"/>
  <c r="C6" i="13"/>
  <c r="B6" i="13"/>
  <c r="A6" i="13"/>
  <c r="R5" i="13"/>
  <c r="Q5" i="13"/>
  <c r="M5" i="13"/>
  <c r="L5" i="13"/>
  <c r="K5" i="13"/>
  <c r="O5" i="13" s="1"/>
  <c r="I5" i="13"/>
  <c r="H5" i="13"/>
  <c r="G5" i="13"/>
  <c r="F5" i="13"/>
  <c r="E5" i="13"/>
  <c r="D5" i="13"/>
  <c r="C5" i="13"/>
  <c r="B5" i="13"/>
  <c r="A5" i="13"/>
  <c r="R4" i="13"/>
  <c r="Q4" i="13"/>
  <c r="M4" i="13"/>
  <c r="L4" i="13"/>
  <c r="K4" i="13"/>
  <c r="O4" i="13" s="1"/>
  <c r="I4" i="13"/>
  <c r="H4" i="13"/>
  <c r="G4" i="13"/>
  <c r="F4" i="13"/>
  <c r="E4" i="13"/>
  <c r="D4" i="13"/>
  <c r="C4" i="13"/>
  <c r="B4" i="13"/>
  <c r="A4" i="13"/>
  <c r="R3" i="13"/>
  <c r="Q3" i="13"/>
  <c r="M3" i="13"/>
  <c r="L3" i="13"/>
  <c r="K3" i="13"/>
  <c r="O3" i="13" s="1"/>
  <c r="I3" i="13"/>
  <c r="H3" i="13"/>
  <c r="G3" i="13"/>
  <c r="F3" i="13"/>
  <c r="E3" i="13"/>
  <c r="D3" i="13"/>
  <c r="C3" i="13"/>
  <c r="B3" i="13"/>
  <c r="A3" i="13"/>
  <c r="R2" i="13"/>
  <c r="Q2" i="13"/>
  <c r="M2" i="13"/>
  <c r="L2" i="13"/>
  <c r="K2" i="13"/>
  <c r="O2" i="13" s="1"/>
  <c r="I2" i="13"/>
  <c r="H2" i="13"/>
  <c r="G2" i="13"/>
  <c r="F2" i="13"/>
  <c r="E2" i="13"/>
  <c r="D2" i="13"/>
  <c r="C2" i="13"/>
  <c r="B2" i="13"/>
  <c r="A2" i="13"/>
  <c r="J22" i="2"/>
  <c r="F22" i="2"/>
  <c r="J21" i="2"/>
  <c r="F21" i="2"/>
  <c r="J20" i="2"/>
  <c r="F20" i="2"/>
  <c r="J19" i="2"/>
  <c r="F19" i="2"/>
  <c r="J18" i="2"/>
  <c r="F18" i="2"/>
  <c r="J17" i="2"/>
  <c r="F17" i="2"/>
  <c r="J16" i="2"/>
  <c r="F16" i="2"/>
  <c r="J15" i="2"/>
  <c r="F15" i="2"/>
  <c r="J14" i="2"/>
  <c r="F14" i="2"/>
  <c r="J13" i="2"/>
  <c r="F13" i="2"/>
  <c r="J12" i="2"/>
  <c r="F12" i="2"/>
  <c r="J11" i="2"/>
  <c r="F11" i="2"/>
  <c r="J10" i="2"/>
  <c r="F10" i="2"/>
  <c r="J9" i="2"/>
  <c r="F9" i="2"/>
  <c r="F8" i="2"/>
  <c r="J7" i="2"/>
  <c r="F7" i="2"/>
  <c r="J6" i="2"/>
  <c r="F6" i="2"/>
  <c r="J5" i="2"/>
  <c r="F5" i="2"/>
  <c r="J4" i="2"/>
  <c r="F4" i="2"/>
  <c r="J3" i="2"/>
  <c r="F3" i="2"/>
  <c r="J2" i="2"/>
  <c r="F2" i="2"/>
  <c r="N104" i="13" l="1"/>
  <c r="N165" i="13"/>
  <c r="N177" i="13"/>
  <c r="N154" i="13"/>
  <c r="N159" i="13"/>
  <c r="N155" i="13"/>
  <c r="N114" i="13"/>
  <c r="N124" i="13"/>
  <c r="N153" i="13"/>
  <c r="N139" i="13"/>
  <c r="N120" i="13"/>
  <c r="N125" i="13"/>
  <c r="N123" i="13"/>
  <c r="N117" i="13"/>
  <c r="N110" i="13"/>
  <c r="N111" i="13"/>
  <c r="N94" i="13"/>
  <c r="N96" i="13"/>
  <c r="N98" i="13"/>
  <c r="J25" i="13"/>
  <c r="J29" i="13"/>
  <c r="J33" i="13"/>
  <c r="J37" i="13"/>
  <c r="J43" i="13"/>
  <c r="J46" i="13"/>
  <c r="J44" i="13"/>
  <c r="J45" i="13"/>
  <c r="J28" i="13"/>
  <c r="J32" i="13"/>
  <c r="J35" i="13"/>
  <c r="J42" i="13"/>
  <c r="J26" i="13"/>
  <c r="J30" i="13"/>
  <c r="J34" i="13"/>
  <c r="J41" i="13"/>
  <c r="J27" i="13"/>
  <c r="J31" i="13"/>
  <c r="J36" i="13"/>
  <c r="J47" i="13"/>
  <c r="J24" i="13"/>
  <c r="J23" i="13"/>
  <c r="N18" i="13"/>
  <c r="P17" i="13"/>
  <c r="P13" i="13"/>
  <c r="P21" i="13"/>
  <c r="J12" i="13"/>
  <c r="P2" i="13"/>
  <c r="P22" i="13"/>
  <c r="J10" i="13"/>
  <c r="J11" i="13"/>
  <c r="J8" i="13"/>
  <c r="N19" i="13"/>
  <c r="N10" i="13"/>
  <c r="J18" i="13"/>
  <c r="N15" i="13"/>
  <c r="P20" i="13"/>
  <c r="P11" i="13"/>
  <c r="P3" i="13"/>
  <c r="P8" i="13"/>
  <c r="P18" i="13"/>
  <c r="P19" i="13"/>
  <c r="P7" i="13"/>
  <c r="P9" i="13"/>
  <c r="P6" i="13"/>
  <c r="P16" i="13"/>
  <c r="N23" i="13"/>
  <c r="N24" i="13"/>
  <c r="N3" i="13"/>
  <c r="P5" i="13"/>
  <c r="P15" i="13"/>
  <c r="N2" i="13"/>
  <c r="J2" i="13"/>
  <c r="P4" i="13"/>
  <c r="P24" i="13"/>
  <c r="P12" i="13"/>
  <c r="P14" i="13"/>
  <c r="P23" i="13"/>
  <c r="J6" i="13"/>
  <c r="P10" i="13"/>
  <c r="N9" i="13"/>
  <c r="J14" i="13"/>
  <c r="N17" i="13"/>
  <c r="N8" i="13"/>
  <c r="J9" i="13"/>
  <c r="J17" i="13"/>
  <c r="N21" i="13" l="1"/>
  <c r="N36" i="13"/>
  <c r="N44" i="13"/>
  <c r="N43" i="13"/>
  <c r="N47" i="13"/>
  <c r="N41" i="13"/>
  <c r="N42" i="13"/>
  <c r="N45" i="13"/>
  <c r="N37" i="13"/>
  <c r="N34" i="13"/>
  <c r="N33" i="13"/>
  <c r="N31" i="13"/>
  <c r="N30" i="13"/>
  <c r="N32" i="13"/>
  <c r="N35" i="13"/>
  <c r="N46" i="13"/>
  <c r="N29" i="13"/>
  <c r="N27" i="13"/>
  <c r="N26" i="13"/>
  <c r="N28" i="13"/>
  <c r="N25" i="13"/>
  <c r="N7" i="13"/>
  <c r="N16" i="13"/>
  <c r="N6" i="13"/>
  <c r="N13" i="13"/>
  <c r="N5" i="13"/>
  <c r="N20" i="13"/>
  <c r="N14" i="13"/>
  <c r="N4" i="13"/>
  <c r="N22" i="13"/>
  <c r="I955" i="13" l="1"/>
  <c r="I1036" i="13"/>
</calcChain>
</file>

<file path=xl/sharedStrings.xml><?xml version="1.0" encoding="utf-8"?>
<sst xmlns="http://schemas.openxmlformats.org/spreadsheetml/2006/main" count="302" uniqueCount="169">
  <si>
    <t>Risorsa</t>
  </si>
  <si>
    <t>TipoCosto</t>
  </si>
  <si>
    <t>UnMisura</t>
  </si>
  <si>
    <t>Qta</t>
  </si>
  <si>
    <t>Etichette di riga</t>
  </si>
  <si>
    <t>L1</t>
  </si>
  <si>
    <t>Energia Elettrica</t>
  </si>
  <si>
    <t>Kwh</t>
  </si>
  <si>
    <t>Gas Metano</t>
  </si>
  <si>
    <t>Smc</t>
  </si>
  <si>
    <t>L2</t>
  </si>
  <si>
    <t>Manodopera</t>
  </si>
  <si>
    <t>nr</t>
  </si>
  <si>
    <t>L3</t>
  </si>
  <si>
    <t>Ammortamento</t>
  </si>
  <si>
    <t>Totale complessivo</t>
  </si>
  <si>
    <t>Affitto</t>
  </si>
  <si>
    <t>Spese Gestione Impianto</t>
  </si>
  <si>
    <t>Manutenzione</t>
  </si>
  <si>
    <t>Parametri Polvere</t>
  </si>
  <si>
    <t>Valori</t>
  </si>
  <si>
    <t>Spessore medio</t>
  </si>
  <si>
    <t>Resa in Mq</t>
  </si>
  <si>
    <t>Kg/mq</t>
  </si>
  <si>
    <t>NomeRisorsa</t>
  </si>
  <si>
    <t>MON</t>
  </si>
  <si>
    <t>SAB</t>
  </si>
  <si>
    <t>SER</t>
  </si>
  <si>
    <t>PREP</t>
  </si>
  <si>
    <t>IMB</t>
  </si>
  <si>
    <t>SCHI</t>
  </si>
  <si>
    <t>Camp</t>
  </si>
  <si>
    <t>VTPX</t>
  </si>
  <si>
    <t>TRAS</t>
  </si>
  <si>
    <t>CodLav</t>
  </si>
  <si>
    <t>DescLav</t>
  </si>
  <si>
    <t>Verniciatura</t>
  </si>
  <si>
    <t>Montaggio</t>
  </si>
  <si>
    <t>Sabbiatura</t>
  </si>
  <si>
    <t>Serigrafia</t>
  </si>
  <si>
    <t>Preparazione</t>
  </si>
  <si>
    <t>Imballo</t>
  </si>
  <si>
    <t>Schiumatura</t>
  </si>
  <si>
    <t>CAMP</t>
  </si>
  <si>
    <t>Campionatura</t>
  </si>
  <si>
    <t>Trasporto</t>
  </si>
  <si>
    <t>Verniciatura extra Quality</t>
  </si>
  <si>
    <t>Descrizione</t>
  </si>
  <si>
    <t>NomeFam</t>
  </si>
  <si>
    <t>DescFam</t>
  </si>
  <si>
    <t>Velocita</t>
  </si>
  <si>
    <t>F0</t>
  </si>
  <si>
    <t>lamiere F0</t>
  </si>
  <si>
    <t>F1</t>
  </si>
  <si>
    <t>lamiere F1</t>
  </si>
  <si>
    <t>F2</t>
  </si>
  <si>
    <t>lamiere F2</t>
  </si>
  <si>
    <t>F3</t>
  </si>
  <si>
    <t>lamiere F3</t>
  </si>
  <si>
    <t>F4</t>
  </si>
  <si>
    <t>lamiere F4</t>
  </si>
  <si>
    <t>Tipo Operazione</t>
  </si>
  <si>
    <t>costo protezione</t>
  </si>
  <si>
    <t>Perno</t>
  </si>
  <si>
    <t>Filetto</t>
  </si>
  <si>
    <t>Foro</t>
  </si>
  <si>
    <t>Fastom</t>
  </si>
  <si>
    <t>A disegno</t>
  </si>
  <si>
    <t>Perno + R</t>
  </si>
  <si>
    <t>Filetto + R</t>
  </si>
  <si>
    <t>Foro + R</t>
  </si>
  <si>
    <t>Fastom + R</t>
  </si>
  <si>
    <t xml:space="preserve">A disegno + R </t>
  </si>
  <si>
    <t>CodLotti</t>
  </si>
  <si>
    <t>QuotaFissa</t>
  </si>
  <si>
    <t>0-50</t>
  </si>
  <si>
    <t>51-100</t>
  </si>
  <si>
    <t>101-500</t>
  </si>
  <si>
    <t>501-1000</t>
  </si>
  <si>
    <t>1001-oltre</t>
  </si>
  <si>
    <t>ZERO</t>
  </si>
  <si>
    <t>Nr.Preventivo</t>
  </si>
  <si>
    <t>Numero Riga</t>
  </si>
  <si>
    <t>Cliente</t>
  </si>
  <si>
    <t>sub_cliente</t>
  </si>
  <si>
    <t>cod.Art.</t>
  </si>
  <si>
    <t>q.ta offerta</t>
  </si>
  <si>
    <t>LINEA</t>
  </si>
  <si>
    <t>Colore</t>
  </si>
  <si>
    <t>Velocità</t>
  </si>
  <si>
    <t>superificie</t>
  </si>
  <si>
    <t>passo</t>
  </si>
  <si>
    <t>nr.pezzi Telaio</t>
  </si>
  <si>
    <t>nr.pezzi ora-unita</t>
  </si>
  <si>
    <t>KgPezzo</t>
  </si>
  <si>
    <t>Previsione Consumi Kg</t>
  </si>
  <si>
    <t>Qta protez</t>
  </si>
  <si>
    <t>Tipo protezione</t>
  </si>
  <si>
    <t>CodCombi</t>
  </si>
  <si>
    <t>mese</t>
  </si>
  <si>
    <t>Quadrimestre</t>
  </si>
  <si>
    <t>Nprev</t>
  </si>
  <si>
    <t>Nriga</t>
  </si>
  <si>
    <t>data</t>
  </si>
  <si>
    <t>Confermato</t>
  </si>
  <si>
    <t>Disegno</t>
  </si>
  <si>
    <t>Lavorazione</t>
  </si>
  <si>
    <t>Desc Lavorazione</t>
  </si>
  <si>
    <t>Cod Vel</t>
  </si>
  <si>
    <t>Q.ta'</t>
  </si>
  <si>
    <t>lotto</t>
  </si>
  <si>
    <t>Pz Ora Altre Lav</t>
  </si>
  <si>
    <t>ORE LAVOR</t>
  </si>
  <si>
    <t>cambio colore su pezzo</t>
  </si>
  <si>
    <t>costo orario</t>
  </si>
  <si>
    <t>Superf.pz Mq</t>
  </si>
  <si>
    <t>MP (€kg)</t>
  </si>
  <si>
    <t>tot.CMP pz</t>
  </si>
  <si>
    <t>QtaProtez</t>
  </si>
  <si>
    <t>Tipo Protezione</t>
  </si>
  <si>
    <t>Costo Prot</t>
  </si>
  <si>
    <t>altri costi</t>
  </si>
  <si>
    <t>costo industriale pz</t>
  </si>
  <si>
    <t>totale costi</t>
  </si>
  <si>
    <t>Ricarico</t>
  </si>
  <si>
    <t>Prezzo Di Vendita</t>
  </si>
  <si>
    <t>TotaleOfferta</t>
  </si>
  <si>
    <t>prezzo Mq</t>
  </si>
  <si>
    <t>(Tutto)</t>
  </si>
  <si>
    <t>Conteggio di Nprev</t>
  </si>
  <si>
    <t>Somma di TotaleOfferta</t>
  </si>
  <si>
    <t>(vuoto)</t>
  </si>
  <si>
    <t>01</t>
  </si>
  <si>
    <t>Nr_prev</t>
  </si>
  <si>
    <t>Sub_cliente</t>
  </si>
  <si>
    <t>rif_archiviazione</t>
  </si>
  <si>
    <t xml:space="preserve">ELABORATO DA </t>
  </si>
  <si>
    <t>Spett.le</t>
  </si>
  <si>
    <t>Data</t>
  </si>
  <si>
    <t>Ringraziandovi per averci interpellato di seguito Vi inviamo nostro preventivo per le lavorazioni  dei seguenti articoli:</t>
  </si>
  <si>
    <t>Somma di Prezzo Di Vendita</t>
  </si>
  <si>
    <t xml:space="preserve"> Lavorazioni</t>
  </si>
  <si>
    <t>PeriodoQ1-26</t>
  </si>
  <si>
    <t>TotPerQ1-26</t>
  </si>
  <si>
    <t>PeriodoQ2-26</t>
  </si>
  <si>
    <t>TotPerQ2-26</t>
  </si>
  <si>
    <t>PeriodoQ3-26</t>
  </si>
  <si>
    <t>TotPerQ3-26</t>
  </si>
  <si>
    <t>Somma di TotPerQ1-26</t>
  </si>
  <si>
    <t>Somma di TotPerQ2-26</t>
  </si>
  <si>
    <t>Somma di TotPerQ3-26</t>
  </si>
  <si>
    <t>202601</t>
  </si>
  <si>
    <t>202602</t>
  </si>
  <si>
    <t>202603</t>
  </si>
  <si>
    <t>VERONA LAMIERE SPA</t>
  </si>
  <si>
    <t>FRANKE</t>
  </si>
  <si>
    <t>VERONA LAMIERE</t>
  </si>
  <si>
    <t>IN ATTESA</t>
  </si>
  <si>
    <t>PREVENTIVI 2026 DATI E PDF\PREV 202602\560.0755.201 mounting bracket valve group themoblock.pdf</t>
  </si>
  <si>
    <t>Mounting bracket valve group thermoblock</t>
  </si>
  <si>
    <t>P90005XLOP</t>
  </si>
  <si>
    <t>DF</t>
  </si>
  <si>
    <t>IMMERGAS</t>
  </si>
  <si>
    <t>GR. FIANCO MANTELLO SX V. ZEUS SUP</t>
  </si>
  <si>
    <t>PS068</t>
  </si>
  <si>
    <t>PREV 202602\3.037280.pdf</t>
  </si>
  <si>
    <t>IMMERGAS SPA</t>
  </si>
  <si>
    <t>C.A. SIG. MANGHI</t>
  </si>
  <si>
    <t>PREV 202601\560.0755.201 mounting bracket valve group themoblock.pdf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</si>
</sst>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0.000"/>
    <numFmt numFmtId="166" formatCode="_-* #,##0.000_-;\-* #,##0.000_-;_-* &quot;-&quot;??_-;_-@_-"/>
    <numFmt numFmtId="167" formatCode="_-* #,##0.00\ [$€-410]_-;\-* #,##0.00\ [$€-410]_-;_-* &quot;-&quot;??\ [$€-410]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charset val="134"/>
      <scheme val="minor"/>
    </font>
    <font>
      <sz val="10"/>
      <name val="Calibri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color rgb="FF000000"/>
      <name val="Aptos Narrow"/>
      <family val="2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 style="thin">
        <color theme="0"/>
      </right>
      <top style="thin">
        <color auto="1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double">
        <color auto="1"/>
      </bottom>
      <diagonal/>
    </border>
    <border>
      <left style="thin">
        <color theme="0"/>
      </left>
      <right/>
      <top style="thin">
        <color auto="1"/>
      </top>
      <bottom style="double">
        <color auto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</borders>
  <cellStyleXfs count="15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0" fontId="9" fillId="0" borderId="0"/>
    <xf numFmtId="0" fontId="15" fillId="0" borderId="0"/>
    <xf numFmtId="0" fontId="7" fillId="0" borderId="0"/>
    <xf numFmtId="0" fontId="9" fillId="0" borderId="0"/>
    <xf numFmtId="164" fontId="14" fillId="0" borderId="0" applyFont="0" applyFill="0" applyBorder="0" applyAlignment="0" applyProtection="0"/>
    <xf numFmtId="0" fontId="3" fillId="0" borderId="0"/>
    <xf numFmtId="0" fontId="3" fillId="0" borderId="0"/>
    <xf numFmtId="0" fontId="18" fillId="0" borderId="0"/>
    <xf numFmtId="0" fontId="2" fillId="0" borderId="0"/>
    <xf numFmtId="0" fontId="19" fillId="0" borderId="0"/>
  </cellStyleXfs>
  <cellXfs count="112">
    <xf numFmtId="0" fontId="0" fillId="0" borderId="0" xfId="0"/>
    <xf numFmtId="0" fontId="4" fillId="0" borderId="0" xfId="0" applyFont="1"/>
    <xf numFmtId="14" fontId="0" fillId="0" borderId="0" xfId="0" applyNumberFormat="1"/>
    <xf numFmtId="0" fontId="0" fillId="0" borderId="3" xfId="0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6" fillId="0" borderId="0" xfId="3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164" fontId="4" fillId="0" borderId="0" xfId="9" applyFont="1" applyProtection="1"/>
    <xf numFmtId="44" fontId="4" fillId="0" borderId="0" xfId="1" applyFont="1"/>
    <xf numFmtId="9" fontId="4" fillId="0" borderId="0" xfId="2" applyFont="1" applyProtection="1">
      <protection locked="0"/>
    </xf>
    <xf numFmtId="0" fontId="4" fillId="0" borderId="0" xfId="5" applyFont="1"/>
    <xf numFmtId="1" fontId="4" fillId="0" borderId="0" xfId="0" applyNumberFormat="1" applyFont="1" applyAlignment="1" applyProtection="1">
      <alignment horizontal="center" wrapText="1"/>
      <protection locked="0"/>
    </xf>
    <xf numFmtId="1" fontId="8" fillId="0" borderId="0" xfId="0" applyNumberFormat="1" applyFont="1" applyAlignment="1" applyProtection="1">
      <alignment horizontal="center" wrapText="1"/>
      <protection locked="0"/>
    </xf>
    <xf numFmtId="0" fontId="8" fillId="0" borderId="0" xfId="0" applyFont="1" applyProtection="1">
      <protection locked="0"/>
    </xf>
    <xf numFmtId="0" fontId="4" fillId="0" borderId="0" xfId="5" applyFont="1" applyAlignment="1">
      <alignment horizontal="center"/>
    </xf>
    <xf numFmtId="0" fontId="6" fillId="0" borderId="0" xfId="3" applyFill="1" applyAlignment="1" applyProtection="1">
      <alignment horizontal="left"/>
      <protection locked="0"/>
    </xf>
    <xf numFmtId="0" fontId="8" fillId="0" borderId="0" xfId="0" applyFont="1"/>
    <xf numFmtId="0" fontId="4" fillId="0" borderId="0" xfId="5" applyFont="1" applyAlignment="1">
      <alignment horizontal="right"/>
    </xf>
    <xf numFmtId="0" fontId="8" fillId="0" borderId="0" xfId="9" applyNumberFormat="1" applyFont="1" applyFill="1" applyProtection="1">
      <protection locked="0"/>
    </xf>
    <xf numFmtId="9" fontId="4" fillId="0" borderId="0" xfId="2" applyFont="1"/>
    <xf numFmtId="0" fontId="8" fillId="0" borderId="0" xfId="1" applyNumberFormat="1" applyFont="1" applyFill="1" applyProtection="1">
      <protection locked="0"/>
    </xf>
    <xf numFmtId="9" fontId="8" fillId="0" borderId="0" xfId="2" applyFont="1" applyFill="1" applyProtection="1">
      <protection locked="0"/>
    </xf>
    <xf numFmtId="0" fontId="10" fillId="0" borderId="0" xfId="0" applyFont="1"/>
    <xf numFmtId="44" fontId="0" fillId="0" borderId="0" xfId="1" applyFont="1"/>
    <xf numFmtId="167" fontId="0" fillId="0" borderId="0" xfId="1" applyNumberFormat="1" applyFont="1"/>
    <xf numFmtId="167" fontId="0" fillId="0" borderId="0" xfId="0" applyNumberFormat="1"/>
    <xf numFmtId="9" fontId="0" fillId="0" borderId="0" xfId="0" applyNumberFormat="1"/>
    <xf numFmtId="9" fontId="0" fillId="0" borderId="7" xfId="2" applyFont="1" applyBorder="1"/>
    <xf numFmtId="9" fontId="0" fillId="0" borderId="8" xfId="2" applyFont="1" applyBorder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3" fillId="0" borderId="0" xfId="0" applyFont="1"/>
    <xf numFmtId="0" fontId="0" fillId="0" borderId="0" xfId="0" quotePrefix="1"/>
    <xf numFmtId="0" fontId="0" fillId="0" borderId="2" xfId="0" pivotButton="1" applyBorder="1"/>
    <xf numFmtId="0" fontId="0" fillId="0" borderId="1" xfId="0" pivotButton="1" applyBorder="1"/>
    <xf numFmtId="0" fontId="17" fillId="0" borderId="0" xfId="0" applyFont="1"/>
    <xf numFmtId="0" fontId="0" fillId="0" borderId="0" xfId="0" pivotButton="1"/>
    <xf numFmtId="0" fontId="17" fillId="0" borderId="0" xfId="0" quotePrefix="1" applyFont="1"/>
    <xf numFmtId="0" fontId="20" fillId="0" borderId="0" xfId="0" applyFont="1" applyAlignment="1" applyProtection="1">
      <alignment wrapText="1"/>
      <protection locked="0"/>
    </xf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left"/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/>
    <xf numFmtId="165" fontId="20" fillId="0" borderId="0" xfId="0" applyNumberFormat="1" applyFont="1"/>
    <xf numFmtId="166" fontId="20" fillId="0" borderId="0" xfId="0" applyNumberFormat="1" applyFont="1" applyProtection="1">
      <protection locked="0"/>
    </xf>
    <xf numFmtId="0" fontId="20" fillId="0" borderId="0" xfId="9" applyNumberFormat="1" applyFont="1" applyFill="1" applyProtection="1">
      <protection locked="0"/>
    </xf>
    <xf numFmtId="164" fontId="20" fillId="0" borderId="0" xfId="0" applyNumberFormat="1" applyFont="1"/>
    <xf numFmtId="0" fontId="20" fillId="0" borderId="0" xfId="1" applyNumberFormat="1" applyFont="1" applyFill="1" applyProtection="1">
      <protection locked="0"/>
    </xf>
    <xf numFmtId="164" fontId="20" fillId="0" borderId="0" xfId="0" applyNumberFormat="1" applyFont="1" applyProtection="1">
      <protection locked="0"/>
    </xf>
    <xf numFmtId="9" fontId="20" fillId="0" borderId="0" xfId="2" applyFont="1" applyFill="1" applyProtection="1">
      <protection locked="0"/>
    </xf>
    <xf numFmtId="14" fontId="20" fillId="0" borderId="0" xfId="0" applyNumberFormat="1" applyFont="1" applyProtection="1">
      <protection locked="0"/>
    </xf>
    <xf numFmtId="0" fontId="8" fillId="0" borderId="0" xfId="0" applyFont="1" applyAlignment="1" applyProtection="1">
      <alignment wrapText="1"/>
      <protection locked="0"/>
    </xf>
    <xf numFmtId="14" fontId="8" fillId="0" borderId="0" xfId="0" applyNumberFormat="1" applyFont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165" fontId="8" fillId="0" borderId="0" xfId="0" applyNumberFormat="1" applyFont="1"/>
    <xf numFmtId="166" fontId="8" fillId="0" borderId="0" xfId="0" applyNumberFormat="1" applyFont="1" applyProtection="1">
      <protection locked="0"/>
    </xf>
    <xf numFmtId="164" fontId="8" fillId="0" borderId="0" xfId="0" applyNumberFormat="1" applyFont="1" applyProtection="1">
      <protection locked="0"/>
    </xf>
    <xf numFmtId="0" fontId="0" fillId="0" borderId="1" xfId="0" applyBorder="1" applyAlignment="1">
      <alignment horizontal="left"/>
    </xf>
    <xf numFmtId="0" fontId="21" fillId="3" borderId="9" xfId="0" applyFont="1" applyFill="1" applyBorder="1"/>
    <xf numFmtId="0" fontId="22" fillId="0" borderId="0" xfId="0" applyFont="1" applyAlignment="1" applyProtection="1">
      <alignment wrapText="1"/>
      <protection locked="0"/>
    </xf>
    <xf numFmtId="1" fontId="22" fillId="0" borderId="0" xfId="0" applyNumberFormat="1" applyFont="1" applyAlignment="1" applyProtection="1">
      <alignment horizontal="center" wrapText="1"/>
      <protection locked="0"/>
    </xf>
    <xf numFmtId="0" fontId="22" fillId="0" borderId="0" xfId="0" applyFont="1" applyProtection="1">
      <protection locked="0"/>
    </xf>
    <xf numFmtId="0" fontId="22" fillId="0" borderId="0" xfId="0" applyFont="1" applyAlignment="1" applyProtection="1">
      <alignment horizontal="left"/>
      <protection locked="0"/>
    </xf>
    <xf numFmtId="0" fontId="22" fillId="0" borderId="0" xfId="0" applyFont="1" applyAlignment="1" applyProtection="1">
      <alignment horizontal="center"/>
      <protection locked="0"/>
    </xf>
    <xf numFmtId="0" fontId="22" fillId="0" borderId="0" xfId="0" applyFont="1"/>
    <xf numFmtId="165" fontId="22" fillId="0" borderId="0" xfId="0" applyNumberFormat="1" applyFont="1"/>
    <xf numFmtId="166" fontId="22" fillId="0" borderId="0" xfId="0" applyNumberFormat="1" applyFont="1" applyProtection="1">
      <protection locked="0"/>
    </xf>
    <xf numFmtId="0" fontId="22" fillId="0" borderId="0" xfId="9" applyNumberFormat="1" applyFont="1" applyFill="1" applyProtection="1">
      <protection locked="0"/>
    </xf>
    <xf numFmtId="164" fontId="22" fillId="0" borderId="0" xfId="0" applyNumberFormat="1" applyFont="1"/>
    <xf numFmtId="0" fontId="22" fillId="0" borderId="0" xfId="1" applyNumberFormat="1" applyFont="1" applyFill="1" applyProtection="1">
      <protection locked="0"/>
    </xf>
    <xf numFmtId="164" fontId="22" fillId="0" borderId="0" xfId="0" applyNumberFormat="1" applyFont="1" applyProtection="1">
      <protection locked="0"/>
    </xf>
    <xf numFmtId="9" fontId="22" fillId="0" borderId="0" xfId="2" applyFont="1" applyFill="1" applyProtection="1">
      <protection locked="0"/>
    </xf>
    <xf numFmtId="0" fontId="6" fillId="0" borderId="0" xfId="3" applyAlignment="1" applyProtection="1">
      <alignment horizontal="left"/>
      <protection locked="0"/>
    </xf>
    <xf numFmtId="14" fontId="22" fillId="0" borderId="0" xfId="0" applyNumberFormat="1" applyFont="1" applyProtection="1">
      <protection locked="0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166" fontId="22" fillId="4" borderId="0" xfId="0" applyNumberFormat="1" applyFont="1" applyFill="1" applyProtection="1">
      <protection locked="0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0" fillId="0" borderId="2" xfId="0" applyBorder="1"/>
    <xf numFmtId="0" fontId="8" fillId="0" borderId="0" xfId="9" applyNumberFormat="1" applyFont="1" applyFill="1" applyBorder="1" applyProtection="1">
      <protection locked="0"/>
    </xf>
    <xf numFmtId="0" fontId="8" fillId="0" borderId="0" xfId="1" applyNumberFormat="1" applyFont="1" applyFill="1" applyBorder="1" applyProtection="1">
      <protection locked="0"/>
    </xf>
    <xf numFmtId="9" fontId="8" fillId="0" borderId="0" xfId="2" applyFont="1" applyFill="1" applyBorder="1" applyProtection="1">
      <protection locked="0"/>
    </xf>
    <xf numFmtId="0" fontId="6" fillId="0" borderId="0" xfId="3" applyFill="1" applyBorder="1" applyAlignment="1" applyProtection="1">
      <alignment horizontal="left"/>
      <protection locked="0"/>
    </xf>
    <xf numFmtId="0" fontId="22" fillId="0" borderId="0" xfId="9" applyNumberFormat="1" applyFont="1" applyFill="1" applyBorder="1" applyProtection="1">
      <protection locked="0"/>
    </xf>
    <xf numFmtId="0" fontId="22" fillId="0" borderId="0" xfId="1" applyNumberFormat="1" applyFont="1" applyFill="1" applyBorder="1" applyProtection="1">
      <protection locked="0"/>
    </xf>
    <xf numFmtId="9" fontId="22" fillId="0" borderId="0" xfId="2" applyFont="1" applyFill="1" applyBorder="1" applyProtection="1">
      <protection locked="0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1" fillId="3" borderId="17" xfId="0" applyFont="1" applyFill="1" applyBorder="1"/>
    <xf numFmtId="0" fontId="21" fillId="3" borderId="18" xfId="0" applyFont="1" applyFill="1" applyBorder="1"/>
    <xf numFmtId="0" fontId="1" fillId="0" borderId="0" xfId="0" applyFont="1"/>
    <xf numFmtId="44" fontId="0" fillId="0" borderId="2" xfId="0" applyNumberFormat="1" applyBorder="1" applyAlignment="1"/>
    <xf numFmtId="44" fontId="0" fillId="0" borderId="11" xfId="0" applyNumberFormat="1" applyBorder="1" applyAlignment="1"/>
    <xf numFmtId="44" fontId="0" fillId="0" borderId="12" xfId="0" applyNumberFormat="1" applyBorder="1" applyAlignment="1"/>
    <xf numFmtId="44" fontId="0" fillId="0" borderId="14" xfId="0" applyNumberFormat="1" applyBorder="1" applyAlignment="1"/>
    <xf numFmtId="44" fontId="0" fillId="0" borderId="15" xfId="0" applyNumberFormat="1" applyBorder="1" applyAlignment="1"/>
    <xf numFmtId="44" fontId="0" fillId="0" borderId="16" xfId="0" applyNumberFormat="1" applyBorder="1" applyAlignment="1"/>
  </cellXfs>
  <cellStyles count="15">
    <cellStyle name="Collegamento ipertestuale" xfId="3" builtinId="8"/>
    <cellStyle name="Migliaia 2" xfId="4" xr:uid="{00000000-0005-0000-0000-000031000000}"/>
    <cellStyle name="Normale" xfId="0" builtinId="0"/>
    <cellStyle name="Normale 2" xfId="5" xr:uid="{00000000-0005-0000-0000-000032000000}"/>
    <cellStyle name="Normale 3" xfId="6" xr:uid="{00000000-0005-0000-0000-000033000000}"/>
    <cellStyle name="Normale 4" xfId="10" xr:uid="{91CC7037-F100-404F-B65D-BBFC60B7AB13}"/>
    <cellStyle name="Normale 5" xfId="12" xr:uid="{A7DDD4E7-694F-4C39-A906-E944FB5B4FC5}"/>
    <cellStyle name="Normale 6" xfId="13" xr:uid="{6F5CC00F-0E7B-4A02-8C51-F6823D0CC667}"/>
    <cellStyle name="Normale 7" xfId="14" xr:uid="{E5587511-B155-47E8-875B-B8037137E812}"/>
    <cellStyle name="Normale 8" xfId="7" xr:uid="{00000000-0005-0000-0000-000034000000}"/>
    <cellStyle name="Normale 8 2" xfId="11" xr:uid="{016026EB-4DEC-48E2-B926-68BC0F7C25D3}"/>
    <cellStyle name="Percentuale" xfId="2" builtinId="5"/>
    <cellStyle name="Style 1 2" xfId="8" xr:uid="{00000000-0005-0000-0000-000035000000}"/>
    <cellStyle name="Valuta" xfId="1" builtinId="4"/>
    <cellStyle name="Valuta 2" xfId="9" xr:uid="{00000000-0005-0000-0000-000036000000}"/>
  </cellStyles>
  <dxfs count="144">
    <dxf>
      <numFmt numFmtId="34" formatCode="_-* #,##0.00\ &quot;€&quot;_-;\-* #,##0.00\ &quot;€&quot;_-;_-* &quot;-&quot;??\ &quot;€&quot;_-;_-@_-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  <bottom style="double">
          <color auto="1"/>
        </bottom>
      </border>
    </dxf>
    <dxf>
      <border>
        <top style="thin">
          <color auto="1"/>
        </top>
        <bottom style="double">
          <color auto="1"/>
        </bottom>
      </border>
    </dxf>
    <dxf>
      <border>
        <top style="thin">
          <color auto="1"/>
        </top>
        <bottom style="double">
          <color auto="1"/>
        </bottom>
      </border>
    </dxf>
    <dxf>
      <border>
        <top style="thin">
          <color auto="1"/>
        </top>
        <bottom style="double">
          <color auto="1"/>
        </bottom>
      </border>
    </dxf>
    <dxf>
      <border>
        <top style="thin">
          <color auto="1"/>
        </top>
        <bottom style="double">
          <color auto="1"/>
        </bottom>
      </border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top"/>
    </dxf>
    <dxf>
      <alignment horizontal="left"/>
    </dxf>
    <dxf>
      <alignment horizontal="left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general"/>
    </dxf>
    <dxf>
      <alignment vertical="bottom"/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numFmt numFmtId="164" formatCode="_-&quot;€&quot;\ * #,##0.00_-;\-&quot;€&quot;\ * #,##0.00_-;_-&quot;€&quot;\ * &quot;-&quot;??_-;_-@_-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numFmt numFmtId="13" formatCode="0%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numFmt numFmtId="164" formatCode="_-&quot;€&quot;\ * #,##0.00_-;\-&quot;€&quot;\ * #,##0.00_-;_-&quot;€&quot;\ * &quot;-&quot;??_-;_-@_-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numFmt numFmtId="164" formatCode="_-&quot;€&quot;\ * #,##0.00_-;\-&quot;€&quot;\ * #,##0.00_-;_-&quot;€&quot;\ * &quot;-&quot;??_-;_-@_-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numFmt numFmtId="166" formatCode="_-* #,##0.000_-;\-* #,##0.000_-;_-* &quot;-&quot;??_-;_-@_-"/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numFmt numFmtId="165" formatCode="0.000"/>
      <fill>
        <patternFill patternType="none"/>
      </fill>
    </dxf>
    <dxf>
      <font>
        <strike val="0"/>
        <color auto="1"/>
        <name val="Calibri"/>
        <scheme val="none"/>
      </font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  <alignment horizontal="center"/>
    </dxf>
    <dxf>
      <font>
        <strike val="0"/>
        <color auto="1"/>
        <name val="Calibri"/>
        <scheme val="none"/>
      </font>
    </dxf>
    <dxf>
      <font>
        <strike val="0"/>
        <color auto="1"/>
        <name val="Calibri"/>
        <scheme val="none"/>
      </font>
      <numFmt numFmtId="0" formatCode="General"/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none"/>
      </fill>
      <alignment horizontal="left"/>
      <protection locked="0"/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strike val="0"/>
        <u val="none"/>
        <sz val="10"/>
        <color auto="1"/>
        <name val="Calibri"/>
        <scheme val="none"/>
      </font>
      <fill>
        <patternFill patternType="none"/>
      </fill>
      <alignment wrapText="1"/>
      <protection locked="0"/>
    </dxf>
    <dxf>
      <font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strike val="0"/>
        <u val="none"/>
        <sz val="10"/>
        <color auto="1"/>
        <name val="Calibri"/>
        <scheme val="none"/>
      </font>
      <fill>
        <patternFill patternType="none"/>
      </fill>
      <protection locked="0"/>
    </dxf>
    <dxf>
      <font>
        <strike val="0"/>
        <color auto="1"/>
        <name val="Calibri"/>
        <scheme val="none"/>
      </font>
      <numFmt numFmtId="1" formatCode="0"/>
      <alignment horizontal="center" wrapText="1"/>
    </dxf>
    <dxf>
      <font>
        <strike val="0"/>
        <u val="none"/>
        <sz val="10"/>
        <color auto="1"/>
        <name val="Calibri"/>
        <scheme val="none"/>
      </font>
      <numFmt numFmtId="1" formatCode="0"/>
      <fill>
        <patternFill patternType="none"/>
      </fill>
      <alignment horizontal="center" wrapText="1"/>
      <protection locked="0"/>
    </dxf>
    <dxf>
      <font>
        <strike val="0"/>
        <u val="none"/>
        <sz val="10"/>
        <color auto="1"/>
        <name val="Calibri"/>
        <scheme val="none"/>
      </font>
      <numFmt numFmtId="0" formatCode="General"/>
      <fill>
        <patternFill patternType="none"/>
      </fill>
      <alignment wrapText="1"/>
      <protection locked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67" formatCode="_-* #,##0.00\ [$€-410]_-;\-* #,##0.00\ [$€-410]_-;_-* &quot;-&quot;??\ [$€-410]_-;_-@_-"/>
    </dxf>
    <dxf>
      <font>
        <b val="0"/>
        <i val="0"/>
        <strike val="0"/>
        <u val="none"/>
        <sz val="11"/>
        <color theme="1"/>
        <name val="Calibri"/>
        <scheme val="none"/>
      </font>
      <border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3" formatCode="0%"/>
    </dxf>
    <dxf>
      <numFmt numFmtId="13" formatCode="0%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left" vertical="center"/>
    </dxf>
    <dxf>
      <font>
        <b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left" vertical="center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numFmt numFmtId="167" formatCode="_-* #,##0.00\ [$€-410]_-;\-* #,##0.00\ [$€-410]_-;_-* &quot;-&quot;??\ [$€-410]_-;_-@_-"/>
      <fill>
        <patternFill patternType="none"/>
      </fill>
    </dxf>
    <dxf>
      <numFmt numFmtId="167" formatCode="_-* #,##0.00\ [$€-410]_-;\-* #,##0.00\ [$€-410]_-;_-* &quot;-&quot;??\ [$€-410]_-;_-@_-"/>
      <fill>
        <patternFill patternType="none"/>
      </fill>
    </dxf>
    <dxf>
      <numFmt numFmtId="167" formatCode="_-* #,##0.00\ [$€-410]_-;\-* #,##0.00\ [$€-410]_-;_-* &quot;-&quot;??\ [$€-410]_-;_-@_-"/>
      <fill>
        <patternFill patternType="none"/>
      </fill>
    </dxf>
    <dxf>
      <numFmt numFmtId="167" formatCode="_-* #,##0.00\ [$€-410]_-;\-* #,##0.00\ [$€-410]_-;_-* &quot;-&quot;??\ [$€-410]_-;_-@_-"/>
      <fill>
        <patternFill patternType="none"/>
      </fill>
    </dxf>
    <dxf>
      <numFmt numFmtId="167" formatCode="_-* #,##0.00\ [$€-410]_-;\-* #,##0.00\ [$€-410]_-;_-* &quot;-&quot;??\ [$€-410]_-;_-@_-"/>
      <fill>
        <patternFill patternType="none"/>
      </fill>
    </dxf>
    <dxf>
      <numFmt numFmtId="167" formatCode="_-* #,##0.00\ [$€-410]_-;\-* #,##0.00\ [$€-410]_-;_-* &quot;-&quot;??\ [$€-410]_-;_-@_-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vertical="bottom"/>
    </dxf>
    <dxf>
      <alignment horizontal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/>
    </dxf>
    <dxf>
      <alignment horizontal="left"/>
    </dxf>
    <dxf>
      <alignment vertical="top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border>
        <top style="thin">
          <color auto="1"/>
        </top>
        <bottom style="double">
          <color auto="1"/>
        </bottom>
      </border>
    </dxf>
    <dxf>
      <border>
        <top style="thin">
          <color auto="1"/>
        </top>
        <bottom style="double">
          <color auto="1"/>
        </bottom>
      </border>
    </dxf>
    <dxf>
      <border>
        <top style="thin">
          <color auto="1"/>
        </top>
        <bottom style="double">
          <color auto="1"/>
        </bottom>
      </border>
    </dxf>
    <dxf>
      <border>
        <top style="thin">
          <color auto="1"/>
        </top>
        <bottom style="double">
          <color auto="1"/>
        </bottom>
      </border>
    </dxf>
    <dxf>
      <border>
        <top style="thin">
          <color auto="1"/>
        </top>
        <bottom style="double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4" formatCode="_-* #,##0.00\ &quot;€&quot;_-;\-* #,##0.0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230505</xdr:colOff>
      <xdr:row>11</xdr:row>
      <xdr:rowOff>60959</xdr:rowOff>
    </xdr:from>
    <xdr:to>
      <xdr:col>12</xdr:col>
      <xdr:colOff>12030</xdr:colOff>
      <xdr:row>18</xdr:row>
      <xdr:rowOff>161924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9427F8A9-08A9-EDF5-4E1B-1A10ABBF8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5430" y="2232659"/>
          <a:ext cx="8142570" cy="13658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2</xdr:row>
      <xdr:rowOff>0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6957060" y="3848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2</xdr:row>
      <xdr:rowOff>0</xdr:rowOff>
    </xdr:from>
    <xdr:ext cx="184731" cy="264560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6957060" y="3848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2</xdr:row>
      <xdr:rowOff>0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6957060" y="38481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1</xdr:row>
      <xdr:rowOff>0</xdr:rowOff>
    </xdr:from>
    <xdr:ext cx="184731" cy="264560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C2D8E483-CCE8-4517-A701-3F57287AB6CF}"/>
            </a:ext>
          </a:extLst>
        </xdr:cNvPr>
        <xdr:cNvSpPr txBox="1"/>
      </xdr:nvSpPr>
      <xdr:spPr>
        <a:xfrm>
          <a:off x="6957060" y="365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1</xdr:row>
      <xdr:rowOff>0</xdr:rowOff>
    </xdr:from>
    <xdr:ext cx="184731" cy="264560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B39D68B8-4064-47CC-A26D-66023511DEC5}"/>
            </a:ext>
          </a:extLst>
        </xdr:cNvPr>
        <xdr:cNvSpPr txBox="1"/>
      </xdr:nvSpPr>
      <xdr:spPr>
        <a:xfrm>
          <a:off x="6957060" y="365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1</xdr:row>
      <xdr:rowOff>0</xdr:rowOff>
    </xdr:from>
    <xdr:ext cx="184731" cy="264560"/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2343196E-5568-43FD-BD3C-BA2B2D0895F6}"/>
            </a:ext>
          </a:extLst>
        </xdr:cNvPr>
        <xdr:cNvSpPr txBox="1"/>
      </xdr:nvSpPr>
      <xdr:spPr>
        <a:xfrm>
          <a:off x="6957060" y="365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3</xdr:row>
      <xdr:rowOff>0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1DAAEDB5-50C4-45FD-85D7-A3ECA0959D02}"/>
            </a:ext>
          </a:extLst>
        </xdr:cNvPr>
        <xdr:cNvSpPr txBox="1"/>
      </xdr:nvSpPr>
      <xdr:spPr>
        <a:xfrm>
          <a:off x="6957060" y="365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3</xdr:row>
      <xdr:rowOff>0</xdr:rowOff>
    </xdr:from>
    <xdr:ext cx="184731" cy="264560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8748D359-2C07-4D3C-A4E6-3F02412CE915}"/>
            </a:ext>
          </a:extLst>
        </xdr:cNvPr>
        <xdr:cNvSpPr txBox="1"/>
      </xdr:nvSpPr>
      <xdr:spPr>
        <a:xfrm>
          <a:off x="6957060" y="365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3</xdr:row>
      <xdr:rowOff>0</xdr:rowOff>
    </xdr:from>
    <xdr:ext cx="184731" cy="264560"/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0231F8DF-DFDA-4F72-8716-2727829264B7}"/>
            </a:ext>
          </a:extLst>
        </xdr:cNvPr>
        <xdr:cNvSpPr txBox="1"/>
      </xdr:nvSpPr>
      <xdr:spPr>
        <a:xfrm>
          <a:off x="6957060" y="365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2</xdr:row>
      <xdr:rowOff>0</xdr:rowOff>
    </xdr:from>
    <xdr:ext cx="184731" cy="264560"/>
    <xdr:sp macro="" textlink="">
      <xdr:nvSpPr>
        <xdr:cNvPr id="11" name="CasellaDiTesto 10">
          <a:extLst>
            <a:ext uri="{FF2B5EF4-FFF2-40B4-BE49-F238E27FC236}">
              <a16:creationId xmlns:a16="http://schemas.microsoft.com/office/drawing/2014/main" id="{2EE95018-E63F-4239-A142-74A0998DB017}"/>
            </a:ext>
          </a:extLst>
        </xdr:cNvPr>
        <xdr:cNvSpPr txBox="1"/>
      </xdr:nvSpPr>
      <xdr:spPr>
        <a:xfrm>
          <a:off x="69570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2</xdr:row>
      <xdr:rowOff>0</xdr:rowOff>
    </xdr:from>
    <xdr:ext cx="184731" cy="264560"/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671D0F77-6A4B-4C5A-AC22-03259F80F7C6}"/>
            </a:ext>
          </a:extLst>
        </xdr:cNvPr>
        <xdr:cNvSpPr txBox="1"/>
      </xdr:nvSpPr>
      <xdr:spPr>
        <a:xfrm>
          <a:off x="69570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4</xdr:col>
      <xdr:colOff>495300</xdr:colOff>
      <xdr:row>2</xdr:row>
      <xdr:rowOff>0</xdr:rowOff>
    </xdr:from>
    <xdr:ext cx="184731" cy="264560"/>
    <xdr:sp macro="" textlink="">
      <xdr:nvSpPr>
        <xdr:cNvPr id="13" name="CasellaDiTesto 12">
          <a:extLst>
            <a:ext uri="{FF2B5EF4-FFF2-40B4-BE49-F238E27FC236}">
              <a16:creationId xmlns:a16="http://schemas.microsoft.com/office/drawing/2014/main" id="{4292D0E0-E679-49A6-A2B7-C183284CD88E}"/>
            </a:ext>
          </a:extLst>
        </xdr:cNvPr>
        <xdr:cNvSpPr txBox="1"/>
      </xdr:nvSpPr>
      <xdr:spPr>
        <a:xfrm>
          <a:off x="69570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I Antonio" refreshedDate="46010.393478356484" createdVersion="8" refreshedVersion="8" minRefreshableVersion="3" recordCount="21" xr:uid="{00000000-000A-0000-FFFF-FFFF00000000}">
  <cacheSource type="worksheet">
    <worksheetSource name="CostiVerniciatura"/>
  </cacheSource>
  <cacheFields count="10">
    <cacheField name="Risorsa" numFmtId="0">
      <sharedItems count="3">
        <s v="L1"/>
        <s v="L2"/>
        <s v="L3"/>
      </sharedItems>
    </cacheField>
    <cacheField name="TipoCosto" numFmtId="0">
      <sharedItems/>
    </cacheField>
    <cacheField name="UnMisura" numFmtId="0">
      <sharedItems/>
    </cacheField>
    <cacheField name="Qta" numFmtId="0">
      <sharedItems containsSemiMixedTypes="0" containsString="0" containsNumber="1" containsInteger="1" minValue="1" maxValue="95"/>
    </cacheField>
    <cacheField name="PeriodoQ1-26" numFmtId="167">
      <sharedItems containsSemiMixedTypes="0" containsString="0" containsNumber="1" minValue="0.31" maxValue="100"/>
    </cacheField>
    <cacheField name="TotPerQ1-26" numFmtId="167">
      <sharedItems containsSemiMixedTypes="0" containsString="0" containsNumber="1" minValue="15" maxValue="351"/>
    </cacheField>
    <cacheField name="PeriodoQ2-26" numFmtId="167">
      <sharedItems containsSemiMixedTypes="0" containsString="0" containsNumber="1" minValue="0.31" maxValue="100"/>
    </cacheField>
    <cacheField name="TotPerQ2-26" numFmtId="167">
      <sharedItems containsSemiMixedTypes="0" containsString="0" containsNumber="1" minValue="15" maxValue="351"/>
    </cacheField>
    <cacheField name="PeriodoQ3-26" numFmtId="167">
      <sharedItems containsSemiMixedTypes="0" containsString="0" containsNumber="1" minValue="0.31" maxValue="100"/>
    </cacheField>
    <cacheField name="TotPerQ3-26" numFmtId="167">
      <sharedItems containsSemiMixedTypes="0" containsString="0" containsNumber="1" minValue="15" maxValue="3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I Antonio" refreshedDate="46010.395737500003" createdVersion="8" refreshedVersion="8" minRefreshableVersion="3" recordCount="2" xr:uid="{00000000-000A-0000-FFFF-FFFF01000000}">
  <cacheSource type="worksheet">
    <worksheetSource name="RigheOfferte"/>
  </cacheSource>
  <cacheFields count="39">
    <cacheField name="CodCombi" numFmtId="0">
      <sharedItems containsBlank="1"/>
    </cacheField>
    <cacheField name="mese" numFmtId="1">
      <sharedItems containsMixedTypes="1" containsNumber="1" containsInteger="1" minValue="10" maxValue="11" count="3">
        <s v="01"/>
        <n v="10" u="1"/>
        <n v="11" u="1"/>
      </sharedItems>
    </cacheField>
    <cacheField name="Quadrimestre" numFmtId="1">
      <sharedItems/>
    </cacheField>
    <cacheField name="Nprev" numFmtId="0">
      <sharedItems containsNonDate="0" containsString="0" containsBlank="1"/>
    </cacheField>
    <cacheField name="Nriga" numFmtId="0">
      <sharedItems containsNonDate="0" containsString="0" containsBlank="1"/>
    </cacheField>
    <cacheField name="data" numFmtId="0">
      <sharedItems containsNonDate="0" containsDate="1" containsString="0" containsBlank="1" minDate="2023-01-09T00:00:00" maxDate="2024-11-19T00:00:00" count="147">
        <m/>
        <d v="2024-01-08T00:00:00" u="1"/>
        <d v="2024-01-10T00:00:00" u="1"/>
        <d v="2024-01-15T00:00:00" u="1"/>
        <d v="2024-01-19T00:00:00" u="1"/>
        <d v="2024-02-01T00:00:00" u="1"/>
        <d v="2024-02-09T00:00:00" u="1"/>
        <d v="2024-02-13T00:00:00" u="1"/>
        <d v="2024-02-19T00:00:00" u="1"/>
        <d v="2024-02-21T00:00:00" u="1"/>
        <d v="2024-02-29T00:00:00" u="1"/>
        <d v="2024-03-06T00:00:00" u="1"/>
        <d v="2024-03-13T00:00:00" u="1"/>
        <d v="2024-03-18T00:00:00" u="1"/>
        <d v="2024-03-29T00:00:00" u="1"/>
        <d v="2024-04-02T00:00:00" u="1"/>
        <d v="2024-04-09T00:00:00" u="1"/>
        <d v="2024-04-17T00:00:00" u="1"/>
        <d v="2024-04-19T00:00:00" u="1"/>
        <d v="2024-04-23T00:00:00" u="1"/>
        <d v="2024-05-03T00:00:00" u="1"/>
        <d v="2024-05-07T00:00:00" u="1"/>
        <d v="2024-05-22T00:00:00" u="1"/>
        <d v="2024-05-28T00:00:00" u="1"/>
        <d v="2024-06-07T00:00:00" u="1"/>
        <d v="2024-07-03T00:00:00" u="1"/>
        <d v="2024-07-08T00:00:00" u="1"/>
        <d v="2024-07-09T00:00:00" u="1"/>
        <d v="2024-07-11T00:00:00" u="1"/>
        <d v="2024-07-16T00:00:00" u="1"/>
        <d v="2024-07-29T00:00:00" u="1"/>
        <d v="2024-08-22T00:00:00" u="1"/>
        <d v="2024-09-02T00:00:00" u="1"/>
        <d v="2024-10-29T00:00:00" u="1"/>
        <d v="2024-09-03T00:00:00" u="1"/>
        <d v="2024-09-10T00:00:00" u="1"/>
        <d v="2024-09-13T00:00:00" u="1"/>
        <d v="2024-09-24T00:00:00" u="1"/>
        <d v="2024-09-27T00:00:00" u="1"/>
        <d v="2024-09-30T00:00:00" u="1"/>
        <d v="2024-10-02T00:00:00" u="1"/>
        <d v="2024-10-07T00:00:00" u="1"/>
        <d v="2024-10-23T00:00:00" u="1"/>
        <d v="2024-10-09T00:00:00" u="1"/>
        <d v="2024-10-16T00:00:00" u="1"/>
        <d v="2024-10-21T00:00:00" u="1"/>
        <d v="2024-10-25T00:00:00" u="1"/>
        <d v="2024-10-30T00:00:00" u="1"/>
        <d v="2024-10-31T00:00:00" u="1"/>
        <d v="2024-11-05T00:00:00" u="1"/>
        <d v="2024-11-08T00:00:00" u="1"/>
        <d v="2024-11-11T00:00:00" u="1"/>
        <d v="2024-11-13T00:00:00" u="1"/>
        <d v="2024-11-18T00:00:00" u="1"/>
        <d v="2023-01-09T00:00:00" u="1"/>
        <d v="2023-07-01T00:00:00" u="1"/>
        <d v="2023-01-11T00:00:00" u="1"/>
        <d v="2023-01-12T00:00:00" u="1"/>
        <d v="2023-01-13T00:00:00" u="1"/>
        <d v="2023-01-17T00:00:00" u="1"/>
        <d v="2023-01-18T00:00:00" u="1"/>
        <d v="2023-01-24T00:00:00" u="1"/>
        <d v="2023-02-07T00:00:00" u="1"/>
        <d v="2023-01-25T00:00:00" u="1"/>
        <d v="2023-01-26T00:00:00" u="1"/>
        <d v="2023-01-27T00:00:00" u="1"/>
        <d v="2023-01-30T00:00:00" u="1"/>
        <d v="2023-02-01T00:00:00" u="1"/>
        <d v="2023-02-03T00:00:00" u="1"/>
        <d v="2023-02-08T00:00:00" u="1"/>
        <d v="2023-02-16T00:00:00" u="1"/>
        <d v="2023-02-17T00:00:00" u="1"/>
        <d v="2023-02-20T00:00:00" u="1"/>
        <d v="2023-02-21T00:00:00" u="1"/>
        <d v="2023-02-22T00:00:00" u="1"/>
        <d v="2023-02-23T00:00:00" u="1"/>
        <d v="2023-02-24T00:00:00" u="1"/>
        <d v="2023-02-25T00:00:00" u="1"/>
        <d v="2023-02-26T00:00:00" u="1"/>
        <d v="2023-02-27T00:00:00" u="1"/>
        <d v="2023-02-28T00:00:00" u="1"/>
        <d v="2023-03-01T00:00:00" u="1"/>
        <d v="2023-03-03T00:00:00" u="1"/>
        <d v="2023-03-06T00:00:00" u="1"/>
        <d v="2023-03-07T00:00:00" u="1"/>
        <d v="2023-03-10T00:00:00" u="1"/>
        <d v="2023-04-06T00:00:00" u="1"/>
        <d v="2023-03-16T00:00:00" u="1"/>
        <d v="2023-03-21T00:00:00" u="1"/>
        <d v="2023-03-24T00:00:00" u="1"/>
        <d v="2023-03-27T00:00:00" u="1"/>
        <d v="2023-04-03T00:00:00" u="1"/>
        <d v="2023-04-13T00:00:00" u="1"/>
        <d v="2023-04-20T00:00:00" u="1"/>
        <d v="2023-04-21T00:00:00" u="1"/>
        <d v="2023-04-26T00:00:00" u="1"/>
        <d v="2023-04-27T00:00:00" u="1"/>
        <d v="2023-05-02T00:00:00" u="1"/>
        <d v="2023-05-03T00:00:00" u="1"/>
        <d v="2023-05-05T00:00:00" u="1"/>
        <d v="2023-05-08T00:00:00" u="1"/>
        <d v="2023-05-10T00:00:00" u="1"/>
        <d v="2023-05-16T00:00:00" u="1"/>
        <d v="2023-05-19T00:00:00" u="1"/>
        <d v="2023-05-22T00:00:00" u="1"/>
        <d v="2023-05-24T00:00:00" u="1"/>
        <d v="2023-05-25T00:00:00" u="1"/>
        <d v="2023-05-26T00:00:00" u="1"/>
        <d v="2023-05-29T00:00:00" u="1"/>
        <d v="2023-05-30T00:00:00" u="1"/>
        <d v="2023-05-31T00:00:00" u="1"/>
        <d v="2023-06-06T00:00:00" u="1"/>
        <d v="2023-06-09T00:00:00" u="1"/>
        <d v="2023-06-15T00:00:00" u="1"/>
        <d v="2023-06-20T00:00:00" u="1"/>
        <d v="2023-06-29T00:00:00" u="1"/>
        <d v="2023-06-30T00:00:00" u="1"/>
        <d v="2023-07-10T00:00:00" u="1"/>
        <d v="2023-07-11T00:00:00" u="1"/>
        <d v="2023-07-17T00:00:00" u="1"/>
        <d v="2023-07-18T00:00:00" u="1"/>
        <d v="2023-09-12T00:00:00" u="1"/>
        <d v="2023-07-21T00:00:00" u="1"/>
        <d v="2023-07-25T00:00:00" u="1"/>
        <d v="2023-07-26T00:00:00" u="1"/>
        <d v="2023-07-28T00:00:00" u="1"/>
        <d v="2023-08-01T00:00:00" u="1"/>
        <d v="2023-08-02T00:00:00" u="1"/>
        <d v="2023-08-29T00:00:00" u="1"/>
        <d v="2023-08-31T00:00:00" u="1"/>
        <d v="2023-09-01T00:00:00" u="1"/>
        <d v="2023-09-05T00:00:00" u="1"/>
        <d v="2023-09-06T00:00:00" u="1"/>
        <d v="2023-09-07T00:00:00" u="1"/>
        <d v="2023-09-15T00:00:00" u="1"/>
        <d v="2023-09-18T00:00:00" u="1"/>
        <d v="2023-09-20T00:00:00" u="1"/>
        <d v="2023-10-02T00:00:00" u="1"/>
        <d v="2023-10-12T00:00:00" u="1"/>
        <d v="2023-10-16T00:00:00" u="1"/>
        <d v="2023-10-24T00:00:00" u="1"/>
        <d v="2023-10-31T00:00:00" u="1"/>
        <d v="2023-11-07T00:00:00" u="1"/>
        <d v="2023-11-14T00:00:00" u="1"/>
        <d v="2023-11-15T00:00:00" u="1"/>
        <d v="2023-11-16T00:00:00" u="1"/>
        <d v="2023-11-20T00:00:00" u="1"/>
      </sharedItems>
    </cacheField>
    <cacheField name="Cliente" numFmtId="0">
      <sharedItems containsNonDate="0" containsString="0" containsBlank="1"/>
    </cacheField>
    <cacheField name="sub_cliente" numFmtId="0">
      <sharedItems containsNonDate="0" containsString="0" containsBlank="1"/>
    </cacheField>
    <cacheField name="Confermato" numFmtId="0">
      <sharedItems containsNonDate="0" containsBlank="1" count="5">
        <m/>
        <s v="NO" u="1"/>
        <s v="SI" u="1"/>
        <s v="IN ATTESA" u="1"/>
        <s v="N" u="1"/>
      </sharedItems>
    </cacheField>
    <cacheField name="Disegno" numFmtId="0">
      <sharedItems containsNonDate="0" containsString="0" containsBlank="1"/>
    </cacheField>
    <cacheField name="cod.Art." numFmtId="0">
      <sharedItems containsNonDate="0" containsString="0" containsBlank="1"/>
    </cacheField>
    <cacheField name="Descrizione" numFmtId="0">
      <sharedItems containsNonDate="0" containsString="0" containsBlank="1"/>
    </cacheField>
    <cacheField name="Lavorazione" numFmtId="0">
      <sharedItems containsNonDate="0" containsString="0" containsBlank="1"/>
    </cacheField>
    <cacheField name="Desc Lavorazione" numFmtId="0">
      <sharedItems/>
    </cacheField>
    <cacheField name="Cod Vel" numFmtId="0">
      <sharedItems containsNonDate="0" containsString="0" containsBlank="1"/>
    </cacheField>
    <cacheField name="Velocità" numFmtId="0">
      <sharedItems containsSemiMixedTypes="0" containsString="0" containsNumber="1" containsInteger="1" minValue="0" maxValue="0"/>
    </cacheField>
    <cacheField name="Colore" numFmtId="0">
      <sharedItems containsNonDate="0" containsString="0" containsBlank="1"/>
    </cacheField>
    <cacheField name="Q.ta'" numFmtId="0">
      <sharedItems containsNonDate="0" containsString="0" containsBlank="1"/>
    </cacheField>
    <cacheField name="lotto" numFmtId="0">
      <sharedItems containsNonDate="0" containsString="0" containsBlank="1"/>
    </cacheField>
    <cacheField name="passo" numFmtId="0">
      <sharedItems containsNonDate="0" containsString="0" containsBlank="1"/>
    </cacheField>
    <cacheField name="nr.pezzi Telaio" numFmtId="0">
      <sharedItems containsNonDate="0" containsString="0" containsBlank="1"/>
    </cacheField>
    <cacheField name="nr.pezzi ora-unita" numFmtId="0">
      <sharedItems containsSemiMixedTypes="0" containsString="0" containsNumber="1" containsInteger="1" minValue="0" maxValue="0"/>
    </cacheField>
    <cacheField name="Pz Ora Altre Lav" numFmtId="0">
      <sharedItems containsNonDate="0" containsString="0" containsBlank="1"/>
    </cacheField>
    <cacheField name="ORE LAVOR" numFmtId="165">
      <sharedItems containsSemiMixedTypes="0" containsString="0" containsNumber="1" containsInteger="1" minValue="0" maxValue="0"/>
    </cacheField>
    <cacheField name="cambio colore su pezzo" numFmtId="0">
      <sharedItems containsSemiMixedTypes="0" containsString="0" containsNumber="1" containsInteger="1" minValue="0" maxValue="0"/>
    </cacheField>
    <cacheField name="costo orario" numFmtId="0">
      <sharedItems containsSemiMixedTypes="0" containsString="0" containsNumber="1" containsInteger="1" minValue="0" maxValue="0"/>
    </cacheField>
    <cacheField name="Superf.pz Mq" numFmtId="166">
      <sharedItems containsNonDate="0" containsString="0" containsBlank="1"/>
    </cacheField>
    <cacheField name="MP (€kg)" numFmtId="0">
      <sharedItems containsNonDate="0" containsString="0" containsBlank="1"/>
    </cacheField>
    <cacheField name="tot.CMP pz" numFmtId="0">
      <sharedItems containsSemiMixedTypes="0" containsString="0" containsNumber="1" containsInteger="1" minValue="0" maxValue="0"/>
    </cacheField>
    <cacheField name="QtaProtez" numFmtId="0">
      <sharedItems containsNonDate="0" containsString="0" containsBlank="1"/>
    </cacheField>
    <cacheField name="Tipo Protezione" numFmtId="0">
      <sharedItems containsNonDate="0" containsString="0" containsBlank="1"/>
    </cacheField>
    <cacheField name="Costo Prot" numFmtId="164">
      <sharedItems containsString="0" containsBlank="1" containsNumber="1" containsInteger="1" minValue="0" maxValue="0"/>
    </cacheField>
    <cacheField name="altri costi" numFmtId="0">
      <sharedItems containsNonDate="0" containsString="0" containsBlank="1"/>
    </cacheField>
    <cacheField name="costo industriale pz" numFmtId="164">
      <sharedItems containsSemiMixedTypes="0" containsString="0" containsNumber="1" containsInteger="1" minValue="0" maxValue="0"/>
    </cacheField>
    <cacheField name="totale costi" numFmtId="0">
      <sharedItems containsSemiMixedTypes="0" containsString="0" containsNumber="1" containsInteger="1" minValue="0" maxValue="0"/>
    </cacheField>
    <cacheField name="Ricarico" numFmtId="9">
      <sharedItems containsSemiMixedTypes="0" containsString="0" containsNumber="1" containsInteger="1" minValue="0" maxValue="0"/>
    </cacheField>
    <cacheField name="Prezzo Di Vendita" numFmtId="164">
      <sharedItems containsSemiMixedTypes="0" containsString="0" containsNumber="1" containsInteger="1" minValue="0" maxValue="0"/>
    </cacheField>
    <cacheField name="TotaleOfferta" numFmtId="0">
      <sharedItems containsSemiMixedTypes="0" containsString="0" containsNumber="1" containsInteger="1" minValue="0" maxValue="0"/>
    </cacheField>
    <cacheField name="prezzo Mq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RETTI Daniele" refreshedDate="46080.423005902776" createdVersion="8" refreshedVersion="8" minRefreshableVersion="3" recordCount="159" xr:uid="{00000000-000A-0000-FFFF-FFFF02000000}">
  <cacheSource type="worksheet">
    <worksheetSource ref="A1:AM1048576" sheet="riepilogo prezzi"/>
  </cacheSource>
  <cacheFields count="39">
    <cacheField name="CodCombi" numFmtId="0">
      <sharedItems containsBlank="1"/>
    </cacheField>
    <cacheField name="mese" numFmtId="0">
      <sharedItems containsBlank="1"/>
    </cacheField>
    <cacheField name="Quadrimestre" numFmtId="0">
      <sharedItems containsBlank="1"/>
    </cacheField>
    <cacheField name="Nprev" numFmtId="0">
      <sharedItems containsString="0" containsBlank="1" containsNumber="1" containsInteger="1" minValue="1111" maxValue="2025151" count="347">
        <n v="202601"/>
        <n v="202602"/>
        <m/>
        <n v="202603" u="1"/>
        <n v="202604" u="1"/>
        <n v="202605" u="1"/>
        <n v="202606" u="1"/>
        <n v="202608" u="1"/>
        <n v="202609" u="1"/>
        <n v="202610" u="1"/>
        <n v="202612" u="1"/>
        <n v="202613" u="1"/>
        <n v="202614" u="1"/>
        <n v="202615" u="1"/>
        <n v="202616" u="1"/>
        <n v="202617" u="1"/>
        <n v="202618" u="1"/>
        <n v="202619" u="1"/>
        <n v="202506" u="1"/>
        <n v="202501" u="1"/>
        <n v="202502" u="1"/>
        <n v="202503" u="1"/>
        <n v="202505" u="1"/>
        <n v="202507" u="1"/>
        <n v="202508" u="1"/>
        <n v="202509" u="1"/>
        <n v="202510" u="1"/>
        <n v="202511" u="1"/>
        <n v="202512" u="1"/>
        <n v="202516" u="1"/>
        <n v="202517" u="1"/>
        <n v="202518" u="1"/>
        <n v="202520" u="1"/>
        <n v="202521" u="1"/>
        <n v="202522" u="1"/>
        <n v="202523" u="1"/>
        <n v="202524" u="1"/>
        <n v="202526" u="1"/>
        <n v="202527" u="1"/>
        <n v="202528" u="1"/>
        <n v="202529" u="1"/>
        <n v="202530" u="1"/>
        <n v="202531" u="1"/>
        <n v="202539" u="1"/>
        <n v="202540" u="1"/>
        <n v="202541" u="1"/>
        <n v="202542" u="1"/>
        <n v="202544" u="1"/>
        <n v="202545" u="1"/>
        <n v="202546" u="1"/>
        <n v="202547" u="1"/>
        <n v="202548" u="1"/>
        <n v="202549" u="1"/>
        <n v="202550" u="1"/>
        <n v="202551" u="1"/>
        <n v="202552" u="1"/>
        <n v="202553" u="1"/>
        <n v="202554" u="1"/>
        <n v="202555" u="1"/>
        <n v="202556" u="1"/>
        <n v="202557" u="1"/>
        <n v="202558" u="1"/>
        <n v="202559" u="1"/>
        <n v="202560" u="1"/>
        <n v="202561" u="1"/>
        <n v="202562" u="1"/>
        <n v="202563" u="1"/>
        <n v="202564" u="1"/>
        <n v="202565" u="1"/>
        <n v="202566" u="1"/>
        <n v="202567" u="1"/>
        <n v="202568" u="1"/>
        <n v="202569" u="1"/>
        <n v="202570" u="1"/>
        <n v="202571" u="1"/>
        <n v="202573" u="1"/>
        <n v="202574" u="1"/>
        <n v="202575" u="1"/>
        <n v="202576" u="1"/>
        <n v="202577" u="1"/>
        <n v="202578" u="1"/>
        <n v="202579" u="1"/>
        <n v="202580" u="1"/>
        <n v="202581" u="1"/>
        <n v="202582" u="1"/>
        <n v="202583" u="1"/>
        <n v="202584" u="1"/>
        <n v="202585" u="1"/>
        <n v="202587" u="1"/>
        <n v="202588" u="1"/>
        <n v="202589" u="1"/>
        <n v="202590" u="1"/>
        <n v="202591" u="1"/>
        <n v="202592" u="1"/>
        <n v="202593" u="1"/>
        <n v="202594" u="1"/>
        <n v="202595" u="1"/>
        <n v="202596" u="1"/>
        <n v="202598" u="1"/>
        <n v="202599" u="1"/>
        <n v="2025100" u="1"/>
        <n v="2025101" u="1"/>
        <n v="2025102" u="1"/>
        <n v="2025103" u="1"/>
        <n v="2025104" u="1"/>
        <n v="2025106" u="1"/>
        <n v="2025107" u="1"/>
        <n v="2025108" u="1"/>
        <n v="2025110" u="1"/>
        <n v="2025111" u="1"/>
        <n v="2025112" u="1"/>
        <n v="2025113" u="1"/>
        <n v="2025114" u="1"/>
        <n v="2025115" u="1"/>
        <n v="2025116" u="1"/>
        <n v="2025117" u="1"/>
        <n v="2025119" u="1"/>
        <n v="2025120" u="1"/>
        <n v="2025121" u="1"/>
        <n v="2025122" u="1"/>
        <n v="2025123" u="1"/>
        <n v="2025125" u="1"/>
        <n v="2025126" u="1"/>
        <n v="2025127" u="1"/>
        <n v="2025128" u="1"/>
        <n v="2025129" u="1"/>
        <n v="2025130" u="1"/>
        <n v="2025131" u="1"/>
        <n v="2025132" u="1"/>
        <n v="2025133" u="1"/>
        <n v="2025134" u="1"/>
        <n v="2025135" u="1"/>
        <n v="2025136" u="1"/>
        <n v="2025137" u="1"/>
        <n v="2025138" u="1"/>
        <n v="2025139" u="1"/>
        <n v="2025140" u="1"/>
        <n v="2025141" u="1"/>
        <n v="2025142" u="1"/>
        <n v="2025143" u="1"/>
        <n v="2025144" u="1"/>
        <n v="2025146" u="1"/>
        <n v="2025147" u="1"/>
        <n v="2025148" u="1"/>
        <n v="2025149" u="1"/>
        <n v="2025150" u="1"/>
        <n v="2025151" u="1"/>
        <n v="2023106" u="1"/>
        <n v="202513" u="1"/>
        <n v="200509" u="1"/>
        <n v="198509" u="1"/>
        <n v="196509" u="1"/>
        <n v="194509" u="1"/>
        <n v="182509" u="1"/>
        <n v="180509" u="1"/>
        <n v="178509" u="1"/>
        <n v="176509" u="1"/>
        <n v="202401" u="1"/>
        <n v="202402" u="1"/>
        <n v="202403" u="1"/>
        <n v="202405" u="1"/>
        <n v="202407" u="1"/>
        <n v="202408" u="1"/>
        <n v="202411" u="1"/>
        <n v="202413" u="1"/>
        <n v="202414" u="1"/>
        <n v="202416" u="1"/>
        <n v="202417" u="1"/>
        <n v="202418" u="1"/>
        <n v="202419" u="1"/>
        <n v="202420" u="1"/>
        <n v="202422" u="1"/>
        <n v="202423" u="1"/>
        <n v="202425" u="1"/>
        <n v="202426" u="1"/>
        <n v="202427" u="1"/>
        <n v="202429" u="1"/>
        <n v="202430" u="1"/>
        <n v="202431" u="1"/>
        <n v="202433" u="1"/>
        <n v="202434" u="1"/>
        <n v="202436" u="1"/>
        <n v="202437" u="1"/>
        <n v="202439" u="1"/>
        <n v="202440" u="1"/>
        <n v="202441" u="1"/>
        <n v="202443" u="1"/>
        <n v="202444" u="1"/>
        <n v="202445" u="1"/>
        <n v="202447" u="1"/>
        <n v="202449" u="1"/>
        <n v="202451" u="1"/>
        <n v="202452" u="1"/>
        <n v="202453" u="1"/>
        <n v="202454" u="1"/>
        <n v="202455" u="1"/>
        <n v="202456" u="1"/>
        <n v="202457" u="1"/>
        <n v="202458" u="1"/>
        <n v="202459" u="1"/>
        <n v="202460" u="1"/>
        <n v="202461" u="1"/>
        <n v="202462" u="1"/>
        <n v="202463" u="1"/>
        <n v="202465" u="1"/>
        <n v="202467" u="1"/>
        <n v="202468" u="1"/>
        <n v="202471" u="1"/>
        <n v="202472" u="1"/>
        <n v="202473" u="1"/>
        <n v="202474" u="1"/>
        <n v="202475" u="1"/>
        <n v="202476" u="1"/>
        <n v="202477" u="1"/>
        <n v="202478" u="1"/>
        <n v="202479" u="1"/>
        <n v="202480" u="1"/>
        <n v="202481" u="1"/>
        <n v="202483" u="1"/>
        <n v="202484" u="1"/>
        <n v="202486" u="1"/>
        <n v="202487" u="1"/>
        <n v="202489" u="1"/>
        <n v="202490" u="1"/>
        <n v="202492" u="1"/>
        <n v="202493" u="1"/>
        <n v="202494" u="1"/>
        <n v="202495" u="1"/>
        <n v="202496" u="1"/>
        <n v="202497" u="1"/>
        <n v="202498" u="1"/>
        <n v="202499" u="1"/>
        <n v="2024101" u="1"/>
        <n v="2024102" u="1"/>
        <n v="2024104" u="1"/>
        <n v="202482" u="1"/>
        <n v="202301" u="1"/>
        <n v="202302" u="1"/>
        <n v="202303" u="1"/>
        <n v="202304" u="1"/>
        <n v="202305" u="1"/>
        <n v="202306" u="1"/>
        <n v="202307" u="1"/>
        <n v="202308" u="1"/>
        <n v="202309" u="1"/>
        <n v="202310" u="1"/>
        <n v="202311" u="1"/>
        <n v="202312" u="1"/>
        <n v="202313" u="1"/>
        <n v="202314" u="1"/>
        <n v="202315" u="1"/>
        <n v="202316" u="1"/>
        <n v="202318" u="1"/>
        <n v="202319" u="1"/>
        <n v="202320" u="1"/>
        <n v="202321" u="1"/>
        <n v="202322" u="1"/>
        <n v="202323" u="1"/>
        <n v="202324" u="1"/>
        <n v="202325" u="1"/>
        <n v="202326" u="1"/>
        <n v="202327" u="1"/>
        <n v="202328" u="1"/>
        <n v="202329" u="1"/>
        <n v="202330" u="1"/>
        <n v="202331" u="1"/>
        <n v="202332" u="1"/>
        <n v="202333" u="1"/>
        <n v="202334" u="1"/>
        <n v="202335" u="1"/>
        <n v="202336" u="1"/>
        <n v="202337" u="1"/>
        <n v="202338" u="1"/>
        <n v="202340" u="1"/>
        <n v="202341" u="1"/>
        <n v="202342" u="1"/>
        <n v="202343" u="1"/>
        <n v="202344" u="1"/>
        <n v="202345" u="1"/>
        <n v="202346" u="1"/>
        <n v="202347" u="1"/>
        <n v="202348" u="1"/>
        <n v="202349" u="1"/>
        <n v="202350" u="1"/>
        <n v="202351" u="1"/>
        <n v="202352" u="1"/>
        <n v="202353" u="1"/>
        <n v="202354" u="1"/>
        <n v="202355" u="1"/>
        <n v="202356" u="1"/>
        <n v="202357" u="1"/>
        <n v="202358" u="1"/>
        <n v="202359" u="1"/>
        <n v="202360" u="1"/>
        <n v="202362" u="1"/>
        <n v="202363" u="1"/>
        <n v="202367" u="1"/>
        <n v="202366" u="1"/>
        <n v="202368" u="1"/>
        <n v="202369" u="1"/>
        <n v="202370" u="1"/>
        <n v="202372" u="1"/>
        <n v="202373" u="1"/>
        <n v="202374" u="1"/>
        <n v="202375" u="1"/>
        <n v="202376" u="1"/>
        <n v="202377" u="1"/>
        <n v="202379" u="1"/>
        <n v="202380" u="1"/>
        <n v="202381" u="1"/>
        <n v="202382" u="1"/>
        <n v="202383" u="1"/>
        <n v="202384" u="1"/>
        <n v="202385" u="1"/>
        <n v="202386" u="1"/>
        <n v="202387" u="1"/>
        <n v="202388" u="1"/>
        <n v="202389" u="1"/>
        <n v="202390" u="1"/>
        <n v="202391" u="1"/>
        <n v="202393" u="1"/>
        <n v="202394" u="1"/>
        <n v="202396" u="1"/>
        <n v="202398" u="1"/>
        <n v="202399" u="1"/>
        <n v="2023100" u="1"/>
        <n v="2023101" u="1"/>
        <n v="2023102" u="1"/>
        <n v="2023104" u="1"/>
        <n v="2023105" u="1"/>
        <n v="2023107" u="1"/>
        <n v="2023108" u="1"/>
        <n v="2023110" u="1"/>
        <n v="2023111" u="1"/>
        <n v="2023112" u="1"/>
        <n v="2023113" u="1"/>
        <n v="2023114" u="1"/>
        <n v="2023115" u="1"/>
        <n v="2023116" u="1"/>
        <n v="2023119" u="1"/>
        <n v="2023120" u="1"/>
        <n v="2023121" u="1"/>
        <n v="2023122" u="1"/>
        <n v="2023123" u="1"/>
        <n v="2023124" u="1"/>
        <n v="2023125" u="1"/>
        <n v="1111" u="1"/>
      </sharedItems>
    </cacheField>
    <cacheField name="Nriga" numFmtId="0">
      <sharedItems containsString="0" containsBlank="1" containsNumber="1" containsInteger="1" minValue="1" maxValue="3"/>
    </cacheField>
    <cacheField name="data" numFmtId="0">
      <sharedItems containsNonDate="0" containsDate="1" containsString="0" containsBlank="1" minDate="2026-01-07T00:00:00" maxDate="2026-02-27T00:00:00"/>
    </cacheField>
    <cacheField name="Cliente" numFmtId="0">
      <sharedItems containsBlank="1"/>
    </cacheField>
    <cacheField name="sub_cliente" numFmtId="0">
      <sharedItems containsBlank="1"/>
    </cacheField>
    <cacheField name="Confermato" numFmtId="0">
      <sharedItems containsBlank="1"/>
    </cacheField>
    <cacheField name="Disegno" numFmtId="0">
      <sharedItems containsBlank="1"/>
    </cacheField>
    <cacheField name="cod.Art." numFmtId="0">
      <sharedItems containsString="0" containsBlank="1" containsNumber="1" minValue="10127" maxValue="560040105200" count="712">
        <n v="5600755201"/>
        <n v="3037280"/>
        <m/>
        <n v="490008" u="1"/>
        <n v="109699" u="1"/>
        <n v="2005006" u="1"/>
        <n v="2000881" u="1"/>
        <n v="2005004" u="1"/>
        <n v="2000812" u="1"/>
        <n v="4100050" u="1"/>
        <n v="5600587621" u="1"/>
        <n v="28086728" u="1"/>
        <n v="28086840" u="1"/>
        <n v="2000878" u="1"/>
        <n v="2000875" u="1"/>
        <n v="2000845" u="1"/>
        <n v="2000846" u="1"/>
        <n v="2000807" u="1"/>
        <n v="2000808" u="1"/>
        <n v="5600732849" u="1"/>
        <n v="5600732915" u="1"/>
        <n v="5600736234" u="1"/>
        <n v="5600736885" u="1"/>
        <n v="5600736952" u="1"/>
        <n v="461095" u="1"/>
        <n v="2017831" u="1"/>
        <n v="2017827" u="1"/>
        <n v="2017828" u="1"/>
        <n v="2017936" u="1"/>
        <n v="2017833" u="1"/>
        <n v="2017991" u="1"/>
        <n v="5600738012" u="1"/>
        <n v="54065742" u="1"/>
        <n v="801371" u="1"/>
        <n v="460819" u="1"/>
        <n v="461096" u="1"/>
        <n v="461145" u="1"/>
        <n v="461173" u="1"/>
        <n v="461266" u="1"/>
        <n v="461359" u="1"/>
        <n v="461376" u="1"/>
        <n v="461378" u="1"/>
        <n v="94670148" u="1"/>
        <n v="5600741005" u="1"/>
        <n v="5600741037" u="1"/>
        <n v="90423" u="1"/>
        <n v="5600739743" u="1"/>
        <n v="5600741712" u="1"/>
        <n v="5600741690" u="1"/>
        <n v="5600740591" u="1"/>
        <n v="5600740540" u="1"/>
        <n v="5600742703" u="1"/>
        <n v="800017" u="1"/>
        <n v="5600742896" u="1"/>
        <n v="28086636" u="1"/>
        <n v="28087431" u="1"/>
        <n v="2202868405" u="1"/>
        <n v="2202868416" u="1"/>
        <n v="2204223641" u="1"/>
        <n v="2204225024" u="1"/>
        <n v="2204176700" u="1"/>
        <n v="28087301" u="1"/>
        <n v="5600743636" u="1"/>
        <n v="51200020" u="1"/>
        <n v="51200039" u="1"/>
        <n v="51200086" u="1"/>
        <n v="51200132" u="1"/>
        <n v="51200174" u="1"/>
        <n v="51200188" u="1"/>
        <n v="51200213" u="1"/>
        <n v="51200313" u="1"/>
        <n v="51200318" u="1"/>
        <n v="51200319" u="1"/>
        <n v="51200364" u="1"/>
        <n v="51200378" u="1"/>
        <n v="51200379" u="1"/>
        <n v="51200393" u="1"/>
        <n v="51200460" u="1"/>
        <n v="51200463" u="1"/>
        <n v="51200484" u="1"/>
        <n v="51200871" u="1"/>
        <n v="51203107" u="1"/>
        <n v="51203112" u="1"/>
        <n v="51203113" u="1"/>
        <n v="88002276" u="1"/>
        <n v="51200041" u="1"/>
        <n v="21813" u="1"/>
        <n v="21820" u="1"/>
        <n v="51200172" u="1"/>
        <n v="51200317" u="1"/>
        <n v="51200353" u="1"/>
        <n v="51200390" u="1"/>
        <n v="51200464" u="1"/>
        <n v="51200654" u="1"/>
        <n v="51203109" u="1"/>
        <n v="254001089" u="1"/>
        <n v="254001107" u="1"/>
        <n v="254001108" u="1"/>
        <n v="254001145" u="1"/>
        <n v="254001184" u="1"/>
        <n v="254001185" u="1"/>
        <n v="254001186" u="1"/>
        <n v="254001201" u="1"/>
        <n v="254001211" u="1"/>
        <n v="254001212" u="1"/>
        <n v="5600740573" u="1"/>
        <n v="5600741217" u="1"/>
        <n v="5600741496" u="1"/>
        <n v="5600745202" u="1"/>
        <n v="5600694890" u="1"/>
        <n v="5600713962" u="1"/>
        <n v="5600715205" u="1"/>
        <n v="28087332" u="1"/>
        <n v="28087422" u="1"/>
        <n v="5600739913" u="1"/>
        <n v="66102226" u="1"/>
        <n v="66102270" u="1"/>
        <n v="66102558" u="1"/>
        <n v="66102559" u="1"/>
        <n v="66102726" u="1"/>
        <n v="66102739" u="1"/>
        <n v="66102991" u="1"/>
        <n v="66102992" u="1"/>
        <n v="540070277800" u="1"/>
        <n v="540060163801" u="1"/>
        <n v="540060163900" u="1"/>
        <n v="5600712598" u="1"/>
        <n v="5600712620" u="1"/>
        <n v="5600714824" u="1"/>
        <n v="5600714826" u="1"/>
        <n v="5600714828" u="1"/>
        <n v="5600714856" u="1"/>
        <n v="5600714866" u="1"/>
        <n v="5600740517" u="1"/>
        <n v="1649811060" u="1"/>
        <n v="4810084003" u="1"/>
        <n v="4810084228" u="1"/>
        <n v="28087426" u="1"/>
        <n v="28087435" u="1"/>
        <n v="28087439" u="1"/>
        <n v="28087480" u="1"/>
        <n v="28087481" u="1"/>
        <n v="7000118980" u="1"/>
        <n v="10396" u="1"/>
        <n v="61330942" u="1"/>
        <n v="9820850222" u="1"/>
        <n v="9820850260" u="1"/>
        <n v="9820885261" u="1"/>
        <n v="10127" u="1"/>
        <n v="10130" u="1"/>
        <n v="9820850224" u="1"/>
        <n v="9820850234" u="1"/>
        <n v="2202551276" u="1"/>
        <n v="2202560102" u="1"/>
        <n v="10392" u="1"/>
        <n v="2202560105" u="1"/>
        <n v="746163004" u="1"/>
        <n v="5600712687" u="1"/>
        <n v="500002372" u="1"/>
        <n v="500002373" u="1"/>
        <n v="500002374" u="1"/>
        <n v="500002375" u="1"/>
        <n v="500002376" u="1"/>
        <n v="500002377" u="1"/>
        <n v="500002378" u="1"/>
        <n v="500002379" u="1"/>
        <n v="500002380" u="1"/>
        <n v="500002381" u="1"/>
        <n v="500002382" u="1"/>
        <n v="500002383" u="1"/>
        <n v="500002384" u="1"/>
        <n v="500002385" u="1"/>
        <n v="500002386" u="1"/>
        <n v="500002422" u="1"/>
        <n v="5600749192" u="1"/>
        <n v="28086750" u="1"/>
        <n v="28086816" u="1"/>
        <n v="28086847" u="1"/>
        <n v="28087321" u="1"/>
        <n v="28087432" u="1"/>
        <n v="5600749806" u="1"/>
        <n v="5600749807" u="1"/>
        <n v="5600749927" u="1"/>
        <n v="5600749953" u="1"/>
        <n v="5600749942" u="1"/>
        <n v="5600750134" u="1"/>
        <n v="28085783" u="1"/>
        <n v="28087434" u="1"/>
        <n v="28087436" u="1"/>
        <n v="28087438" u="1"/>
        <n v="28087442" u="1"/>
        <n v="28087444" u="1"/>
        <n v="28087446" u="1"/>
        <n v="28087461" u="1"/>
        <n v="28087489" u="1"/>
        <n v="1649811078" u="1"/>
        <n v="2020265" u="1"/>
        <n v="1000296" u="1"/>
        <n v="28087452" u="1"/>
        <n v="28086802" u="1"/>
        <n v="2000813" u="1"/>
        <n v="2000864" u="1"/>
        <n v="2000874" u="1"/>
        <n v="2000882" u="1"/>
        <n v="2005008" u="1"/>
        <n v="2005012" u="1"/>
        <n v="2005010" u="1"/>
        <n v="2005011" u="1"/>
        <n v="2005014" u="1"/>
        <n v="2005015" u="1"/>
        <n v="2000873" u="1"/>
        <n v="2000872" u="1"/>
        <n v="28086031" u="1"/>
        <n v="28084941" u="1"/>
        <n v="28085251" u="1"/>
        <n v="10045048" u="1"/>
        <n v="10045081" u="1"/>
        <n v="10045082" u="1"/>
        <n v="10045083" u="1"/>
        <n v="10045090" u="1"/>
        <n v="10045095" u="1"/>
        <n v="10045098" u="1"/>
        <n v="10045144" u="1"/>
        <n v="10045146" u="1"/>
        <n v="94093000" u="1"/>
        <n v="28084730" u="1"/>
        <n v="28085175" u="1"/>
        <n v="28085922" u="1"/>
        <n v="28086954" u="1"/>
        <n v="28085781" u="1"/>
        <n v="28087486" u="1"/>
        <n v="680624" u="1"/>
        <n v="680691" u="1"/>
        <n v="680741" u="1"/>
        <n v="5600750164" u="1"/>
        <n v="5600751029" u="1"/>
        <n v="3919158" u="1"/>
        <n v="3919159" u="1"/>
        <n v="3919160" u="1"/>
        <n v="3919161" u="1"/>
        <n v="3919162" u="1"/>
        <n v="3919163" u="1"/>
        <n v="3919164" u="1"/>
        <n v="3919165" u="1"/>
        <n v="3919166" u="1"/>
        <n v="3919169" u="1"/>
        <n v="7000105374" u="1"/>
        <n v="7000105375" u="1"/>
        <n v="28087497" u="1"/>
        <n v="28087499" u="1"/>
        <n v="28086881" u="1"/>
        <n v="701850" u="1"/>
        <n v="701851" u="1"/>
        <n v="701852" u="1"/>
        <n v="701853" u="1"/>
        <n v="701854" u="1"/>
        <n v="372111327" u="1"/>
        <n v="560040104100" u="1"/>
        <n v="560040104200" u="1"/>
        <n v="560040104300" u="1"/>
        <n v="560040104400" u="1"/>
        <n v="560040104500" u="1"/>
        <n v="560040104600" u="1"/>
        <n v="560040104700" u="1"/>
        <n v="560040104800" u="1"/>
        <n v="560040104900" u="1"/>
        <n v="560040105000" u="1"/>
        <n v="560040105100" u="1"/>
        <n v="560040105200" u="1"/>
        <n v="2005007" u="1"/>
        <n v="47318880" u="1"/>
        <n v="47318900" u="1"/>
        <n v="47318980" u="1"/>
        <n v="47418180" u="1"/>
        <n v="446167" u="1"/>
        <n v="40074" u="1"/>
        <n v="40594" u="1"/>
        <n v="28087333" u="1"/>
        <n v="5600701001" u="1"/>
        <n v="12087746592" u="1"/>
        <n v="12087746594" u="1"/>
        <n v="5600717313" u="1"/>
        <n v="5600717314" u="1"/>
        <n v="5600709257" u="1"/>
        <n v="4810082554" u="1"/>
        <n v="4810072324" u="1"/>
        <n v="5600709258" u="1"/>
        <n v="5600709259" u="1"/>
        <n v="5600709262" u="1"/>
        <n v="5600709271" u="1"/>
        <n v="5600714116" u="1"/>
        <n v="5600714268" u="1"/>
        <n v="5600717853" u="1"/>
        <n v="5600718873" u="1"/>
        <n v="746069004" u="1"/>
        <n v="746119004" u="1"/>
        <n v="746120004" u="1"/>
        <n v="746514004" u="1"/>
        <n v="746532004" u="1"/>
        <n v="2054257" u="1"/>
        <n v="5600720443" u="1"/>
        <n v="5600720444" u="1"/>
        <n v="5600720445" u="1"/>
        <n v="5600720480" u="1"/>
        <n v="32551311" u="1"/>
        <n v="32551560" u="1"/>
        <n v="32551312" u="1"/>
        <n v="32551562" u="1"/>
        <n v="192339" u="1"/>
        <n v="191024" u="1"/>
        <n v="191027000" u="1"/>
        <n v="191210" u="1"/>
        <n v="190985" u="1"/>
        <n v="191331" u="1"/>
        <n v="191328" u="1"/>
        <n v="191701" u="1"/>
        <n v="540060178600" u="1"/>
        <n v="540060178700" u="1"/>
        <n v="540060178800" u="1"/>
        <n v="5600719849" u="1"/>
        <n v="5600699740" u="1"/>
        <n v="190138" u="1"/>
        <n v="191034" u="1"/>
        <n v="191704" u="1"/>
        <n v="191706" u="1"/>
        <n v="191710" u="1"/>
        <n v="191720" u="1"/>
        <n v="191721" u="1"/>
        <n v="191730" u="1"/>
        <n v="191850" u="1"/>
        <n v="192210" u="1"/>
        <n v="192307" u="1"/>
        <n v="192331" u="1"/>
        <n v="4801929" u="1"/>
        <n v="4791307" u="1"/>
        <n v="229138" u="1"/>
        <n v="4762579" u="1"/>
        <n v="4762580" u="1"/>
        <n v="4762581" u="1"/>
        <n v="4762582" u="1"/>
        <n v="4762583" u="1"/>
        <n v="4762584" u="1"/>
        <n v="4762635" u="1"/>
        <n v="4762636" u="1"/>
        <n v="4762638" u="1"/>
        <n v="4807910" u="1"/>
        <n v="4807911" u="1"/>
        <n v="10037978" u="1"/>
        <n v="10039410" u="1"/>
        <n v="10039412" u="1"/>
        <n v="10039991" u="1"/>
        <n v="10043560" u="1"/>
        <n v="10043564" u="1"/>
        <n v="10043565" u="1"/>
        <n v="10043608" u="1"/>
        <n v="10043629" u="1"/>
        <n v="10043630" u="1"/>
        <n v="10043631" u="1"/>
        <n v="10044333" u="1"/>
        <n v="10044421" u="1"/>
        <n v="10044568" u="1"/>
        <n v="10044569" u="1"/>
        <n v="10044571" u="1"/>
        <n v="10044573" u="1"/>
        <n v="10044574" u="1"/>
        <n v="10044575" u="1"/>
        <n v="10043566" u="1"/>
        <n v="10043634" u="1"/>
        <n v="540060176900" u="1"/>
        <n v="540060177300" u="1"/>
        <n v="540060177600" u="1"/>
        <n v="540060177700" u="1"/>
        <n v="540060177800" u="1"/>
        <n v="540060178400" u="1"/>
        <n v="51026002" u="1"/>
        <n v="5600727964" u="1"/>
        <n v="320200019" u="1"/>
        <n v="100906745" u="1"/>
        <n v="100906865" u="1"/>
        <n v="100906915" u="1"/>
        <n v="100906918" u="1"/>
        <n v="100913254" u="1"/>
        <n v="100913258" u="1"/>
        <n v="100913262" u="1"/>
        <n v="100913265" u="1"/>
        <n v="100913472" u="1"/>
        <n v="100913473" u="1"/>
        <n v="100913474" u="1"/>
        <n v="100913715" u="1"/>
        <n v="100913745" u="1"/>
        <n v="100913881" u="1"/>
        <n v="100914131" u="1"/>
        <n v="100914589" u="1"/>
        <n v="100914590" u="1"/>
        <n v="100914591" u="1"/>
        <n v="100915157" u="1"/>
        <n v="100914592" u="1"/>
        <n v="61330770" u="1"/>
        <n v="66100460" u="1"/>
        <n v="66101840" u="1"/>
        <n v="66101841" u="1"/>
        <n v="66101842" u="1"/>
        <n v="66101843" u="1"/>
        <n v="66101844" u="1"/>
        <n v="66101870" u="1"/>
        <n v="66101871" u="1"/>
        <n v="66101872" u="1"/>
        <n v="66101873" u="1"/>
        <n v="66101874" u="1"/>
        <n v="66101885" u="1"/>
        <n v="66101886" u="1"/>
        <n v="66101887" u="1"/>
        <n v="66101922" u="1"/>
        <n v="61330819" u="1"/>
        <n v="61330788" u="1"/>
        <n v="5600730024" u="1"/>
        <n v="5600730111" u="1"/>
        <n v="540060182900" u="1"/>
        <n v="540060183000" u="1"/>
        <n v="540060183100" u="1"/>
        <n v="540060183200" u="1"/>
        <n v="540060183300" u="1"/>
        <n v="5600715313" u="1"/>
        <n v="5600726240" u="1"/>
        <n v="5600726583" u="1"/>
        <n v="5600730113" u="1"/>
        <n v="2610893" u="1"/>
        <n v="2610894" u="1"/>
        <n v="2008508" u="1"/>
        <n v="2610871" u="1"/>
        <n v="2673722" u="1"/>
        <n v="2673612" u="1"/>
        <n v="3920300553" u="1"/>
        <n v="5710300027" u="1"/>
        <n v="5710300074" u="1"/>
        <n v="3906751" u="1"/>
        <n v="3914041" u="1"/>
        <n v="3910046" u="1"/>
        <n v="3905429" u="1"/>
        <n v="372111505" u="1"/>
        <n v="372111541" u="1"/>
        <n v="372111542" u="1"/>
        <n v="372111506" u="1"/>
        <n v="372111488" u="1"/>
        <n v="372111500" u="1"/>
        <n v="5600732867" u="1"/>
        <n v="5600732749" u="1"/>
        <n v="5600732885" u="1"/>
        <n v="5600732893" u="1"/>
        <n v="5600732846" u="1"/>
        <n v="5600731177" u="1"/>
        <n v="5600732798" u="1"/>
        <n v="5600732841" u="1"/>
        <n v="10041026" u="1"/>
        <n v="10042879" u="1"/>
        <n v="10044010" u="1"/>
        <n v="10044554" u="1"/>
        <n v="10044728" u="1"/>
        <n v="400034" u="1"/>
        <n v="400039" u="1"/>
        <n v="710043629" u="1"/>
        <n v="710043630" u="1"/>
        <n v="710043631" u="1"/>
        <n v="710043634" u="1"/>
        <n v="710044333" u="1"/>
        <n v="710044553" u="1"/>
        <n v="710044569" u="1"/>
        <n v="710044599" u="1"/>
        <n v="710044600" u="1"/>
        <n v="710044601" u="1"/>
        <n v="710044625" u="1"/>
        <n v="710044626" u="1"/>
        <n v="710044687" u="1"/>
        <n v="710044727" u="1"/>
        <n v="10044602" u="1"/>
        <n v="10044589" u="1"/>
        <n v="720044557" u="1"/>
        <n v="720044558" u="1"/>
        <n v="340201" u="1"/>
        <n v="461410" u="1"/>
        <n v="461411" u="1"/>
        <n v="461412" u="1"/>
        <n v="461413" u="1"/>
        <n v="461414" u="1"/>
        <n v="461415" u="1"/>
        <n v="461416" u="1"/>
        <n v="461417" u="1"/>
        <n v="461418" u="1"/>
        <n v="800006" u="1"/>
        <n v="800016" u="1"/>
        <n v="800018" u="1"/>
        <n v="800019" u="1"/>
        <n v="800024" u="1"/>
        <n v="800030" u="1"/>
        <n v="5600718585" u="1"/>
        <n v="701790" u="1"/>
        <n v="801487" u="1"/>
        <n v="800022" u="1"/>
        <n v="800000" u="1"/>
        <n v="461586" u="1"/>
        <n v="461597" u="1"/>
        <n v="710044742" u="1"/>
        <n v="710044807" u="1"/>
        <n v="710044808" u="1"/>
        <n v="9815895" u="1"/>
        <n v="6880148" u="1"/>
        <n v="55186326" u="1"/>
        <n v="52001068" u="1"/>
        <n v="52001069" u="1"/>
        <n v="52001070" u="1"/>
        <n v="52001071" u="1"/>
        <n v="52001072" u="1"/>
        <n v="52000859" u="1"/>
        <n v="701414" u="1"/>
        <n v="701415" u="1"/>
        <n v="701416" u="1"/>
        <n v="701417" u="1"/>
        <n v="701124" u="1"/>
        <n v="701128" u="1"/>
        <n v="701129" u="1"/>
        <n v="701226" u="1"/>
        <n v="701227" u="1"/>
        <n v="701228" u="1"/>
        <n v="701229" u="1"/>
        <n v="701125" u="1"/>
        <n v="701126" u="1"/>
        <n v="701127" u="1"/>
        <n v="2000101295" u="1"/>
        <n v="2000112903" u="1"/>
        <n v="2000112904" u="1"/>
        <n v="7769192" u="1"/>
        <n v="7769193" u="1"/>
        <n v="7769511" u="1"/>
        <n v="7786457" u="1"/>
        <n v="7786463" u="1"/>
        <n v="7786470" u="1"/>
        <n v="7786737" u="1"/>
        <n v="7786748" u="1"/>
        <n v="7787177" u="1"/>
        <n v="7787202" u="1"/>
        <n v="7787205" u="1"/>
        <n v="7787207" u="1"/>
        <n v="7800290" u="1"/>
        <n v="4000447" u="1"/>
        <n v="710522440" u="1"/>
        <n v="710522450" u="1"/>
        <n v="710522460" u="1"/>
        <n v="710522470" u="1"/>
        <n v="710523310" u="1"/>
        <n v="710522830" u="1"/>
        <n v="710522890" u="1"/>
        <n v="710523010" u="1"/>
        <n v="81000109675" u="1"/>
        <n v="81000130359" u="1"/>
        <n v="81000148912" u="1"/>
        <n v="81000149729" u="1"/>
        <n v="81000149836" u="1"/>
        <n v="81000149823" u="1"/>
        <n v="81000150561" u="1"/>
        <n v="81000150757" u="1"/>
        <n v="81000150771" u="1"/>
        <n v="81000151669" u="1"/>
        <n v="81000152634" u="1"/>
        <n v="81000152661" u="1"/>
        <n v="81000152722" u="1"/>
        <n v="81000149641" u="1"/>
        <n v="81000150499" u="1"/>
        <n v="81000150650" u="1"/>
        <n v="81000152921" u="1"/>
        <n v="81000152925" u="1"/>
        <n v="81000152926" u="1"/>
        <n v="81000152928" u="1"/>
        <n v="81000152930" u="1"/>
        <n v="81000149677" u="1"/>
        <n v="81000151644" u="1"/>
        <n v="81000152452" u="1"/>
        <n v="3772353" u="1"/>
        <n v="4032437" u="1"/>
        <n v="4032536" u="1"/>
        <n v="4033248" u="1"/>
        <n v="4032555" u="1"/>
        <n v="4032558" u="1"/>
        <n v="4032560" u="1"/>
        <n v="4033095" u="1"/>
        <n v="4034293" u="1"/>
        <n v="5600514822" u="1"/>
        <n v="5600679493" u="1"/>
        <n v="5600679494" u="1"/>
        <n v="5600695957" u="1"/>
        <n v="8857438" u="1"/>
        <n v="4078584" u="1"/>
        <n v="4078585" u="1"/>
        <n v="4078643" u="1"/>
        <n v="4213325" u="1"/>
        <n v="4213326" u="1"/>
        <n v="4213327" u="1"/>
        <n v="4213328" u="1"/>
        <n v="4213329" u="1"/>
        <n v="4213330" u="1"/>
        <n v="15699888" u="1"/>
        <n v="15699889" u="1"/>
        <n v="15029930" u="1"/>
        <n v="15390160" u="1"/>
        <n v="15028760" u="1"/>
        <n v="7643107" u="1"/>
        <n v="5600706055" u="1"/>
        <n v="5600706452" u="1"/>
        <n v="210203960" u="1"/>
        <n v="210203961" u="1"/>
        <n v="303800053" u="1"/>
        <n v="10319403" u="1"/>
        <n v="5600001488" u="1"/>
        <n v="5600697120" u="1"/>
        <n v="5600709430" u="1"/>
        <n v="5600709590" u="1"/>
        <n v="4304750" u="1"/>
        <n v="4295152" u="1"/>
        <n v="4219676" u="1"/>
        <n v="4360413" u="1"/>
        <n v="4360412" u="1"/>
        <n v="4360105" u="1"/>
        <n v="4360106" u="1"/>
        <n v="4360205" u="1"/>
        <n v="4362123" u="1"/>
        <n v="4362204" u="1"/>
        <n v="4339614" u="1"/>
        <n v="4345127" u="1"/>
        <n v="4362332" u="1"/>
        <n v="4345423" u="1"/>
        <n v="4345430" u="1"/>
        <n v="4345734" u="1"/>
        <n v="4345738" u="1"/>
        <n v="4346011" u="1"/>
        <n v="4346012" u="1"/>
        <n v="4349573" u="1"/>
        <n v="4356396" u="1"/>
        <n v="550281193" u="1"/>
        <n v="702285" u="1"/>
        <n v="702286" u="1"/>
        <n v="702287" u="1"/>
        <n v="702288" u="1"/>
        <n v="702289" u="1"/>
        <n v="5600710260" u="1"/>
        <n v="4344311" u="1"/>
        <n v="4344315" u="1"/>
        <n v="4359868" u="1"/>
        <n v="4344317" u="1"/>
        <n v="4355882" u="1"/>
        <n v="4340100" u="1"/>
        <n v="4352748" u="1"/>
        <n v="4349648" u="1"/>
        <n v="4352747" u="1"/>
        <n v="4352947" u="1"/>
        <n v="550280642" u="1"/>
        <n v="5600696812" u="1"/>
        <n v="5600696813" u="1"/>
        <n v="4326493" u="1"/>
        <n v="4326492" u="1"/>
        <n v="4370637" u="1"/>
        <n v="4370638" u="1"/>
        <n v="4370963" u="1"/>
        <n v="4339056" u="1"/>
        <n v="4359025" u="1"/>
        <n v="4362833" u="1"/>
        <n v="4363855" u="1"/>
        <n v="4363871" u="1"/>
        <n v="4363873" u="1"/>
        <n v="4363908" u="1"/>
        <n v="5600712442" u="1"/>
        <n v="5600712451" u="1"/>
        <n v="5600714553" u="1"/>
        <n v="5600714554" u="1"/>
        <n v="5600714638" u="1"/>
        <n v="5600714389" u="1"/>
        <n v="52611201" u="1"/>
        <n v="52607485" u="1"/>
        <n v="52607815" u="1"/>
        <n v="5600709496" u="1"/>
        <n v="13816481" u="1"/>
        <n v="13816482" u="1"/>
        <n v="13816483" u="1"/>
        <n v="5600712456" u="1"/>
        <n v="5600714857" u="1"/>
        <n v="5600712445" u="1"/>
        <n v="5600712444" u="1"/>
        <n v="5600714853" u="1"/>
        <n v="10039411" u="1"/>
        <n v="10042936" u="1"/>
        <n v="10044346" u="1"/>
        <n v="10044353" u="1"/>
        <n v="10044364" u="1"/>
        <n v="10044367" u="1"/>
        <n v="5600716822" u="1"/>
        <n v="5600716823" u="1"/>
        <n v="10043561" u="1"/>
        <n v="10043562" u="1"/>
        <n v="10039908" u="1"/>
        <n v="10043567" u="1"/>
        <n v="10043563" u="1"/>
        <n v="7000103932" u="1"/>
        <n v="103744" u="1"/>
        <n v="104084" u="1"/>
        <n v="5600711920" u="1"/>
        <n v="5600704931" u="1"/>
        <n v="5600704845" u="1"/>
        <n v="5600704848" u="1"/>
        <n v="5600704438" u="1"/>
        <n v="5600704838" u="1"/>
        <n v="5600704874" u="1"/>
        <n v="5600704928" u="1"/>
        <n v="1539016" u="1"/>
        <n v="1329652.5" u="1"/>
      </sharedItems>
    </cacheField>
    <cacheField name="Descrizione" numFmtId="0">
      <sharedItems containsBlank="1" count="2313">
        <s v="Mounting bracket valve group thermoblock"/>
        <s v="GR. FIANCO MANTELLO SX V. ZEUS SUP"/>
        <m/>
        <s v="SD lamiera piegata" u="1"/>
        <s v="AIR GUIDE VERTICAL " u="1"/>
        <s v="COPERCHIO" u="1"/>
        <s v="AIR GUIDE WPT100/115/120" u="1"/>
        <s v="PANEL LATERAL SX" u="1"/>
        <s v="PANEL BACK PUMP" u="1"/>
        <s v="BASE COMPLETA AD 935" u="1"/>
        <s v="E BOX UPPER AD780" u="1"/>
        <s v="LEFT SIDE PLATE (EVA)" u="1"/>
        <s v="STAFFA MANIGLIA AD9" u="1"/>
        <s v="Coperchio 7 litri" u="1"/>
        <s v="LONGHERONE BASAMENTO LATO LUNGO WPA MINI" u="1"/>
        <s v="LONGHERONE BASAMENTO LATO CORTO WPA MINI" u="1"/>
        <s v="MONTANTE SINISTRO WPA MINI S235JR ZN 30/" u="1"/>
        <s v="MONTANTE DESTRO WPA MINI S235JR ZN 30/10" u="1"/>
        <s v="LONGHERONE INTERMEDIO LATO LUNGO WPA MIN" u="1"/>
        <s v="LONGHERONE INTERMEDIO LATO CORTO WPA MIN" u="1"/>
        <s v="TRAVERSO SUPPORTO BATTERIE WPA MINI S235" u="1"/>
        <s v="TRAVERSO SUPPORTO COMPRESSORI WPA MINI S" u="1"/>
        <s v="TRAVERSO SUPPORTO EVAPORATORE WPA MINI S" u="1"/>
        <s v="TRAVERSO INTERMEDIO WPA MINI S235JR Zn 2" u="1"/>
        <s v="MONTANTE CENTRALE WPA MINI S235JR Zn 20/" u="1"/>
        <s v="CARTER CHIUSURA FRONTALE BATTERIE WPA MI" u="1"/>
        <s v="TAMPONAMENTO SUPERIORE WPA MINI S235JR Z" u="1"/>
        <s v="LONGHERONE SOSTEGNO VENTILATORI WPA MINI" u="1"/>
        <s v="PIASTRA SOSTEGNO EVAPORATORE WPA MINI S2" u="1"/>
        <s v="TAMPONAMENTO SUPERIORE 2 VENTILATORI WPA" u="1"/>
        <s v="CARTER CHIUSURA PER BATTERIA COOLING WPA" u="1"/>
        <s v="CARTER CHIUSURA PER CONFIGURAZIONE FC" u="1"/>
        <s v="BASE VANO COMPRESSORI WPA MINI SR235JR Z" u="1"/>
        <s v="PANNELLO REMOVIBILE VANO COMPRESSORI WPA" u="1"/>
        <s v="TETTO VANO COMPRESSORI WPA MINI SR235JR" u="1"/>
        <s v="TRAVERSO VANO COMPRESSORI WPA MINI SR235" u="1"/>
        <s v="PANNELLO ASPIRAZIONE VANO COMPRESSORI WP" u="1"/>
        <s v="PANNELLO PREMENTE VANO COMPRESSORI WPA03" u="1"/>
        <s v="PANNELLO PREMENTE VANO COMPRESSORI WPA04" u="1"/>
        <s v="PANNELLO PREMENTE VANO COMPRESSORI WPA05" u="1"/>
        <s v="CARTER CHIUSURA FRONTALE BATTERIE ISPEZI" u="1"/>
        <s v="COPERCHIO FRONTALE CARTER BATTERIE WPA M" u="1"/>
        <s v="STAFFA COLLARI IMPIANTO FRIGO WPA045/WPA" u="1"/>
        <s v="STAFFA VALVOLA DI SICUREZZA WPA045/WPA05" u="1"/>
        <s v="TRAVERSO PER SOSTEGNO QUADRO ELETTRICO S" u="1"/>
        <s v="PIASTRA DI SOSTEGNO QUADRO ELETTRICO S23" u="1"/>
        <s v="PIASTRA DI TAMPONAMENTO TETTO QUADRO ELE" u="1"/>
        <s v="PIASTRA DI FISSAGGIO REGOLATORE DI GIRI" u="1"/>
        <s v="PIASTRA VANO TUBI PREMENTI WPA045/WPA050" u="1"/>
        <s v="TRAVERSO ASOLATO PER STAFFAGGIO TUBI IDR" u="1"/>
        <s v="CONTROPIASTRA DI SOLLEVAMENTO S235JR ZN" u="1"/>
        <s v="STAFFA COLLARI IMPIANTO FRIGO WPA055 S23" u="1"/>
        <s v="PIASTRA VANO TUBI PREMENTI" u="1"/>
        <s v="STAFFA COLLARI IMPIANTO FRIGO WPA030 S23" u="1"/>
        <s v="PIASTRA VANO TUBI PREMENTI WPA030 S235JR" u="1"/>
        <s v="TRAVERSO SUPPORTO POMPE S235JR ZN 20/10" u="1"/>
        <s v="TRAVERSO SUPPORTO SERBATOIO S235JR ZN 20" u="1"/>
        <s v="PIASTRE DI SOLLEVAMENTO 120/10" u="1"/>
        <s v="CARTER LATERALE BATTERIE WPA MINI S235JR" u="1"/>
        <s v="STAFFA REGOLAZIONE CARTER WPA MINI S235J" u="1"/>
        <s v="PIASTRA DI SOSTEGNO QUADRO ELETTRICO 180" u="1"/>
        <s v="TIRANTE DI SOSTEGNO S235JR ZN 15/10 DIS." u="1"/>
        <s v="MONTANTE PER RETI ANTINTRUSIONE S235JR Z" u="1"/>
        <s v="CARTER SINISTRO DI CHIUSURA PER CONFIGUR" u="1"/>
        <s v="OMEGA ASOLATO L= 845 mm S235JR ZN 20/10" u="1"/>
        <s v="OMEGA ASOLATO L= 1195 mm S235JR ZN 20/10" u="1"/>
        <s v="STAFFA PIEGATA S235JR ZN 20/10 DIS. WPAM" u="1"/>
        <s v="MENSOLA ASOLATA S235JR ZN 15/10 DIS. WPA" u="1"/>
        <s v="STAFFA SCATOLA RESISTENZE S235JR ZN 15/1" u="1"/>
        <s v="STAFFA ANTIVIBRANTE REG. DI GIRI" u="1"/>
        <s v="STAFFA FISSAGGIO COLLARE WPA MINI" u="1"/>
        <s v="SUPP.SCAMBIATORE-POMPA PER FC NO GLICOLE" u="1"/>
        <s v="SUPPORTO SCAMBIAT. A PIASTRE GEAWP757M" u="1"/>
        <s v="STAFFA SOSTEGNO SCAMBIATORE" u="1"/>
        <s v="TRAVER. SUPPORTO SERBATOIO GAS WPA MINI" u="1"/>
        <s v="STAFFA VALVOLA DI SICUR. WPA030SCNA00Z00" u="1"/>
        <s v="STAFFA SCATOLA FIBOX PER CABLAGGIO RESIS" u="1"/>
        <s v="STAFFA FERMA FILTRO" u="1"/>
        <s v="STAFFA FILTRO SUPERIORE" u="1"/>
        <s v="SD lamiera 600*800" u="1"/>
        <s v="Assembly w/pem wpt100/115/120" u="1"/>
        <s v="BASE CARPENTER. MCDU 40-50" u="1"/>
        <s v="OMEGA" u="1"/>
        <s v="OMEGA BASE" u="1"/>
        <s v="OMEGA RINFORZO" u="1"/>
        <s v="PIASTRA" u="1"/>
        <s v="PIASTRA PIEDINI" u="1"/>
        <s v="RINFORZO ANT DX" u="1"/>
        <s v="RINFORZO ANT SX" u="1"/>
        <s v="RINFORZO POST DX" u="1"/>
        <s v="RINFORZO POST SX" u="1"/>
        <s v="MONT. ANGOL. FRONTALE MDCU40-50" u="1"/>
        <s v="MONT. ANGOL. POSTERIORE MCDU 40-50" u="1"/>
        <s v="PANNELLO FRONTALE" u="1"/>
        <s v="PORTA ANTERIORE" u="1"/>
        <s v="PANN.COPERCHIO MCDU 40-50" u="1"/>
        <s v="PANN.LATERALE CIECO MDCU 40-50" u="1"/>
        <s v="PANN.LATERALE TRAVERSO MCDU 40-50" u="1"/>
        <s v="STAFFA SERB REFILL MCDU40-50" u="1"/>
        <s v="STAFFA GUIDA COLLARI MCDU40-50" u="1"/>
        <s v="STAFFA DI FISS. OMEGA LATERALE MCDU40-50" u="1"/>
        <s v="STAFFA DI FISS. OMEGA SCAMB. MCDU 40-50" u="1"/>
        <s v="STAFFA DI FISS. CANALINA ANG. MCDU40-50" u="1"/>
        <s v="STAFFA DI FISS. CANALINA POST. MCDU40-50" u="1"/>
        <s v="STAFFA DI FISS. QE MCDU 40-50" u="1"/>
        <s v="PANN.COPERCHIO SUPERIORE MCDU40-50" u="1"/>
        <s v="SD pannello 620*840" u="1"/>
        <s v="SD pannello 620*705" u="1"/>
        <s v="SD pannello 408*605" u="1"/>
        <s v="SD pannello 586*386" u="1"/>
        <s v="SD pannello forato 522*382" u="1"/>
        <s v="SD lamiera piegata 482*30*30" u="1"/>
        <s v="Alzatina Scatolata SV" u="1"/>
        <s v="COVER" u="1"/>
        <s v="REAR PANEL ASSEMBLY" u="1"/>
        <s v="LAMIERA DI BASE" u="1"/>
        <s v="SUPPORTO RADIATORE ex SP005" u="1"/>
        <s v="SCOCCA ARMADIO" u="1"/>
        <s v="Contropannello New EVO" u="1"/>
        <s v="Coperchio New ECO" u="1"/>
        <s v="ASSIEME RIPIANO 600 MODULO 1250" u="1"/>
        <s v="ASSIEME RIPIANO 500 MODULO 1250" u="1"/>
        <s v="ASSIEME RIPIANO 400 MODULOO 1250" u="1"/>
        <s v="VASSOIO" u="1"/>
        <s v="BG bondenprofili AD955" u="1"/>
        <s v="Bottom profile Assembly" u="1"/>
        <s v="SD lamiera piegata ''V''" u="1"/>
        <s v="GRILL FILTER AD 975" u="1"/>
        <s v="Seiternwand links AD955" u="1"/>
        <s v="Seitenwand rechts AD955" u="1"/>
        <s v="Seitenwand links AD935" u="1"/>
        <s v="Seitenwand rechts AD935" u="1"/>
        <s v="Cup tray 340 UT black" u="1"/>
        <s v="Cup tray 340 black" u="1"/>
        <s v="component mounting plate" u="1"/>
        <s v="condenser mounting bracket FCS4089" u="1"/>
        <s v="electronics housing welded FCS4089" u="1"/>
        <s v="MONHO CUSHION SEAT METAL INSERT" u="1"/>
        <s v="MONOCOQUE MONHO" u="1"/>
        <s v="CORPO BENDER CM22" u="1"/>
        <s v="AIR DUCT PANNEL" u="1"/>
        <s v="COPERCHIO SLIM SPLIT" u="1"/>
        <s v="FRONTALE SLIM SPLIT" u="1"/>
        <s v="MANTELLO SQUARE SCHIACCIATA" u="1"/>
        <s v="PARATIA SPECULARE" u="1"/>
        <s v="SUPPORT BOX V2" u="1"/>
        <s v="LAMIERA DI SUPPORTO PER POMPA GRUNDFOS UPM4L-XL" u="1"/>
        <s v="LAMIERA SX BLOC. VASO ESPAN. MAGIS M12-16 TOP" u="1"/>
        <s v="LAMIERA DX BLOC. VASO ESPAN. MAGIS M12-16 TOP" u="1"/>
        <s v="STAFFA  FISS. VASO-SCAMB PIASTRE MAGIS M 12-16 TOP" u="1"/>
        <s v="LAMIERA DX ANTERIORE BLOC. VASO ESPAN. MAGIS M5-8 TOP" u="1"/>
        <s v="SQ. SUPP. DEGASATORE MAGIS M5-8 TOP" u="1"/>
        <s v="Trim panel 300 black FCS4094" u="1"/>
        <s v="XM500 PORTA" u="1"/>
        <s v="XM500 ZOCCOLO SUPERIORE" u="1"/>
        <s v="PARETE FISS SCHEDE XM300" u="1"/>
        <s v="STAFFA PARALL MOD XM300" u="1"/>
        <s v="INVOLUCRO COMPLETO ULTRASOUND" u="1"/>
        <s v="CHIUSURA FIANCO ULTRASOUND" u="1"/>
        <s v="STAFFA COLLEGAM. TUBO 1" u="1"/>
        <s v="SCOCCA POSTERIORE " u="1"/>
        <s v="PANNELLO FRONTALE " u="1"/>
        <s v="SUPPORTO CONVOGLIATORE VENTIL." u="1"/>
        <s v="PANNELLO LATO INDOOR " u="1"/>
        <s v="CORNICE COMPLETA + SQUADRA CORNICE" u="1"/>
        <s v="CONTROTELAIO ORIZZONTALE CORNICE" u="1"/>
        <s v="CONTROTELAIO VERTICALE CORNICE" u="1"/>
        <s v="SQUADRA CORNICE" u="1"/>
        <s v="SQUADRA ORIZZONTALE COMPLETA (872*83)" u="1"/>
        <s v="SQUADRA VERTICALE COMPLETA (2071)" u="1"/>
        <s v="INS.CARCASSA CENTRALINA S38" u="1"/>
        <s v="corpo SP 3 elettrico" u="1"/>
        <s v="carcassa ins. kg 3" u="1"/>
        <s v="BODY LHS" u="1"/>
        <s v="SERVATOIO ORIZZONTALE" u="1"/>
        <s v="nd 2000x1180" u="1"/>
        <s v="corpo SP 5 el. ECO" u="1"/>
        <s v="carcassa insaccatrice kg 5 inox" u="1"/>
        <s v="carcassa insaccatrice kg 8 inox" u="1"/>
        <s v="SUPPORTO PIANTONE" u="1"/>
        <s v="CERNIERA ANTERIORE" u="1"/>
        <s v="PARAURTI CENTRALE ANT." u="1"/>
        <s v="CERNIERA SUPERIORE" u="1"/>
        <s v="CERNIERA SUPERIORE SX" u="1"/>
        <s v="PARATIA FILTRO" u="1"/>
        <s v="COPERCHIO ISPEZIONE DX" u="1"/>
        <s v="SCURETTO PANNELLO LAT. SX" u="1"/>
        <s v="Assieme tavolo aspiratore salda." u="1"/>
        <s v="Assieme port. Tavolo aspiratore sald." u="1"/>
        <s v="Pann. Post. Tavolo aspiratore + INS" u="1"/>
        <s v="Angolare supp. Mensola tavolo TBH " u="1"/>
        <s v="Portello laterale DX LWF18" u="1"/>
        <s v="Portello laterale SX LWF18" u="1"/>
        <s v="Portello frontale LWF18" u="1"/>
        <s v="Copertura teste LWF18" u="1"/>
        <s v="Cupola display LWF18" u="1"/>
        <s v="Case LWF18" u="1"/>
        <s v="Lama connetton case LWF18" u="1"/>
        <s v="SUP. CENTRALE+FILT MODULO COND. ECA TRIO" u="1"/>
        <s v="TAMPONAMENTO CENTR. MODULO COND.ECA ESA" u="1"/>
        <s v="PROFILO PREMI GUARN. MODULO CONDENSANTE" u="1"/>
        <s v="PROFILO ORIZ. MODULO CONDENS. ECA TRIO" u="1"/>
        <s v="TETTO VENTILATORI AC MOD. COND. ECA TRIO" u="1"/>
        <s v="SUPPORTO SUP. BATT+FILTRI COND. ECA TRIO" u="1"/>
        <s v="CARTER SINISTRO MODULO COND. ECA TRIO" u="1"/>
        <s v="CARTER DESTRO MODULO COND. ECA TRIO" u="1"/>
        <s v="CHIUSURA TAMPONAMENTO CENTRALE ECA TRIO" u="1"/>
        <s v="AS UPRIGHT FOR RISING CABLES AT" u="1"/>
        <s v="BRU80081" u="1"/>
        <s v="LV FRONT PANEL COVER - AT7-" u="1"/>
        <s v="PIASTRA SUPPORTO CONDENSATORE" u="1"/>
        <s v="TELAIO ASSEMBLATO CVx05/08" u="1"/>
        <s v="SUPPORTO VENTILATORE CVx08" u="1"/>
        <s v="PIASTRA VENTILATORE EVAPORATORE CVE11-15" u="1"/>
        <s v="PIASTRA VENTILATORE EVAPORATORE CVE20" u="1"/>
        <s v="PIASTRA VENTILATORE EVAPORATORE CVE40 ," u="1"/>
        <s v="PIASTRA VENTILATORE EVAPORATORE CVE60" u="1"/>
        <s v="SUPPORTO VENTILATORE CVx05" u="1"/>
        <s v="CONVOGLIATORE VENTILATORE CONDENSATORE" u="1"/>
        <s v="PIASTRA SUPERIORE SUPPORTO VENTILATORE" u="1"/>
        <s v="PIASTRA INFERIORE SUPPORTO VENTILATORE" u="1"/>
        <s v="TELAIO ASSEMBLATO" u="1"/>
        <s v="TELAIO ASSEMBLATO CVE11-15" u="1"/>
        <s v="TELAIO ASSEMBLATO CVO60" u="1"/>
        <s v="CHIUSURA FRONTALE MACCHINE CASABAR" u="1"/>
        <s v="FONDO MACCHINA NEW CASABAR PID" u="1"/>
        <s v="DORSO POSTERIORE NEW CASABAR PID" u="1"/>
        <s v="SUPP. BACINELLA NEW CASABAR PID" u="1"/>
        <s v="FRONTALE NEW CASABAR PID" u="1"/>
        <s v="ASSIEME FIANCO SX RS1 BIANCO" u="1"/>
        <s v="ASSIEME FIANCO DX RS1 BIANCO" u="1"/>
        <s v="ASSIEME FIANCO SX RS0 BIANCO" u="1"/>
        <s v="ASSIEME FIANCO DX RS0 BIANCO" u="1"/>
        <s v="SCIVOLO BACINELLA 2GR.RS1-AI- BIANCO" u="1"/>
        <s v="SCIVOLO BACINELLA 3GR.RS1-AI- BIANCO" u="1"/>
        <s v="MASCHERINA FRONTALE 2GR.RS1-AI-BIANCO" u="1"/>
        <s v="MASCHERINA FRONTALE 3GR.RS1-AI-BIANCO" u="1"/>
        <s v="PANNELLO COMANDI 2GR.RS1-AI- BIANCO" u="1"/>
        <s v="PANNELLO COMANDI 3GR.RS1-AI- BIANCO" u="1"/>
        <s v="PANNELLO POST.INF.2GR.RS1-AI- BIANCO" u="1"/>
        <s v="PANNELLO POST.INF.3GR.RS1-AI- BIANCO" u="1"/>
        <s v="PANNELLO POST.SUP.2GR.RS1-AI- BIANCO" u="1"/>
        <s v="PANNELLO POST.SUP.3GR.RS1-AI- BIANCO" u="1"/>
        <s v="PARATIA BACINELLA 2GR.RS1-AI- BIANCO" u="1"/>
        <s v="PARATIA BACINELLA 3GR.RS1-AI- BIANCO" u="1"/>
        <s v="PANNELLO COMANDI 2GR.RS0 -AI-BIANCO" u="1"/>
        <s v="PANNELLO COMANDI 3GR.RS0 -AI-BIANCO" u="1"/>
        <s v="MASCHERINA FRONTALE 2GR.RS0 -AI-BIANCO" u="1"/>
        <s v="MASCHERINA FRONTALE 3GR.RS0 -AI-BIANCO" u="1"/>
        <s v="PANNELLO POSTER.2GR.RS0 -AI-BIANCO" u="1"/>
        <s v="PANNELLO POSTER.3GR.RS0 -AI-BIANCO" u="1"/>
        <s v="ASSIEME FIANCO SX RS1 NERO " u="1"/>
        <s v="ASSIEME FIANCO DX RS1 NERO " u="1"/>
        <s v="ASSIEME FIANCO SX RS0 NERO" u="1"/>
        <s v="ASSIEME FIANCO DX RS0 NERO" u="1"/>
        <s v="SCIVOLO BACINELLA 2GR.RS1-AI-" u="1"/>
        <s v="SCIVOLO BACINELLA 3GR.RS1-AI- " u="1"/>
        <s v="MASCHERINA FRONTALE 2GR.RS1-AI-" u="1"/>
        <s v="MASCHERINA FRONTALE 3GR.RS1-AI-" u="1"/>
        <s v="PANNELLO COMANDI 2GR.RS1-AI-" u="1"/>
        <s v="PANNELLO COMANDI 3GR.RS1-AI- " u="1"/>
        <s v="PANNELLO POST.INF.2GR.RS1-AI- " u="1"/>
        <s v="PANNELLO POST.INF.3GR.RS1-AI- " u="1"/>
        <s v="PANNELLO POST.SUP.2GR.RS1-AI- " u="1"/>
        <s v="PANNELLO POST.SUP.3GR.RS1-AI- " u="1"/>
        <s v="PARATIA BACINELLA 2GR.RS1-AI- " u="1"/>
        <s v="PARATIA BACINELLA 3GR.RS1-AI- " u="1"/>
        <s v="PANNELLO COMANDI 2GR.RS0 -AI-NERO" u="1"/>
        <s v="PANNELLO COMANDI 3GR.RS0 -AI-NERO" u="1"/>
        <s v="MASCHERINA FRONTALE 2GR.RS0 -AI-NERO" u="1"/>
        <s v="MASCHERINA FRONTALE 3GR.RS0 -AI-NERO" u="1"/>
        <s v="PANNELLO POSTER.2GR.RS0 -AI-NERO" u="1"/>
        <s v="PANNELLO POSTER.3GR.RS0 -AI-NERO" u="1"/>
        <s v="COFANATURA ANTERIORE (RETE col. COLORE 01)" u="1"/>
        <s v="CARENATURA POSTERIORE DESTRA (RETE col. COLORE 01)" u="1"/>
        <s v="CARENATURA POSTERIORE SINISTRA (RETE col. COLORE 01)" u="1"/>
        <s v="CARTER RADIATORE (COMPLETA DI RETE)" u="1"/>
        <s v="COFANATURA DI CHIUSURA USCITA SCARICO 403J" u="1"/>
        <s v="LAMIERA DI COPERTURA" u="1"/>
        <s v="STAFFA PER MOLLA RASCHIETTO" u="1"/>
        <s v="CARTER PER MOTORE" u="1"/>
        <s v="Front panel black FCS4089" u="1"/>
        <s v="Trim panel+L204:P204 black FCS4089" u="1"/>
        <s v="grundplatte_1-1.pdf" u="1"/>
        <s v="montageblech_1140x50x45.pdf" u="1"/>
        <s v="TAMP. LATERALE MODULO VENT FXCV 6800 PA" u="1"/>
        <s v="Cover plate UT" u="1"/>
        <s v="mounting bracket MU" u="1"/>
        <s v="Casing MU" u="1"/>
        <s v="Trim panel 300 granite FCS4094 vern 1 facc" u="1"/>
        <s v="Trim panel 300 mahagony FCS4094 vern 1 facc" u="1"/>
        <s v="CORNICE A GIORNO FRONT. 200 VC" u="1"/>
        <s v="CORNICI A GIORNO IP41 200 VC" u="1"/>
        <s v="CORNICE A GIORNO FRONT. 400 VC" u="1"/>
        <s v="CORNICE A GIORNO L=625" u="1"/>
        <s v="CORNICI FRONTALI IP4x L=625" u="1"/>
        <s v="CORNICE A GIORNO L=700" u="1"/>
        <s v="CORNICE A GIORNO L=800" u="1"/>
        <s v="CORNICI FRONTALI IP4x L=800 (2" u="1"/>
        <s v="CORNICE A GIORNO L=1000" u="1"/>
        <s v="CORNICI A GIORNO L=1200" u="1"/>
        <s v="CORNICI A GIORNO L=700+200 DX" u="1"/>
        <s v="CORNICI A GIORNO L=700+200 SX" u="1"/>
        <s v="CORNICI A GIORNO L=700+400 SX" u="1"/>
        <s v="CORNICI A GIORNO L=800+400 DX" u="1"/>
        <s v="CORNICI A GIORNO L=800+400 SX" u="1"/>
        <s v="CORNICI A GIORNO IP4xL=800+400" u="1"/>
        <s v="PORTE VANO CAVI 400X1800 SLIM (392X1857) VERN." u="1"/>
        <s v="PORTE VANO CAVI 400X2000 SLIM (392X2057) VERN." u="1"/>
        <s v="Evaporator Rear Grid Pacman 5 WEBA size S" u="1"/>
        <s v="V. MONTANTE ANT. SX " u="1"/>
        <s v="V. PROFILO POSTERIORE SOSTEGNO BATTERIA " u="1"/>
        <s v="V. BATTUTA SUPERIORE ORIZZONTALE BATTERI " u="1"/>
        <s v="V. RINFORZO ANGOLARE PER OMEGA VENTILAT. " u="1"/>
        <s v="V. TRAVERSO POSTERIORE SOSTEGNO BATTERIA " u="1"/>
        <s v="V. TRAVERSO ANTERIORE SOSTEGNO BATTERIA " u="1"/>
        <s v="V. MONTANTE ANT. DX " u="1"/>
        <s v="V. MONTANTE POST. SX" u="1"/>
        <s v="V. MONTANTE POST. DX " u="1"/>
        <s v="V. ANGOLARE SOSTEGNO " u="1"/>
        <s v="V. PANNELLO POSTERIORE INFERIORE" u="1"/>
        <s v="V. PANNELLO POSTERIORE CENTRALE " u="1"/>
        <s v="V. PANNELLO POSTERIORE VENTILATORI " u="1"/>
        <s v="V. PANNELLO ANTERIORE MCHE " u="1"/>
        <s v="V. PANNELLO ANTERIORE" u="1"/>
        <s v="V. PANNELLO ANTERIORE Q.E. " u="1"/>
        <s v="V. RINFORZO SELLEVAMENTO" u="1"/>
        <s v="V. PANNELLO POSTERIORE SUPERIORE " u="1"/>
        <s v="V. TETTO UNICO " u="1"/>
        <s v="V. SUPPORTO VENTILATORI " u="1"/>
        <s v="V. TRIANGOLO SX PER DEFLETTORE F.C. " u="1"/>
        <s v="V. TRIANGOLO DX PER DEFLETTORE F.C. " u="1"/>
        <s v="V. TETTO F.C. " u="1"/>
        <s v="V. PROFILO PER DEFLETTORE " u="1"/>
        <s v="V. ZETA SUPPORTO FILTRO " u="1"/>
        <s v="V. CHIUSURA INFERIORE F.C. " u="1"/>
        <s v="V. PANNELLO LATERALE SUP. SX" u="1"/>
        <s v="V. PANNELLO LATERALE INF. " u="1"/>
        <s v="V. PANNELLO LATERALE SUP. DX " u="1"/>
        <s v="V. PANNELLO LATERALE INF. DX" u="1"/>
        <s v="V. SUPPORTO FILTRI ARIA  RIPRESA" u="1"/>
        <s v="STAFFA SOST. DISCONNETTORE VERNIC." u="1"/>
        <s v="Boiler mounting frame riveted FCS4098" u="1"/>
        <s v="TELAIO PIANALE MOBILE TERMOLIFT" u="1"/>
        <s v="Cover power supply" u="1"/>
        <s v="SD armadio 720**670*1650" u="1"/>
        <s v="TELAIO INTERMEDIO STANDARD" u="1"/>
        <s v="TELAIO ANGOLARE ''B'' STANDARD" u="1"/>
        <s v="TELAIO A POLTRONA GIREVOLE" u="1"/>
        <s v="TELAIO B POLTRONA GIREVOLE" u="1"/>
        <s v="TELAIO ANGOLARE ''A'' STANDARD" u="1"/>
        <s v="SD armadio 1250*700*430" u="1"/>
        <s v="SD cover 329*247" u="1"/>
        <s v="SD cover 481*247" u="1"/>
        <s v="SD cover 386*243" u="1"/>
        <s v="SD cover 503*278" u="1"/>
        <s v="SD cover 432*270,5" u="1"/>
        <s v="SD cover 433,5*275,5" u="1"/>
        <s v="SD cover 474*322" u="1"/>
        <s v="SD cover 756*278" u="1"/>
        <s v="SD cover 703*322" u="1"/>
        <s v="FRAME C55 NO DRY - 21kg" u="1"/>
        <s v="FRAME+PALLET S90-C80 P RAL7021 - 32,5kg" u="1"/>
        <s v="BAFFLE INTERN. C43 2,2-3KW - 4,2kg" u="1"/>
        <s v="STIRRUP SUPP. DRYER NEXT-TO C67 - 0,1kg" u="1"/>
        <s v="FRAME C55 NO DRY - 21kg -L2" u="1"/>
        <s v="FRAME+PALLET S90-C80 P RAL7021 - 32,5kg L2" u="1"/>
        <s v="BAFFLE INTERN. C43 2,2-3KW - 4,2kg L2" u="1"/>
        <s v="STIRRUP SUPP. DRYER NEXT-TO C67 - 0,1kg L2" u="1"/>
        <s v="445*330" u="1"/>
        <s v="70*70" u="1"/>
        <s v="280*300" u="1"/>
        <s v="SUPPORTI" u="1"/>
        <s v="BASE" u="1"/>
        <s v="STAFFA FISSAGGIO CAVI" u="1"/>
        <s v="C ANTIVIB. " u="1"/>
        <s v="PANNELLO POSTERIORE" u="1"/>
        <s v="PANNELLO LAT. SX" u="1"/>
        <s v="PANNELLO LAT. DX" u="1"/>
        <s v="CONV. VENTOLA PICCOLA" u="1"/>
        <s v="CONV. VENTOLA GRANDE" u="1"/>
        <s v="PANNELLO SUPERIORE" u="1"/>
        <s v="PANNELLO INTERNO BASE" u="1"/>
        <s v="OMEGA 860*90" u="1"/>
        <s v="OMEGA BASE 1157*263" u="1"/>
        <s v="OMEGA BASE CENTRALE" u="1"/>
        <s v="RINFORZO 325*120" u="1"/>
        <s v="MONTANTE" u="1"/>
        <s v="RINFORZO" u="1"/>
        <s v="PROFILO L" u="1"/>
        <s v="STAFFA" u="1"/>
        <s v="LAMIERA" u="1"/>
        <s v="TRAVERSO" u="1"/>
        <s v="SD PORTA 1433*673,5" u="1"/>
        <s v="SD PORTA 1433*673,6" u="1"/>
        <s v="foot black 40mm" u="1"/>
        <s v="DEFLETTORE" u="1"/>
        <s v="TELAIO DI TESTA" u="1"/>
        <s v="TELAIO INTERMEDIO DEEP" u="1"/>
        <s v="TELAIO ANGOLARE ''A'' DEEP" u="1"/>
        <s v="TEALIO POUF DEEP" u="1"/>
        <s v="TALAIO ANGOLARE ''B'' DEEP" u="1"/>
        <s v="PILLO SOFA" u="1"/>
        <s v="DRAWBAR PULLEY, SHIELD, ANGLE" u="1"/>
        <s v="WDMT, STRING GUARD" u="1"/>
        <s v="WDMT, MACH MOUNT RH" u="1"/>
        <s v="REST RAIL RETAINER" u="1"/>
        <s v="WDMT SHOCK MOUNT" u="1"/>
        <s v="PIT CURTAIN CLAMP L" u="1"/>
        <s v="HARD STOP BRACKET" u="1"/>
        <s v="WDMT DRIVE SIDE NUT PLATE" u="1"/>
        <s v="WDMT DRIVE TENSIONER BRKT" u="1"/>
        <s v="WDMT, TENSIONER, ADJ. ARRO" u="1"/>
        <s v="WDMT DRAWBAR STOP" u="1"/>
        <s v="PIN STOP CHANNEL EVN" u="1"/>
        <s v="PIN STOP CHANNEL ODD" u="1"/>
        <s v="WDMT GUARD BALL RETURN EVN" u="1"/>
        <s v="WDMT C LIFT GUARD EVN BTM" u="1"/>
        <s v="C LIFT COUPLING GUARD" u="1"/>
        <s v="WW SUPPORT CONTROLLER" u="1"/>
        <s v="WDMT, SHIELD PULLEY BRACKET" u="1"/>
        <s v="ASM, PLATE, HINGE, PC" u="1"/>
        <s v="ASM, PCG, LATCH NUT PLATE" u="1"/>
        <s v="WDMT, FRAME, GUARD, PC" u="1"/>
        <s v="LOCKING TAB" u="1"/>
        <s v="WDMT, DRAWBAR CARRIAGE ANGLE" u="1"/>
        <s v="Wiper Support" u="1"/>
        <s v="Wiper Cloth Ring New" u="1"/>
        <s v="Wdmt, Sideframe, Odd 07p" u="1"/>
        <s v="Wdmt, Sideframe, Odd 10p" u="1"/>
        <s v="WDMT PIT CROSS SUPPORT" u="1"/>
        <s v="CUSHION BOX SPRT" u="1"/>
        <s v="WDMT DRIVE TENSIONER" u="1"/>
        <s v="CRATING BRACKET" u="1"/>
        <s v="WDMT GUARD BALL RETURN ODD" u="1"/>
        <s v="WDMT C LIFT GUARD EVN TOP" u="1"/>
        <s v="MOUNT, CHAIN LIFT, EVN" u="1"/>
        <s v="WDMT, SUPPORT, COVER, PIT" u="1"/>
        <s v="BALL RACK, TIE BRACKET" u="1"/>
        <s v="BALL RACK, TRAY LEG LH WLDMN" u="1"/>
        <s v="BALL RACK, TRAY LEG RH WLDMN" u="1"/>
        <s v="BALL RACK, PEDESTAL" u="1"/>
        <s v="ALL RACK, UPR RACK WDMNT" u="1"/>
        <s v="BALL RACK, TRAY" u="1"/>
        <s v="HMNY, RACKBEZEL SPRT ASM" u="1"/>
        <s v="WLDMNT, BRKT, LATCH, HOOD" u="1"/>
        <s v="HMNY BR HOOD ODD BRKT" u="1"/>
        <s v="HMNY BR HOOD EVN BRKT" u="1"/>
        <s v="Front panel cup sensor mahogany FCS4083 VERN 1 FACC" u="1"/>
        <s v="Trim panel 340 mahogany FCS4089 VERN 1 FACC" u="1"/>
        <s v="Front panel mahogany FCS4089 VERN 1 FACC" u="1"/>
        <s v="Front panel black printed VERN 1 FACC" u="1"/>
        <s v="GRUNDPLATTE 650" u="1"/>
        <s v="machine frame FCS4088" u="1"/>
        <s v="Compressor bottom panel FCS4088" u="1"/>
        <s v="condenser mounting bracket " u="1"/>
        <s v="PANNELLO" u="1"/>
        <s v="RIPIANO PRODOTTI" u="1"/>
        <s v="RIPIANO STD" u="1"/>
        <s v="RIPIANO" u="1"/>
        <s v="ARMADIO" u="1"/>
        <s v="hose adapter mounting plate" u="1"/>
        <s v="PLAN DE DETAIL DE LA Porte tolerie" u="1"/>
        <s v="PLAN DE DETAIL de l'Ensemble portillon" u="1"/>
        <s v="PLAN DE DETAIL du Panneau bas Cote" u="1"/>
        <s v="PLAN DE DETAIL du support Bandeau" u="1"/>
        <s v="PLAN DE DETAIL du Cache Bandeau" u="1"/>
        <s v="PLAN DE DETAIL du Portillon Arriere" u="1"/>
        <s v="PLAN DE DETAIL de DETAIL PORTILLON ARRIERE" u="1"/>
        <s v="PLAN DE DETAIL de la Caisse" u="1"/>
        <s v="DOME PACMAN TOP COVER SINGLE COLOR" u="1"/>
        <s v="BASE PAN S ARSCH" u="1"/>
        <s v="Piede unità AR/CHX" u="1"/>
        <s v="Trim panel 340 granite" u="1"/>
        <s v="Front panel granite FCS4083" u="1"/>
        <s v="Front panel granite FCS4088" u="1"/>
        <s v="Trim panel granite FCS4091" u="1"/>
        <s v="Front panel granite FCS4093" u="1"/>
        <s v="Trim panel 300 granite" u="1"/>
        <s v="Front panel granite FCS4091" u="1"/>
        <s v="Front panel cup sensor granite FCS4083" u="1"/>
        <s v="Thermal insulation mounting plate" u="1"/>
        <s v="Cover (pipe protective cover)" u="1"/>
        <s v="Fan top plate (booster fan support)" u="1"/>
        <s v="Front Plate (sheet metal) (evaporator)" u="1"/>
        <s v="Air outlet (eva fan)" u="1"/>
        <s v="Right side plate (sheet metal)" u="1"/>
        <s v="Left side plate (sheet metal)" u="1"/>
        <s v="Stay (left)" u="1"/>
        <s v="Side plate (sheet metal) (evaporator)" u="1"/>
        <s v="Botton plate (sheet metal)" u="1"/>
        <s v="Front Plate (sheet metal)" u="1"/>
        <s v="FIANCO SX" u="1"/>
        <s v="ROOF POST B9.0" u="1"/>
        <s v="PLATE SEAL FUEL B9.0" u="1"/>
        <s v="PAN BAIONETTA B9.0" u="1"/>
        <s v="PAN ASY BACK RT B9.0" u="1"/>
        <s v="PAN ASY BACK B9.0" u="1"/>
        <s v="PAN 2 RADIAT B9.0 1903TCR" u="1"/>
        <s v="PAN 1 RADIAT B9.0 1903TCR" u="1"/>
        <s v="PANN 2 RADIATORE" u="1"/>
        <s v="FIANCO DX" u="1"/>
        <s v="PANNELLO CONMPRESSORE ON-OFF" u="1"/>
        <s v="TETTO" u="1"/>
        <s v="SCHINA SUPERIORE TEL-AIR III" u="1"/>
        <s v="DOOR FRONT LT B9,0 PAX F44" u="1"/>
        <s v="ROOF CENTR B9.0" u="1"/>
        <s v="DOOR FRONT LT B9.0 PAC F44" u="1"/>
        <s v="BRACKET SQUARE CNP  RT B9.0" u="1"/>
        <s v="BRACKET SQUARE CNP  LT B9.0" u="1"/>
        <s v="PAN BOT B9.0" u="1"/>
        <s v="BAFFLE FRONTAL TOP RT PAC" u="1"/>
        <s v="DOOR FRONT RT B9.0 PAC F66" u="1"/>
        <s v="DOOR 2 RT FRONT B9.0 PAC F44" u="1"/>
        <s v="DOOR 1 RT FRONT B9.0 PAC F44" u="1"/>
        <s v="PIASTRA EXTERNAL FUEL" u="1"/>
        <s v="ROOF DOOR B9.0" u="1"/>
        <s v="PLATE HALF 4'' CNP" u="1"/>
        <s v="PAN ROOF CENTR B9.0" u="1"/>
        <s v="DOOR BARCK RT B9.0" u="1"/>
        <s v="DOOR BARCK LT B9.0" u="1"/>
        <s v="DOOR 2 RT FRONT B9.0 PAX F44" u="1"/>
        <s v="DOOR 1 RT FRONT B9.0 PAX F44" u="1"/>
        <s v="DOOR FRONT LT B9.0 " u="1"/>
        <s v="PAN FRONT LT B9.0" u="1"/>
        <s v="PAN FRONT RT B9.0" u="1"/>
        <s v="BAFFLE FRONTAL BOTT RT PAX" u="1"/>
        <s v="BAFFLE FRONTAL BOTT LT PAX" u="1"/>
        <s v="BAFFLE FRONTAL TOP LT PAX" u="1"/>
        <s v="PLATE HALF 6 CNP" u="1"/>
        <s v="DOOR 2 RT FRONT B9.0 PAX F66" u="1"/>
        <s v="DOOR 1 RT FRONT B9.0 PAX F66" u="1"/>
        <s v="ROOF ASY FRONT B9.0" u="1"/>
        <s v="PANNELLO LATERALE" u="1"/>
        <s v="PANNELLO LATERALE RIMOVIBILE" u="1"/>
        <s v="PANNELLO SX INFERIORE" u="1"/>
        <s v="MONTANTE DESTRO" u="1"/>
        <s v="LONGHERONE INTERMEDIO" u="1"/>
        <s v="LONGHERONE" u="1"/>
        <s v="TRAVERSO SUPERIORE" u="1"/>
        <s v="TRAVERSO BASAMENTO" u="1"/>
        <s v="PISTRA VENTILATORE" u="1"/>
        <s v="COPERCHIO VENTILATORE d.450" u="1"/>
        <s v="BASE WRAV" u="1"/>
        <s v="BASE WRAII ERP2021" u="1"/>
        <s v="FRAME 5-18KW" u="1"/>
        <s v="CHAIN RIDER WEAR STRIP" u="1"/>
        <s v="BALL RACK, TRAY (INOX)" u="1"/>
        <s v="COPERCHIO MICRO 10" u="1"/>
        <s v="PANNELLO SUPPORTO RAD. MICRO" u="1"/>
        <s v="PANNELLO SUPPORTO VENTOLA" u="1"/>
        <s v="COPERCHIO SUPERIORE MICRO" u="1"/>
        <s v="VANO ESPULSIONE ARIA K-MID" u="1"/>
        <s v="MONTANTE DESTRO K-MID" u="1"/>
        <s v="MONTANTE LATO ASPIR.K-MID STC" u="1"/>
        <s v="SPORTELLO POSTER.K-MAX5,5 IE3" u="1"/>
        <s v="COPERCHIO CABINA K-MAX5,5 IE3" u="1"/>
        <s v="BASAMENTO KMAX 5,5-7,5 IE3" u="1"/>
        <s v="MONTANTE LATO ASPIRAZIONE QUADRO" u="1"/>
        <s v="MONTANTE DESTRO RADIATORE QUADRO" u="1"/>
        <s v="COPERCHIO CABINA QUADRO" u="1"/>
        <s v="SPORTELLO POSTERIORE QUADRO" u="1"/>
        <s v="BASAMENTO PLUS 16" u="1"/>
        <s v="SPORTELLO POSTERIORE K-MAX 15-20" u="1"/>
        <s v="MONTANTE ASPIR.KMAX11-15" u="1"/>
        <s v="PANN.VANO ASPIR.KMAX11-15" u="1"/>
        <s v="COPERCHIO KMAX 11-15 ETIV" u="1"/>
        <s v="MONTANTE KMAX11 ETIV" u="1"/>
        <s v="PANN.PREFILTRO KMAX ETIV" u="1"/>
        <s v="BASAMENTO KMAX 15 C/RF" u="1"/>
        <s v="BASAMENTO MICRO" u="1"/>
        <s v="BASAMENTO MICRO 10" u="1"/>
        <s v="LEFT PANEL - vern 1 faccia" u="1"/>
        <s v="FRAME C55 NO DRYER" u="1"/>
        <s v="PANEL KIT FOR C55" u="1"/>
        <s v="BASE 8/9X" u="1"/>
        <s v="INSPECTIONE HOLE HOUSING VSD" u="1"/>
        <s v="SUPPORT ELEMENT TOP" u="1"/>
        <s v="PANEL LEFT C67 BD vern 1 faccia" u="1"/>
        <s v="BASE 1925X840X130 + PALLET" u="1"/>
        <s v="PLATE CLOSING" u="1"/>
        <s v="FAN PROTECTION 500L" u="1"/>
        <s v="DOOR C67 BELT FF vern 1 faccia" u="1"/>
        <s v="CUBICLE C43 VSD" u="1"/>
        <s v="REAR DOOR CUBICLE VSD C43" u="1"/>
        <s v="DOOR FRONT LT B9.0 PAZ F66" u="1"/>
        <s v="DOOR FRONT RT B9.0 PAX F44" u="1"/>
        <s v="LAMIERA AGGANCIO" u="1"/>
        <s v="DEFLETTORE LUNGO" u="1"/>
        <s v="PARETE" u="1"/>
        <s v="FACE LOCK FOR TRANSPORT" u="1"/>
        <s v="BACK PANEL C40 MOD." u="1"/>
        <s v="PANEL BACK C67 P-FF A2 - vern1 faccia" u="1"/>
        <s v="QGD15-30 FF BACK PANEL - vern 1 faccia" u="1"/>
        <s v="QGD15-30 BACK PANEL - vern 1 faccia" u="1"/>
        <s v="PANEL BACK C77/C80 -vern 1 faccia" u="1"/>
        <s v="PANEL BACK C55 DD - vern 1 faccia" u="1"/>
        <s v="PANEL FRONT C55DD - vern 1 faccia" u="1"/>
        <s v="ASSY FR. PANEL DRYER - vern 1 faccia" u="1"/>
        <s v="FRONT PANEL - vern 1 faccia" u="1"/>
        <s v="BACK PANEL C55 - vern 1 faccia" u="1"/>
        <s v="PANEL BACK - vern 1 faccia" u="1"/>
        <s v="REAR PANEL C55 - vern 1 faccia" u="1"/>
        <s v="TOP PANEL RAL 5002 " u="1"/>
        <s v="REAR PANEL RAL 5002" u="1"/>
        <s v="LATERAL RIGHT PANEL RAL 5002" u="1"/>
        <s v="LATERAL LEFT PANEL" u="1"/>
        <s v="S0 DIM. DRAW FRONT PANEL" u="1"/>
        <s v="S0 DIM. DRAW LEFT PANEL" u="1"/>
        <s v="S0 DIM. DRAW. REAR PANEL" u="1"/>
        <s v="PANNELLO USCITA ARIA KME " u="1"/>
        <s v="PANNELLO LATO CASSETTA ELETTRICA" u="1"/>
        <s v="PANNELLO POSTERIORE KME " u="1"/>
        <s v="COLONNA SUPPORTO KME" u="1"/>
        <s v="PANEL RIGHT C77/C80 - vern 1 faccia" u="1"/>
        <s v="PANEL BACK C55i MONO - vern 1 faccia" u="1"/>
        <s v="DOOR CUBICLE C43i - vern 1 faccia" u="1"/>
        <s v="PANEL RIGHT CUBICLE - vern 1 faccia" u="1"/>
        <s v="PANEL LEFT C43i - vern 1 faccia" u="1"/>
        <s v="PANEL ASSY SUCTION - vern 1 faccia" u="1"/>
        <s v="DOOR CUBICLE S90 - vern 1 faccia" u="1"/>
        <s v="CUBICLE DOOR C55* MKV" u="1"/>
        <s v="PANEL RIGHT C67 A1" u="1"/>
        <s v="ROOF C67 FF A1" u="1"/>
        <s v="PANEL LEFT C67 GEAR - vern 1 faccia" u="1"/>
        <s v="FRONT PANEL C76FF GD/DD" u="1"/>
        <s v="ROOF C67 A2 20-35HP" u="1"/>
        <s v="PANEL LEFT C67 BD - vern 1 faccia" u="1"/>
        <s v="QGD15-30 SPORTELLINO 335*335 - vern 1 faccia" u="1"/>
        <s v="QGD15-30 - vern 1 faccia" u="1"/>
        <s v="PANEL ROOF C80 30-37 - vern 1 faccia" u="1"/>
        <s v="PANEL LEFT C80 - vern 1 faccia" u="1"/>
        <s v="PANEL ROOF L C 55*DD" u="1"/>
        <s v="PANEL FRONT C55 DD - vern 1 faccia" u="1"/>
        <s v="PANEL ROOF C55 - SPORTELLINO 220*175" u="1"/>
        <s v="PANEL ROOF C55" u="1"/>
        <s v="PANEL LEFT C55 DD - vern 1 faccia" u="1"/>
        <s v="PANEL BACK GE HR - vern 1 faccia" u="1"/>
        <s v="ASSY ROOF NO DRYER - vern 1 faccia" u="1"/>
        <s v="PANEL BACK RLR - sportellino 175*320 vern 1 faccia" u="1"/>
        <s v="PANEL BACK RLR - vern 1 faccia" u="1"/>
        <s v="PANEL LEFT ASS.PAN.SX - vern 1 faccia" u="1"/>
        <s v="ND 750*535" u="1"/>
        <s v="ND 699*565" u="1"/>
        <s v="ND 430*700" u="1"/>
        <s v="LAMIERA CHIUSURA CONVOGLIATORE" u="1"/>
        <s v="sd TUBO A ''T''" u="1"/>
        <s v="sd CORPO" u="1"/>
        <s v="sd STAFFETTA DX" u="1"/>
        <s v="sd STAFFETTA SX" u="1"/>
        <s v="sd LAMIERA FORATA" u="1"/>
        <s v="sd LAMIERA 279*424" u="1"/>
        <s v="sd LAMIERA 75,5*65,05" u="1"/>
        <s v="sd LAMIERA PIEGATA E FORATA" u="1"/>
        <s v="sd LAMIERA A ''L''" u="1"/>
        <s v="sd LAMIERA 120*82" u="1"/>
        <s v="sd LAMIERA SEMI CUBO" u="1"/>
        <s v="sd LAMIERA PIRAMIDE" u="1"/>
        <s v="sd LAMIERA 508*348" u="1"/>
        <s v="sd LAMIERA CON PIEDINI" u="1"/>
        <s v="sd LAMIERA DOPPIA" u="1"/>
        <s v="sd LAMIERA CON FORO" u="1"/>
        <s v="sd  LAMIERA PONTE" u="1"/>
        <s v="sd LAMIERA 141*126" u="1"/>
        <s v="MONTANTE ''INVISIBLE SCREWS''" u="1"/>
        <s v="LAMIERA SCHIENA COPERCHIO" u="1"/>
        <s v="TELAIO TETTO PRINCIPALE" u="1"/>
        <s v="TELAIO TETTO LATERALE" u="1"/>
        <s v="Habillage complet 20L CO2" u="1"/>
        <s v="SD pannello 1246*450" u="1"/>
        <s v="SD pannello 750*535" u="1"/>
        <s v="SD pannello 700*430" u="1"/>
        <s v="SD pannello 699*656" u="1"/>
        <s v="PANNELLO COMANDI KME 18-22-30-37" u="1"/>
        <s v="PANNELLO LATO CASSETTA LATERALE KME 18-22-30-37" u="1"/>
        <s v="CUBICLE PANEL" u="1"/>
        <s v="CONTROLLER PANEL - vern 1 faccia" u="1"/>
        <s v="ROOF 18KW FF -vern 1 faccia" u="1"/>
        <s v="ROOF PACK 5-18KW - vern 1 faccia" u="1"/>
        <s v="DRYER PANEL 18KW - vern 1 faccia" u="1"/>
        <s v="RIGHT PANEL - vern 1 faccia" u="1"/>
        <s v="LEFT BEAM - vern 1 faccia" u="1"/>
        <s v="PANNELLO LATO CASSETTA" u="1"/>
        <s v="PANNELLO COPERCHIO - vern 1 faccia" u="1"/>
        <s v="FIANCO LATERALE SX" u="1"/>
        <s v="FIANCO LATERALE DX" u="1"/>
        <s v="MENSOLA REGOLABILE" u="1"/>
        <s v="SUPPORTO MENSOLA h = 916 mm" u="1"/>
        <s v="PROFILO SLITTA ESTRAZIONE" u="1"/>
        <s v="STAFFA FISSAGGIO COMPRESSORE" u="1"/>
        <s v="MONTANTE LATERALE CENTRALE" u="1"/>
        <s v="DORSALE COFANATURA COMPRESSORI" u="1"/>
        <s v="MONTANTE CENTRALE COF. COMPRESSORI" u="1"/>
        <s v="PANNELLO INF. COF. COMPRESSORI" u="1"/>
        <s v="PANNELLO SSUP. COF. COMPRESSORI" u="1"/>
        <s v="CARTER CHIUSURA MODULO ALTO" u="1"/>
        <s v="CARTER WSA TRA MODULI ALTI" u="1"/>
        <s v="CARTER WSA TRA MODULI SFALSATI DX" u="1"/>
        <s v="CARTER WSA TRA MODULI SFALSATI SX" u="1"/>
        <s v="TRAVERSO RETI DI TESTA" u="1"/>
        <s v="MONTANTE CROCE DI CODA" u="1"/>
        <s v="MONTANTE ANGOLO DX CROCE DI CODA" u="1"/>
        <s v="MONTANTE ANGOLO SX CROCE DI CODA" u="1"/>
        <s v="TRAVERSO CENTRALE CODA DI CROCE" u="1"/>
        <s v="CARTER CROCE DI CODA" u="1"/>
        <s v="CARTER INTERMEDIO MODULI ALTI" u="1"/>
        <s v="MONTANTE CARTE INTERMEDIO MODULI ALTI" u="1"/>
        <s v="MONTANTE CARTER MODULI BASSI" u="1"/>
        <s v="CANALA L=3686 mm" u="1"/>
        <s v="CANALA L=2533" u="1"/>
        <s v="CARTER CHIUSURA MODULO H=1100mm" u="1"/>
        <s v="MONTANTE DI CODA DX" u="1"/>
        <s v="MONTANTE DI CODA SX" u="1"/>
        <s v="STAFFA PORTAFILTRO" u="1"/>
        <s v="SUPPORTO TUBI FRIGO" u="1"/>
        <s v="COVER VENTILATORE" u="1"/>
        <s v="STAFFA FISSAGGIO CANALA" u="1"/>
        <s v="MONTANTE SX VANO COMPRESSORI" u="1"/>
        <s v="MONTANTE DX VANO COMPRESSORI" u="1"/>
        <s v="MONTANTE RETI DI TESTA" u="1"/>
        <s v="PIASTRA VENTILATORE" u="1"/>
        <s v="TAMPONAMENTO SCAMBIATORI" u="1"/>
        <s v="SUPPORTO SCAMBIATORE" u="1"/>
        <s v="SUPPORTO TUBI IDRAULICI DN125" u="1"/>
        <s v="Staffa fissaggio quadro" u="1"/>
        <s v="PROFILO OMEGA" u="1"/>
        <s v="OMEGA DI SOSTEGNO" u="1"/>
        <s v="TRAVERSO INCLINATO MODULO H=1300mm" u="1"/>
        <s v="TRAVERSO INTERMEDIO MODULO H=1300mm" u="1"/>
        <s v="TRIANGOLO UNIONE MODULO H=1300mm" u="1"/>
        <s v="MENSOLA MODULO H=1300mm" u="1"/>
        <s v="TRAVERSO ALTO DESTRO" u="1"/>
        <s v="TRAVERSO ALTO SINISTRO" u="1"/>
        <s v="BASE MODULO 3425 x 1300" u="1"/>
        <s v="MONTANTE WSA H=804,5mm" u="1"/>
        <s v="MONTANTE WSA H=604,5" u="1"/>
        <s v="MENSOLA MODULO H=1100mm" u="1"/>
        <s v="BASE MODULO 2300X1100" u="1"/>
        <s v="TRAVERSO INCLINATO MODULO H=1100mm" u="1"/>
        <s v="TRAVERSO INTERMEDIO MODULO H=1100mm" u="1"/>
        <s v="TRIANGOLO UNIONE MODULO H=1100mm" u="1"/>
        <s v="CARTER DESTRO MODULO H=1100mm" u="1"/>
        <s v="CARTER SINISTRO MODULO H=1100mm" u="1"/>
        <s v="TRAVERSO ALTO DESTRO MODULO H=1100mm" u="1"/>
        <s v="TRAVERSO ALTO SINISTRO MODULO H=1100mm" u="1"/>
        <s v="CARTER DESTRO MODULO H=1300mm" u="1"/>
        <s v="CARTER SINISTRO MODULO H=1300mm" u="1"/>
        <s v="SUPPORTO SCHIENA QUADRO ELETTRICO" u="1"/>
        <s v="TRAVERSO CANALA" u="1"/>
        <s v="BASE MODULO 2300x1300" u="1"/>
        <s v="Base modulo 3425x1100" u="1"/>
        <s v="PIASTRA PER STAFFA QE" u="1"/>
        <s v="LAM. PIEGATA PER STAFFA QE" u="1"/>
        <s v="MONTANTE DI TESTA SX" u="1"/>
        <s v="MONTANTE DI TESTA DX" u="1"/>
        <s v="CARTER TRAVERSO DI TESTA SX" u="1"/>
        <s v="CARTER TRAVERSO DI TESTA DX" u="1"/>
        <s v="TRAVERSO PER STAFFE RINFORZATE" u="1"/>
        <s v="LONGHERONE WSA L=3750" u="1"/>
        <s v="LONGHERONE WSA L=3000" u="1"/>
        <s v="LONGHERONE WSA L=4500" u="1"/>
        <s v="LONGHERONE WSA L= 2625" u="1"/>
        <s v="PIASTRA GIUNZIONE MODULI" u="1"/>
        <s v="SUPPORTO CENTRALE Q. E." u="1"/>
        <s v="TAMPONAMENTO DESTRO Q. E." u="1"/>
        <s v="TAMPONAMENTO SINISTRO Q. E." u="1"/>
        <s v="PROFILO A L FISSAGGIO Q. E." u="1"/>
        <s v="PIASTRA DI SOLLEVAMENTO ANTERIORE" u="1"/>
        <s v="PIASTRA DI SOLLEVAMENTO" u="1"/>
        <s v="ANN LKN045 ALETTA L735" u="1"/>
        <s v="ANN LKN045 ALETTA L1035" u="1"/>
        <s v="ANN LKN045 ALETTA L585" u="1"/>
        <s v="STRUTTURA ARMADIO " u="1"/>
        <s v="FRONTALE PORTA CORE" u="1"/>
        <s v="Mounting housing black" u="1"/>
        <s v="COVER BRACKET" u="1"/>
        <s v="PANNELLO LATERALE DX TIME POWER FLOOR" u="1"/>
        <s v="PANNELLO LATERALE SX TIME POWER FLOOR" u="1"/>
        <s v="PANNELLO FRONTALE CHIUSURA TELAIO TIME POWER FLOOR" u="1"/>
        <s v="PANNELLO CRUSCOTTO TELAIO TIME POWER FLOOR" u="1"/>
        <s v="COPERCHIO TELAIO TIME POWER FLOOR" u="1"/>
        <s v="LAMIERA CHIUSURA POSTERIORE TIME POWER FLLOR" u="1"/>
        <s v="STAFFA DX SUPPORTO COLLETTORE MANDATA" u="1"/>
        <s v="STAFFA SX SUPPORTO COLLETTORE MANDATA" u="1"/>
        <s v="STAFFA DX SUPPORTO COLLETTORE RITORNO" u="1"/>
        <s v="STAFFA SX SUPPORTO COLLETTORE RITORNO" u="1"/>
        <s v="STAFFA DX SUPPORTO COLLETTORE GAS" u="1"/>
        <s v="STAFFA SX SUPPORTO COLLETTORE GAS" u="1"/>
        <s v="STAFFA ACCENDITORE TIME POWER FLOOR" u="1"/>
        <s v="STAFFA FISSAGGIO SIFONE TIME POWER FLOOR" u="1"/>
        <s v="LAMIERA DX SUPPORTO CRUSCOTTO" u="1"/>
        <s v="PANNELLO CRUSCOTTO TELAIO SMILE ENERGY TK" u="1"/>
        <s v="Boiler mounting frame riveted " u="1"/>
        <s v="MENSOLA PIANA 80" u="1"/>
        <s v="MENSOLA PIANA 60" u="1"/>
        <s v="MENSOLA PIANA 40 " u="1"/>
        <s v="MENSOLA PIANA 20 " u="1"/>
        <s v="MENSOLA PORTALIBRI 80" u="1"/>
        <s v="MENSOLA PORTALIBRI 60" u="1"/>
        <s v="MENSOLA BAGNO SEMPLICE 80" u="1"/>
        <s v="MENSOLA BAGNO SEMPLICE 60" u="1"/>
        <s v="MENSOLA BAGNO SEMPLICE 40" u="1"/>
        <s v="MENSOLA BAGNO SEMPLICE 20" u="1"/>
        <s v="FERMALIBRI PORTICO SEMPLICE " u="1"/>
        <s v="FERMALIBRI SEMPLICE" u="1"/>
        <s v="LAVAGNA MAGNETICA" u="1"/>
        <s v="MENSOLA A SCOMPARSA" u="1"/>
        <s v="LAMIERA PIEDISTALLO JAGUAR STD" u="1"/>
        <s v="GUIDA DENTATA" u="1"/>
        <s v="SCHIENA" u="1"/>
        <s v="BANDELLA INCLINATA" u="1"/>
        <s v="PORTA POSTERIORE" u="1"/>
        <s v="fitting plate AC200 1/2 101" u="1"/>
        <s v="fitting plate AC200 1/2 102" u="1"/>
        <s v="fitting plate AC200 1/2 103" u="1"/>
        <s v="fitting plate AC200 1/2 104" u="1"/>
        <s v="fitting plate AC200 1/2 105" u="1"/>
        <s v="Housing milk system fitting" u="1"/>
        <s v="PANNELLO PORTA VERS.200-250" u="1"/>
        <s v="FISSAGGIO SCHERMATURA PORTA" u="1"/>
        <s v="GUIDA LATERALE DX MOD.200-250 " u="1"/>
        <s v="GUIDA LATERALE SX MOD.200-250" u="1"/>
        <s v="PROTEZIONE PER TIGER" u="1"/>
        <s v="ASSIEME PORTA SIGARETTE" u="1"/>
        <s v="BANDELLA" u="1"/>
        <s v="VB TAPPO INSERIMENTO MONETE" u="1"/>
        <s v="PANEL DRYER LEFT PANEL - vern 1 faccia" u="1"/>
        <s v="PANEL FRONT PANEL - vern 1 faccia" u="1"/>
        <s v="RIVERSTIMENTO PORTA BGR-INOX ''1080772'' vern 1 faccia" u="1"/>
        <s v="PORTA RIBALTINA VERSIONI S9" u="1"/>
        <s v="RIVERSTIMENTO PORTA BGR-INOX ''1080770'' vern 1 facc." u="1"/>
        <s v="pezzo simmetrico 1710*100*100" u="1"/>
        <s v="sd lamiera piegata 465*150" u="1"/>
        <s v="pipe protective cover" u="1"/>
        <s v="SIDE PLATE" u="1"/>
        <s v="AIR OUTLET" u="1"/>
        <s v="SD lamiera 698*380" u="1"/>
        <s v="SD lamiera 243*171" u="1"/>
        <s v="STAY ( RIGHT)" u="1"/>
        <s v="PANNELLO FRONTALE AD 935" u="1"/>
        <s v="BASE COMPLETE AD 975" u="1"/>
        <s v="PANEL FRONTAL AD 975" u="1"/>
        <s v="COVER BACK PUMP AD 975" u="1"/>
        <s v="BASE COMPLETA AD 955" u="1"/>
        <s v="BASE COMPLETA AD 975" u="1"/>
        <s v="RH SIDE PANEL AD 955" u="1"/>
        <s v="LH SIDE PANEL AD 955" u="1"/>
        <s v="RH SIDE PANEL AD 755" u="1"/>
        <s v="LH SIDE PANEL AD 755" u="1"/>
        <s v="SEITENWAND RECHTS" u="1"/>
        <s v="SEITENWAND LINKS" u="1"/>
        <s v="800mm" u="1"/>
        <s v="1600mm" u="1"/>
        <s v="2400mm" u="1"/>
        <s v="3200mm" u="1"/>
        <s v="STAFFA APPOGGIA PIASTRA SEDILE" u="1"/>
        <s v="BRACKET" u="1"/>
        <s v="Zoccolo a vasca 1.200 x 220 x 800 - 34 kg" u="1"/>
        <s v="Zoccolo a vasca 1.200 x 220 x 600 - 29 kg" u="1"/>
        <s v="Zoccolo a vasca 800 x 220 x 600 - 23 kg" u="1"/>
        <s v="Zoccolo a vasca 800 x 220 x 800 - 26 kg" u="1"/>
        <s v="Flangia SX 1.200 x 220 x 800  " u="1"/>
        <s v="Flangia SX 1.200 x 220 x 600  " u="1"/>
        <s v="Flangia SX 800 x 220 x 600  " u="1"/>
        <s v="Flangia SX 800 x 220 x 800  " u="1"/>
        <s v="Flangia DX 1.200 x 220 x 800  " u="1"/>
        <s v="Flangia DX 1.200 x 220 x 600  " u="1"/>
        <s v="Flangia DX 800 x 220 x 600  " u="1"/>
        <s v="Flangia DX 800 x 220 x 800  " u="1"/>
        <s v="Coperchio Completo" u="1"/>
        <s v="Cassone" u="1"/>
        <s v="Lamiera Fissaggio Router-Switch" u="1"/>
        <s v="Staffa fissaggio Switch" u="1"/>
        <s v="Cassone Completo" u="1"/>
        <s v="Lamiera Piastra elettronica" u="1"/>
        <s v="Staffa di supporto elettronica" u="1"/>
        <s v="Piastra elettronica" u="1"/>
        <s v="Lamiera per coperchio" u="1"/>
        <s v="SEMI TETTOIA SX 1050" u="1"/>
        <s v="SEMI TETTOIA DX 1050" u="1"/>
        <s v="BLIND PLATE" u="1"/>
        <s v="Lamiera tettoia STD L=55 CM" u="1"/>
        <s v="sd Lamiera Piegata 474,5*104" u="1"/>
        <s v="SPESSORE ANTERIORE CERNIERA  FULL SPACE" u="1"/>
        <s v="sd lamiera 1580*912" u="1"/>
        <s v="MONTANTE SX MA-RO-NE" u="1"/>
        <s v="716MM IMBOCCO STAMPO/TORNITO" u="1"/>
        <s v="506MM SOLO IMBOCCO STAMPATO/TORNITO FRAME S" u="1"/>
        <s v="CHASSIS 2 GR (14 kg)" u="1"/>
        <s v="CHASSIS 3 GR (17 kg)" u="1"/>
        <s v="M-PIA-100X MENSOLA PIANA 100" u="1"/>
        <s v="SIDE PLATE (EVA INSIDE)" u="1"/>
        <s v="SIDE PLATE (SHEET METAL)" u="1"/>
        <s v="LAMIERA TETTOIA " u="1"/>
        <s v="LONGHERONE " u="1"/>
        <s v="BRACKET COFEE KIT" u="1"/>
        <s v="MIDDLE BRACKET " u="1"/>
        <s v="MIDDLE BLOCK" u="1"/>
        <s v="VALVE BRACKET" u="1"/>
        <s v="CHASSIS MIDBLOCK FRONT 5SPL" u="1"/>
        <s v="NIKI VALVE BRACKET" u="1"/>
        <s v="CHASSIS FOAM M-SUPPORT" u="1"/>
        <s v="TOP COVER SP" u="1"/>
        <s v="SERVICE COVER" u="1"/>
        <s v="FIANCO CANALE AP. L=2950" u="1"/>
        <s v="COPERTURA ANTERIORE JAGUAR" u="1"/>
        <s v="COPERTURA ANTERIORE TIGER" u="1"/>
        <s v="VB CARTER ANTERIORE POMPE" u="1"/>
        <s v="TETTOIA REGOLABILE P850 L750-1460 PC" u="1"/>
        <s v="PANNELLO SUP. TIGER STD" u="1"/>
        <s v="FACCIATA C/MICRO PORTA F90 - NERO LUCIDO vern 1 faccia" u="1"/>
        <s v="FACCIATA C/MICRO PORTA F90 - GRIGIO YW279F vern 1 faccia" u="1"/>
        <s v="MOUNTING BRACKET" u="1"/>
        <s v="E-BOX UPPER AD750 VARNISHED COMPLETE" u="1"/>
        <s v="sd LAMIERA PIEGATA 698*351*331" u="1"/>
        <s v="SIDE PLATE (EVA)" u="1"/>
        <s v="BUTEE DEVANT 2GR" u="1"/>
        <s v="BUTEE DEVANT 3GR" u="1"/>
        <s v="sd lamiera 400*240" u="1"/>
        <s v="sd lamiera con spuntone in alluminio" u="1"/>
        <s v="sd lamiera a vulcano" u="1"/>
        <s v="sd lamiera piegata 717*135" u="1"/>
        <s v="RIDUZIONE" u="1"/>
        <s v="sd lamiera 145*200" u="1"/>
        <s v="GRIGLIA" u="1"/>
        <s v="MONTANTE DX " u="1"/>
        <s v="MONTANTE SX" u="1"/>
        <s v="Side cover CU LH black FCS4083" u="1"/>
        <s v="CM housing rop with welding stud V2" u="1"/>
        <s v="CABINET KONFORT" u="1"/>
        <s v="LAMIERA PORTA POSTERIORE" u="1"/>
        <s v="LAMIERA SUPP. GRUPPO DI REC." u="1"/>
        <s v="LAMIERA GRUPPO SUPERIORE CON DISPLAY 12,3&quot;" u="1"/>
        <s v="LAMIERA SUPPORTO FLACONE SCARICO OLIO" u="1"/>
        <s v="LAMIERA SUPPORTO CELLA DI CARICO " u="1"/>
        <s v="LAMIERA SUPPORTO SCHEDA" u="1"/>
        <s v="LAMIERA GRUPPO SUPERIORE CON DISPLAY 8,8&quot;" u="1"/>
        <s v="LAMIERA DI PROTEZIONE CELLE DI CARICO " u="1"/>
        <s v="LAMIERA SUPPORTO POMPA" u="1"/>
        <s v="sd 1028*694*2000" u="1"/>
        <s v="sd 984*604*1753" u="1"/>
        <s v="sd 1999*1031" u="1"/>
        <s v="sd 695,60*1031,60" u="1"/>
        <s v="sd 1970*695,6" u="1"/>
        <s v="sd 983*304*32" u="1"/>
        <s v="sd 1755,38*606*31" u="1"/>
        <s v="sd 923*7" u="1"/>
        <s v="sd 954*7" u="1"/>
        <s v="TRANSPORT LATCH RIGHT C2" u="1"/>
        <s v="TRANSPORT LATCH LEFT C2" u="1"/>
        <s v="LAMIERA PIEDISTALLO LION" u="1"/>
        <s v="sd lamiera piegata 106,6*53,8" u="1"/>
        <s v="sd lamiera piegata 757*482" u="1"/>
        <s v="PARTE FISSA SUPPORTO GETTONIERA ESTRAIBILE" u="1"/>
        <s v="TAPPO LETTORE BANCONOTE" u="1"/>
        <s v="Verkleidungsblech Front iD2-4236 EWS-C-01" u="1"/>
        <s v="Verkleidungsblech hinten iD2-4237 EWS-C-01" u="1"/>
        <s v="Verkleidungsblech rechts iD2-4238 EWS-C-01" u="1"/>
        <s v="Verkleidungsblech links iD2-4239 EWS-C-01" u="1"/>
        <s v="Verkleidungsblech oben iD2-4241 EWS-C-01" u="1"/>
        <s v="C767 Coperchio Elettronica" u="1"/>
        <s v="ASSIEME PARATIA NGHP 16" u="1"/>
        <s v="Evaporator Rear Grid PCM5 L - ELCO" u="1"/>
        <s v="Evaporator Rear Grid PCM5 L - WOLF" u="1"/>
        <s v="SM6 ESP/PT GBC LIND DOOR" u="1"/>
        <s v="COPERCHIO SUPERIORE - vern 1 faccia" u="1"/>
        <s v="SCHIENALE - vern 1 faccia" u="1"/>
        <s v="FRONTALE AT-F1 (CAREL) - vern 1 faccia" u="1"/>
        <s v="COPERCHIO SUPERIORE - vern 2 facce" u="1"/>
        <s v="SCHIENALE - vern 2 facce" u="1"/>
        <s v="FRONTALE AT-F1 (CAREL) - vern 2 facce" u="1"/>
        <s v="BASAMENTO SERBATOIO vern 1 faccia" u="1"/>
        <s v="PANNELLO LATERALE SINISTRO vern 1 faccia" u="1"/>
        <s v="PANNELLO LATERALE DESTRO vern 1 faccia" u="1"/>
        <s v="PANNELLO POSTERIORE vern 1 faccia" u="1"/>
        <s v="PANNELLO ANTERIORE vern 1 faccia" u="1"/>
        <s v="COPERCHIO FISSO vern 1 faccia" u="1"/>
        <s v="COPERCHIO APRIBILE vern 1 faccia" u="1"/>
        <s v="GRIGLIA DI PROTEZIONE vern 1 faccia" u="1"/>
        <s v="PORTINA ISPEZIONE vern 1 faccia" u="1"/>
        <s v="FLANGIA DI CARICO vern 1 faccia" u="1"/>
        <s v="SCIVOLO VERTICALE vern 1 faccia" u="1"/>
        <s v="BOTTOM FRAME SUPPORT" u="1"/>
        <s v="LEFT FRAME SUPPORT" u="1"/>
        <s v="RIGHT FRAME SUPPORT" u="1"/>
        <s v="TOP FRAME SUPPORT" u="1"/>
        <s v="LAMIERA SCATOLATA TAMPONE MOTF" u="1"/>
        <s v="FAN CASING WITH OUTLET" u="1"/>
        <s v="FAN CASTING WITH OUTLET" u="1"/>
        <s v="COPERTURA CHIUSURA SUPERIORE" u="1"/>
        <s v="CARTER COPERTURA ANTERIORE SX" u="1"/>
        <s v="CARTER COPERTURA ANTERIORE DX" u="1"/>
        <s v="CARTER COPERTURA ANTERIORE S/A ASOLA" u="1"/>
        <s v="FRONTALE" u="1"/>
        <s v="Fascia laterale" u="1"/>
        <s v="Griglia frontale" u="1"/>
        <s v="PIASTRA PANNELLO VULVANO C-PLUS v3" u="1"/>
        <s v="sd LAMIERA PIEGATA 1000*145" u="1"/>
        <s v="sd LAMIERA PIEGATA 200*150" u="1"/>
        <s v="sd LAMIERA PIEGATA L.TOT.922" u="1"/>
        <s v="sd LAMIERA 350*350" u="1"/>
        <s v="Telaio 1460 (25kg)" u="1"/>
        <s v="Telaio 1600 (32kg)" u="1"/>
        <s v="Pianale (958*620*580)" u="1"/>
        <s v="Sponda anteriore (620*300*25)" u="1"/>
        <s v="Sponde laterali (995*300*25)" u="1"/>
        <s v="Pianale (931*620*580)" u="1"/>
        <s v="Sponda anteriore (620*340*25)" u="1"/>
        <s v="Sponde laterali (995*340*25)" u="1"/>
        <s v="Power Track 1300-1600" u="1"/>
        <s v="sd 400*145" u="1"/>
        <s v="SIDE TRIM, 60CM RIGHT" u="1"/>
        <s v="SIDE TRIM, 60CM LEFT" u="1"/>
        <s v="GL1217" u="1"/>
        <s v="BASAMENTO SERBATOIO" u="1"/>
        <s v="PANNELLO LATERALE SINISTRO" u="1"/>
        <s v="PANNELLO LATERALE DESTRO" u="1"/>
        <s v="PANNELLO ANTERIORE" u="1"/>
        <s v="COPERCHIO FISSO" u="1"/>
        <s v="COPERCHIO APRIBILE" u="1"/>
        <s v="GRIGLIA DI PROTEZIONE" u="1"/>
        <s v="PORTINA ISPEZIONE" u="1"/>
        <s v="FLANGIA DI CARICO" u="1"/>
        <s v="SCIVOLO VERTICALE" u="1"/>
        <s v="Trim panel black FCS4089" u="1"/>
        <s v="FACCIATA C/MICRO PORTA F90 - NERO LUCIDO" u="1"/>
        <s v="FACCIATA C/MICRO PORTA F90 - GRIGIO YW279F" u="1"/>
        <s v="PANEL DRYER LEFT PANEL" u="1"/>
        <s v="PANEL FRONT PANEL" u="1"/>
        <s v="RIVERSTIMENTO PORTA BGR-INOX ''1080772''" u="1"/>
        <s v="RIVERSTIMENTO PORTA BGR-INOX ''1080770''" u="1"/>
        <s v="SD pannello 650*430" u="1"/>
        <s v="Basamento cabina" u="1"/>
        <s v="Montante Quadro elettrico" u="1"/>
        <s v="Pannello quadro elettrico" u="1"/>
        <s v="Tetto cabina" u="1"/>
        <s v="Supporto radiatore" u="1"/>
        <s v="Pannello uscita aria" u="1"/>
        <s v="Supporto compressore" u="1"/>
        <s v="sd pezzo a L" u="1"/>
        <s v="sd lamiera 410*430" u="1"/>
        <s v="sd basamento" u="1"/>
        <s v="sd lamiera 395*375 con foro" u="1"/>
        <s v="PANEL ROOF C55 - SPORTELLINO 160*160" u="1"/>
        <s v="ND" u="1"/>
        <s v="LEFT PANEL" u="1"/>
        <s v="PANEL LEFT C67 BD" u="1"/>
        <s v="DOOR C67 BELT FF" u="1"/>
        <s v="SD LAMIERA 720*1650" u="1"/>
        <s v="SD telaio 1250*700" u="1"/>
        <s v="80*300" u="1"/>
        <s v="Boiler mounting frame riveted" u="1"/>
        <s v="Trim panel 300 mahagony FCS4094" u="1"/>
        <s v="SQUADRA ORIZZONTALE COMPLETA" u="1"/>
        <s v="SQUADRA VERTICALE COMPLETA" u="1"/>
        <s v="SEMI-CORNICE COMPLETA" u="1"/>
        <s v="STAFFA COLLEGAM. TUBO 1' - COMPLETA" u="1"/>
        <s v="SCOCCA POSTERIORE - COMPLETA" u="1"/>
        <s v="PANNELLO FRONTALE COMPLETO" u="1"/>
        <s v="PANNELLO LATO INDOOR COMPLETO" u="1"/>
        <s v="holder stand left" u="1"/>
        <s v="holder stand right" u="1"/>
        <s v="Mounting bracket pump module" u="1"/>
        <s v="ASS. FRONTALE 2.0 NC MINI vern. 1 FACC" u="1"/>
        <s v="Machine frame FCS4091/4093" u="1"/>
        <s v="sd vasca 1726*922  kg65" u="1"/>
        <s v="sd vasca 2220*1025 kg153" u="1"/>
        <s v="sd STRUTTURA senza ripiani 460*460*200" u="1"/>
        <s v="s.d.mensola 200*231*200" u="1"/>
        <s v="sd mensola 200*460" u="1"/>
        <s v="PORTELLA LATERALE" u="1"/>
        <s v="Base plate pullout" u="1"/>
        <s v="Support pullout FCS4091" u="1"/>
        <s v="Coin cassette FCS4091" u="1"/>
        <s v="Coin changer base plate FCS4091" u="1"/>
        <s v="electronics housing" u="1"/>
        <s v="mounting bracket peristaltic pump" u="1"/>
        <s v="electronics housing welded" u="1"/>
        <s v="fitting plate CV VERN 1 FACC" u="1"/>
        <s v="fitting plate CC" u="1"/>
        <s v="fitting plate Onyx VERN 1 FACC" u="1"/>
        <s v="fitting plate deep EVA-DTS" u="1"/>
        <s v="mounting bracket peristaltic pump FCS409" u="1"/>
        <s v="mounting frame peristaltic pump FCS4093" u="1"/>
        <s v="cable duct FCS4093" u="1"/>
        <s v="fitting plate closed Pos.3" u="1"/>
        <s v="fitting plate closed Pos.1/2" u="1"/>
        <s v="latch add-on unit" u="1"/>
        <s v="Cable duct top construction FCS4083" u="1"/>
        <s v="Hose guide front FCS4083" u="1"/>
        <s v="DEFLECTEUR 01 RAL 7001 - DB" u="1"/>
        <s v="DEFLECTEUR 2  RAL 7001 - DB" u="1"/>
        <s v="SIDEWALK LEFT BRACKET RAL 7001 - DB" u="1"/>
        <s v="SIDEWALK RIGHT BRACKET RAL 7001 - DB" u="1"/>
        <s v="RAIL TFO PSSB" u="1"/>
        <s v="PLAT SUPERIEUR TIPI MAEC" u="1"/>
        <s v="PATTE BRIDAGE TFO" u="1"/>
        <s v="TROTTOIR AER PERFORES PSSB VERNICIATA RAL 7001 - DB" u="1"/>
        <s v="DEFLECTEUR 03 RAL 7001 - DB" u="1"/>
        <s v="OBTURATER REALIMENTATION RAL 7001 - DB" u="1"/>
        <s v="OBTURATEUR PASSE CABLE RAL 7001 - DB" u="1"/>
        <s v="EQUERRE TFO No2" u="1"/>
        <s v="CAPOT PROTECTION AERATEUR RAL 7001 - DB" u="1"/>
        <s v="PIVOT COMPAS" u="1"/>
        <s v="TRINGLE COMPAS ARRET DE PORTE" u="1"/>
        <s v="GLISSIERE COMPAS" u="1"/>
        <s v="FACE AVANT FRONTALE PSSB BIOSCO RAL 7001 - DB" u="1"/>
        <s v="LAMIERA POSTERIORE CORE (NERA)" u="1"/>
        <s v="LAMIERA SX VERSIONE CORE (NERA)" u="1"/>
        <s v="ASS. BASAMENTO S35" u="1"/>
        <s v="ASS. BASAMENTO 4 MACININI S35" u="1"/>
        <s v="FRONTALE PORTA CORE P333" u="1"/>
        <s v="sd 400 x 345 x 66 " u="1"/>
        <s v="Mounting bracket steam valve" u="1"/>
        <s v="Mounting bracket brewing valve" u="1"/>
        <s v="Mounting plate valve group" u="1"/>
        <s v="Mounting bracket 3-2 way valve" u="1"/>
        <s v="CHIUSURA EST.INF. 2.0 + ERV vern 1 facc." u="1"/>
        <s v="STAFFA BLOCCAGGIO CHIUS. INFERIORE 2.0 + ERV vern 1 facc." u="1"/>
        <s v="LONGHERONE GRUPPI 2GR.C5-C7/16-FE-" u="1"/>
        <s v="TRAVERSA RUBIN.2GR C5-C7 MY21-FE-VERN" u="1"/>
        <s v="LONGHERONE GRUPPI 3GR.C5-C7/16-FE-" u="1"/>
        <s v="TRAVERSA RUBIN.3GR C5-C7 MY21-FE-VERN" u="1"/>
        <s v="0216-PANEL" u="1"/>
        <s v="sd lamierato 788*600*400" u="1"/>
        <s v="MONO JET BETA" u="1"/>
        <s v="ASPI-JET" u="1"/>
        <s v="FASCIA CARENATURA REV. 10" u="1"/>
        <s v="CARENATURA COMPLETA" u="1"/>
        <s v="LAMIERA SUPP. COLLARE X ASPIR.LAB.CAR" u="1"/>
        <s v="AB.CAR" u="1"/>
        <s v="SPORTELLO POSTER" u="1"/>
        <s v="PANEL FRONT CLOSING L" u="1"/>
        <s v="PANEL FRONT CLOSING M" u="1"/>
        <s v="PANEL FRONT CLOSING S" u="1"/>
        <s v="Front panel" u="1"/>
        <s v="Mounting bracket valve group DMT" u="1"/>
        <s v="BASAMENTO PAL50 LAM.ZINC. 2a Vers. VERN." u="1"/>
        <s v="FASCIA CARENATURA ASPI J 9" u="1"/>
        <s v="SPORT.ANT. CARASPI - JET 9" u="1"/>
        <s v="PANN ANT CAR. ASPI-JET 6-7-8" u="1"/>
        <s v="SPORTELLO MONO JET ALFA ANTER" u="1"/>
        <s v="SPORT. ANT. JET BETA" u="1"/>
        <s v="SPORTELLO MONO JET BETA POSTER" u="1"/>
        <s v="SPORT POST. CAR. ASPI-JET 6-7-8-9" u="1"/>
        <s v="SQ. SUPP. FILTRO CENT.PAL 14 VERN" u="1"/>
        <s v="STAFFA SUPP. 1 IDRO ISO 4 XT-J SCAR.VERN" u="1"/>
        <s v="CONVOGL. LAT CAREN EST T-SMART 2 VERS VER" u="1"/>
        <s v="DISTANZIALE IN LAMIERA SP. 1,5 X 202420" u="1"/>
        <s v="SPORTELLO ANTERIORE CAREN. T-S INTERNI VER" u="1"/>
        <s v="SPORTELLO POSTERIORE CAREN T-S INTERNI VER." u="1"/>
        <s v="CONVOGLIATORE MOT. CENTRIFUGA CAREN. T-S" u="1"/>
        <s v="CHIUSURA CONV. MOTORI CAREN. TURBO SMART" u="1"/>
        <s v="CONVOGLIATORE INVERTER CAR. TURBO-SMART" u="1"/>
        <s v="USCITA CONV. INVERTER CARN. TURBO-SMART" u="1"/>
        <s v="CONVOGLIATORE USCITA CAREN.TURBO-SMART" u="1"/>
        <s v="CHIUSURA CONV. USCITA CAREN. TURBO -SMART" u="1"/>
        <s v="CONVOGLIATORE MOT. UNI-JET 75 CARN. T.S." u="1"/>
        <s v="LAMIERA CHIUSURA CONV. INVERTER CAREN. T-S" u="1"/>
        <s v="FASCIA CARENATURA TURBO SMART X INTERNI" u="1"/>
        <s v="SPORTELLO ANTERIORE CARN. M-S INTERNI" u="1"/>
        <s v="SPORTELLO POSTERIORE CAREN M.S INTERNI" u="1"/>
        <s v="CONVOGLIATORE MOTORI CAREN. MICRO-SMART" u="1"/>
        <s v="CHIUSURA CONV. MOTORI CAREN.MICRO-SMART" u="1"/>
        <s v="CONVOGLIATORE INVERTER CAREN.MICRO-SMART" u="1"/>
        <s v="CHIUSURA CONV. INVERTER CAREN. MISCRO-SMART" u="1"/>
        <s v="CONVOGLIATORE USCITA CAREN. MICRO-SMART" u="1"/>
        <s v="CHIUSURA CONV. USCITA CAREN. MICRO-SMART" u="1"/>
        <s v="RRW 1099x800x260/-/2/S1/-/GP/085-12B" u="1"/>
        <s v="PNW 960x368x316/-/2/ST/-/GP/085-12A" u="1"/>
        <s v="Front cover conduit box NERA 56" u="1"/>
        <s v="ASS. SUPPORTO DISPLAY 2.0 RETTANGOLARE ESTETICA VECCHIA" u="1"/>
        <s v="BRACKET END" u="1"/>
        <s v="CORPO" u="1"/>
        <s v="CORPO FIANCO 1" u="1"/>
        <s v="PIASTRINA" u="1"/>
        <s v="STAFFA A L 1" u="1"/>
        <s v="STAFFA A L 2" u="1"/>
        <s v="CORPO FIANCO 2" u="1"/>
        <s v="PANNELLO 3" u="1"/>
        <s v="PANNELLO 1" u="1"/>
        <s v="LAMIERA PIEDE" u="1"/>
        <s v="PANNELLINO A C" u="1"/>
        <s v="STAFFA A Z" u="1"/>
        <s v="PANNELLO 2" u="1"/>
        <s v="STAFFETTA" u="1"/>
        <s v="PANNELLINO" u="1"/>
        <s v="FIANCO DESTRO DARK" u="1"/>
        <s v="FIANCO SINISTRO DARK" u="1"/>
        <s v="FIANCO DESTRO WHITE" u="1"/>
        <s v="FIANCO SINISTRO WHITE" u="1"/>
        <s v="FIANCO DESTRO MINT GREEN" u="1"/>
        <s v="FIANCO SINISTRO MINT GREEN" u="1"/>
        <s v="FIANCO DESTRO BLAZE RED" u="1"/>
        <s v="FIANCO SINISTRO BLAZE RED" u="1"/>
        <s v="FIANCO DESTRO ICE BLUE" u="1"/>
        <s v="FIANCO SINISTRO ICE BLUE" u="1"/>
        <s v="FIANCO DESTRO MOON GREY" u="1"/>
        <s v="FIANCO SINISTRO MOON GREY" u="1"/>
        <s v="FIANCO DESTRO NAVY BLUE" u="1"/>
        <s v="FIANCO SINISTRO NAVY BLUE" u="1"/>
        <s v="Base Bottom Deep 5split VERN 1 FACC" u="1"/>
        <s v="Back_Cover VERN 1 FACC" u="1"/>
        <s v="Side_Cover_RH VERN 1 FACC" u="1"/>
        <s v="mixer_drip-tray_Simplicity" u="1"/>
        <s v="Chassis_Bottom_6spl VERN 1 FACC" u="1"/>
        <s v="Chassis_Midblock_Front_6spl VERN 1 FACC" u="1"/>
        <s v="Chassis_Midblock_6spl VERN 1 FACC" u="1"/>
        <s v="Chassis_Hydraulicblock_Bracket VERN 1 FACC" u="1"/>
        <s v="Chassis_Midblock_Front_5spl VERN 1 FACC" u="1"/>
        <s v="Chassis_Hydraulicblock_Bracket_5spl VERN 1 FACC" u="1"/>
        <s v="Chassis_Midblock_5spl VERN 1 FACC" u="1"/>
        <s v="Elec-cover_back VERN 1 FACC" u="1"/>
        <s v="Hydraulic_Check_Valve_Cover_5split VERN 1 FACC" u="1"/>
        <s v="Chassis_RH_with_Bracket_RH_ASM VERN 1 FACC" u="1"/>
        <s v="Chassis_LH_with_Bracket_LH_ASM VERN 1 FACC" u="1"/>
        <s v="Chassis_Bottom_RH_5spl VERN 1 FACC" u="1"/>
        <s v="Chassis_Bottom_RH_6spl VERN 1 FACC" u="1"/>
        <s v="Side_Cover_LH VERN 1 FACC" u="1"/>
        <s v="Back_Cover_L VERN 1 FACC" u="1"/>
        <s v="Containerplate_6spl VERN 1 FACC" u="1"/>
        <s v="Containerplate_5spl VERN 1 FACC" u="1"/>
        <s v="SD 720 MM VERN. 1 FACC" u="1"/>
        <s v="SD 1068 MM VERN 1 FACC" u="1"/>
        <s v="SD 1468 MM VERN 1 FACC" u="1"/>
        <s v="SD 720 MM VERN. 2 FACC" u="1"/>
        <s v="SD 1068 MM VERN 2 FACC" u="1"/>
        <s v="SD 1468 MM VERN 2 FACC" u="1"/>
        <s v="SD 705 MM VERN 1 FACC" u="1"/>
        <s v="SD 1055 MM VERN 1 FACC" u="1"/>
        <s v="SD 1455 MM VERN 1 FACC" u="1"/>
        <s v="SD 705 MM VERN 2 FACC" u="1"/>
        <s v="SD 1055 MM VERN 2 FACC" u="1"/>
        <s v="SD 1455 MM VERN 2 FACC" u="1"/>
        <s v="SD 718 MM VERN. 1 FACC" u="1"/>
        <s v="SD 718 MM VERN. 2 FACC" u="1"/>
        <s v="SD 663 MM VERN. 1 FACC" u="1"/>
        <s v="SD 1013 MM VERN 1 FACC" u="1"/>
        <s v="SD 1413 MM VERN 1 FACC" u="1"/>
        <s v="SD 663 MM VERN. 2 FACC" u="1"/>
        <s v="SD 1013 MM VERN 2 FACC" u="1"/>
        <s v="SD 1413 MM VERN 2 FACC" u="1"/>
        <s v="SD 1070 MM VERN 1 FACC" u="1"/>
        <s v="SD 1471 MM VERN 1 FACC" u="1"/>
        <s v="SD 1070 MM VERN 2 FACC" u="1"/>
        <s v="SD 1471 MM VERN 2 FACC" u="1"/>
        <s v="ASSY TELAIO - FJAV" u="1"/>
        <s v="CONDENSER COVER" u="1"/>
        <s v="RIGHT SIDE PANEL PAYMENT MODE BLACK" u="1"/>
        <s v="PROUNGA FASCE LATERALI" u="1"/>
        <s v="2164x69x12" u="1"/>
        <s v="1209x65x62" u="1"/>
        <s v="1209x62x55" u="1"/>
        <s v="1156x893x32" u="1"/>
        <s v="2158x123x58" u="1"/>
        <s v="1140x85x28" u="1"/>
        <s v="1145x32x67" u="1"/>
        <s v="2164x483,5x37,3" u="1"/>
        <s v="395x135x34" u="1"/>
        <s v="385x196x35" u="1"/>
        <s v="60x30x12" u="1"/>
        <s v="2158x128,5x124" u="1"/>
        <s v="1140x85x69" u="1"/>
        <s v="1145x138x38" u="1"/>
        <s v="1194x902x32" u="1"/>
        <s v="987x85x3" u="1"/>
        <s v="PLAN DE DETAIL de la caisse 230 v23" u="1"/>
        <s v="PLAN DE DETAIL DE L'Ensemble portillion av 130 220" u="1"/>
        <s v="PLAN DE DETAIL du portillion arriere vas 138 v17" u="1"/>
        <s v="PLAN DE DETAIL du Panneau Haut Cote (gauche) 138 v17" u="1"/>
        <s v="PLAN DE DETAIL du Panneau Haut Cote (droite) 138 v17" u="1"/>
        <s v="PLAN DE DETAIL du panneau vas cote (sonde) 138 v17" u="1"/>
        <s v="PLAN DE DETAIL du panneau vas cote (pleim) 138 v17" u="1"/>
        <s v="PLAN DE DETAIL du u portillion av 138 220 v17" u="1"/>
        <s v="PLAN DE DETAIL de la facade pleine porillion av 138 220 v17" u="1"/>
        <s v="PLAN DE DETAIL su support bandeau portillion v17 commun" u="1"/>
        <s v="PLAN DE DETAIL du cache bandeau portillion av v17 commun" u="1"/>
        <s v="PLAN DE DETAIL du bandeau portillion av v17 commun" u="1"/>
        <s v="PLAN DE DETAIL support bandeau porte 138 220 v17" u="1"/>
        <s v="PLAN DE DETAIL du cache bandeau porte 138 220 v17" u="1"/>
        <s v="PLAN DE DETAIL du bandeau porte 138 220 v17" u="1"/>
        <s v="PLAN DE DETAIL de lal porte tolene hublot 138 220 v17" u="1"/>
        <s v="PLAN DE DETAIL de l'assemblage du portilon arriere" u="1"/>
        <s v="PLAN DE DETAIL de la porte du portillon arriere" u="1"/>
        <s v="MONTANTE FRCV0070 - 4,2KG" u="1"/>
        <s v="MONTANTE  VENTILATORI FRCV0070 -2,8 KG" u="1"/>
        <s v="PANNELLO VENTILATORI FRCV0070 - 19,11 KG" u="1"/>
        <s v="PANNELLO VENT RIEMPIMENT FRCV0070 - 30,4 KG" u="1"/>
        <s v="PANNELLO CIECO RETTANGOLARE FRCV0070 - 9,4 KG" u="1"/>
        <s v="PANN.LATERALE RIEMPIMENTO FRCV0070 - 10,6 KG" u="1"/>
        <s v="PANN.LATERALE VENTILATORI FRCV0070 - 7 KG" u="1"/>
        <s v="STAFFA DI SOST. SONDA FRCV0070 - 0,2 KG" u="1"/>
        <s v="blanking cover for tablet dosing" u="1"/>
        <s v="Mounting bracket air pump" u="1"/>
        <s v="TELAIO CASSETTA" u="1"/>
        <s v="LEVE SPORTELLO CASSETTA" u="1"/>
        <s v="TELAIO SPORTELLO" u="1"/>
        <s v="LAMIERA SPORTELLO CASSETTA FISSA" u="1"/>
        <s v="STAFFA FISSAGGIO CASSETTA" u="1"/>
        <s v="LEVERISMO APERTURA PORTELLO" u="1"/>
        <s v="LAMIERA SUPPORTO BLOCCHETTO" u="1"/>
        <s v="TELAIO BRACCIO CONNETTORE" u="1"/>
        <s v="CARTER SUPERIORE" u="1"/>
        <s v="CARTER LATERALE SX" u="1"/>
        <s v="CARTER POSTERIORE" u="1"/>
        <s v="CARTER LATERALE DX" u="1"/>
        <s v="PANEL FRONTAL ATAG MINI vern 1 facc" u="1"/>
        <s v="ASM PANEL LATERAL ATAG MINI vern 1 facc" u="1"/>
        <s v="PANEL BACK ATAG MINI vern 1 facc" u="1"/>
        <s v="PANEL TOP ATAG MINI vern 1 facc" u="1"/>
        <s v="PANEL BOTTOM ATAG MINI vern 1 facc" u="1"/>
        <s v="Connecting bar FS AC" u="1"/>
        <s v="cable duct FCS4091 / 4093" u="1"/>
        <s v="STAFFA BRACCIOLO PER GT75" u="1"/>
        <s v="SCOCCA SCHIENALE COMPLETA SR840" u="1"/>
        <s v="ASSIEME SCH. COMPL. SLEEP C/S" u="1"/>
        <s v="SCOCCA SCHIENALE SC70 P" u="1"/>
        <s v="BASE MOLLEGGIO" u="1"/>
        <s v="SCHOCCA SCHIENALE SC70" u="1"/>
        <s v="PANNELLO FRONTALE ECA" u="1"/>
        <s v="PANNELLO LATO ACQUA ECA" u="1"/>
        <s v="PANNELLO LATO GAS ECA RIDOTTO" u="1"/>
        <s v="MODULO TETTO ECA BATTERIA 3000" u="1"/>
        <s v="MODULO TETTO POSTERIORE ECA BATT. 3000 A" u="1"/>
        <s v="STAFFA SUPP. PRESSOST. DIFF. H2O" u="1"/>
        <s v="PIASTRA  SOLLEV.TONDA CA1131SHT" u="1"/>
        <s v="PIASTRA SOLLEV. RETT. CA1131SHT" u="1"/>
        <s v="MONTANTE MOBILE LATO BATTERIA ECA" u="1"/>
        <s v="MONTANTE  FISSO LATO PANNELLI ECA" u="1"/>
        <s v="MONTANTE FISSO LATO SERBATOIO ECA" u="1"/>
        <s v="MONTANTE ANTERIORE DX ECA" u="1"/>
        <s v="MONTANTE ANTERIORE SX ECA" u="1"/>
        <s v="MONTANTE POSTERIORE MOBILE DX ECA" u="1"/>
        <s v="SOSTEGNO ANTERIORE ARMADIO ELETTR. ECA" u="1"/>
        <s v="SOSTEGNO ANTERIORE SX ARMADIO ELETT. ECA" u="1"/>
        <s v="SOSTEGNO VENTILATORI SOPRA BATTERIA ECA" u="1"/>
        <s v="SOSTEGNO VENTILATORI SOPRA PANNNELLI ECA" u="1"/>
        <s v="SOST. VENT. SOPRA BATT. ECA PROL. 3000" u="1"/>
        <s v="SOST.VENT.PROL.SOPRA PANN. ECA BATT.3000" u="1"/>
        <s v="SUPPORTO BATTERIA ECA L=4000" u="1"/>
        <s v="MONTANTE POSTERIORE FISSO SX ECA ATM" u="1"/>
        <s v="STAFFA SUPPORTO FILTRO GAS ECA ESA" u="1"/>
        <s v="COLLARE PER FILTRO GAS ECA ESA" u="1"/>
        <s v="PANNELLO LATO ACQUA ECA 1321-1621 ATM" u="1"/>
        <s v="TRAVERSO FRONTALE" u="1"/>
        <s v="LONGHERONE ECA 4000 DX" u="1"/>
        <s v="LONGHERONE ECA 4000 SX" u="1"/>
        <s v="Iatch accounting add-on unit RH" u="1"/>
        <s v="Cup tray base plate black FCS4094" u="1"/>
        <s v="PIASTRA SUPPORTO CENTR INF. CABINA" u="1"/>
        <s v="COERCHIO SCATOLA COMANDI TORRE 2513" u="1"/>
        <s v="PIASTRA INTERMEDIA" u="1"/>
        <s v="CONNECTING ANGLE" u="1"/>
        <s v="STAFFA DI BATTUTA" u="1"/>
        <s v="PORTE HOLDER" u="1"/>
        <s v="BASAMENTO ROBOT S7" u="1"/>
        <s v="SCIVOLO Ø1650mm RAL5013" u="1"/>
        <s v="SCIVOLO D=1650 L=2000 PORTATA 2000 KG" u="1"/>
        <s v="SILSCREENED COVER" u="1"/>
        <s v="RIGHT FILTER COVER" u="1"/>
        <s v="LEFT FILTER COVER" u="1"/>
        <s v="CABINET KONFORT 70xR" u="1"/>
        <s v="LAMIERA PER RIPIANO TASTIERA E PORTAMANOMETRI KONFORT DISPLA" u="1"/>
        <s v="LAMIERA SUPPORTO BOMBOLA KONFORT 715REvo" u="1"/>
        <s v="LAMIERA BILANCIA ACE 60 KG KONFORT 705R" u="1"/>
        <s v="Ass. Base EVO X Tech" u="1"/>
        <s v="COPPIA PROFILO VERTICALE H2000 ARMADI VX25" u="1"/>
        <s v="PNL FRNT C/CORNICE ZINC NGHP6" u="1"/>
        <s v="PNL FRNT C/CORNICE ZINC NGHP8" u="1"/>
        <s v="PNL FRNT C/CORNICE ZINC NGHP12" u="1"/>
        <s v="PNL FRNT C/CORNICE ZINC NGHP16" u="1"/>
        <s v="PANN. SUP. ZINC NGHP6" u="1"/>
        <s v="PANN. SUP. ZINC NGHP 8/12" u="1"/>
        <s v="MONTANTE STRUTTURA ANTERIORE DX" u="1"/>
        <s v="MONTANTE STRUTTURA ANTERIORE SX" u="1"/>
        <s v="BASAMENTO INFERIORE" u="1"/>
        <s v="MONTANTE POSTERIORE DESTRO" u="1"/>
        <s v="MONTANTE SUPERIORE SINISTRO" u="1"/>
        <s v="BASAMENTO SUPERIORE" u="1"/>
        <s v="COPERCHIO MONTANTE DESTRO" u="1"/>
        <s v="COPERCHIO MONTANTE SINISTRO" u="1"/>
        <s v="Cup tray 300 black" u="1"/>
        <s v="Cup tray 200 black" u="1"/>
        <s v="Cup tray 200 CC black" u="1"/>
        <s v="Cup Tray 340 short black" u="1"/>
        <s v="Cup tray 300 black FCS4088 UT" u="1"/>
        <s v="Cup tray short 170 black" u="1"/>
        <s v="Mounting bracket valve block Y61  FCS4083" u="1"/>
        <s v="Mounting bracket valve group thermoblock FCS4083 " u="1"/>
        <s v="Lama frontale saldata La.Ma.2023" u="1"/>
        <s v="SD 1505*807" u="1"/>
        <s v="SD 1658*770" u="1"/>
        <s v="SD 1218*760" u="1"/>
        <s v="SD 1506*332" u="1"/>
        <s v="SD CERCHIO 660*110H" u="1"/>
        <s v="SD 110*90" u="1"/>
        <s v="Back_lower_cover" u="1"/>
        <s v="Back_Lower_Cover_M" u="1"/>
        <s v="Top_cover_for_2kg_bean" u="1"/>
        <s v="Support 4kg hopper" u="1"/>
        <s v="Brewer_Fixation_Bracket_89mm" u="1"/>
        <s v="SPORTELLONE SCORREVOLE" u="1"/>
        <s v="CAMERA FILTRANTE D.460 H360 GREZZA" u="1"/>
        <s v="CESTINO CARELLO S D.460 GREZZO" u="1"/>
        <s v="TRAV.SUPPORTO BATTERIE XCA" u="1"/>
        <s v="CORSIA FISS. BATT MCH XCA ZIEHL" u="1"/>
        <s v="CORSIA FISS. BATT. MCH XCA ZIEHL" u="1"/>
        <s v="STAFFA DI SOST. MOD. BATT. XCA" u="1"/>
        <s v="LAM. FERMO BATT. XCA ZIEHL" u="1"/>
        <s v="TAMP. INTERMEDIO TAMP. INT. XCA" u="1"/>
        <s v="TAMP. LATERALE TAMP. LAT. XCA" u="1"/>
        <s v="TAMP. LATERALE TAMP. LAT XCA" u="1"/>
        <s v="TAMP. INTERMEDIO TAMP. LAT. XCA EBM" u="1"/>
        <s v="TRAVERSO TELAIO TELAIO SUPP. TEST" u="1"/>
        <s v="PANNELLO OMEGA" u="1"/>
        <s v="TELAIO SUPP. VENT. XCA EBM (no fan pan) P1" u="1"/>
        <s v="TELAIO SUPP. VENT. XCA EBM (no fan pan) P2" u="1"/>
        <s v="TELAIO SUPP. VENT. XCA EBM (no fan pan) P3" u="1"/>
        <s v="TELAIO SUPP. VENT. XCA EBM (no fan pan) P4" u="1"/>
        <s v="TELAIO SUPP. VENT. XCA EBM (no fan pan) P5" u="1"/>
        <s v="TELAIO SUPP. VENT. XCA EBM (no fan pan) P6" u="1"/>
        <s v="TELAIO SUPP. VENT. XCA ZIEHL (no fan pan) P1" u="1"/>
        <s v="TELAIO SUPP. VENT. XCA ZIEHL (no fan pan) P2" u="1"/>
        <s v="TELAIO SUPP. VENT. XCA ZIEHL (no fan pan) P3" u="1"/>
        <s v="TELAIO SUPP. VENT. XCA ZIEHL (no fan pan) P4" u="1"/>
        <s v="TELAIO SUPP. VENT. XCA ZIEHL (no fan pan) P5" u="1"/>
        <s v="TELAIO SUPP. VENT. XCA ZIEHL (no fan pan) P6" u="1"/>
        <s v="CHASSIS HYDRAULICBLOCK BRACKET 5SPL" u="1"/>
        <s v="CHASSIS MIDBLOCK 5SPL" u="1"/>
        <s v="CONTAINERPLATE 5SPL" u="1"/>
        <s v="ELEC-COVER BACK" u="1"/>
        <s v="EMH64 COVER" u="1"/>
        <s v="CHASSIS LH WITH BRACKET LH ASM vern 1 faccia" u="1"/>
        <s v="CHASSIS MIDBLOCK FRONT 6SPL" u="1"/>
        <s v="CHASSIS MIDBLOCK  6SPL" u="1"/>
        <s v="CHASSIS HYDRAULICBLOCK BRACKET" u="1"/>
        <s v="MIXER DRIP TRY M" u="1"/>
        <s v="MIXER DRIP TRY L" u="1"/>
        <s v="CONTAINERPLATE 6SPL" u="1"/>
        <s v="BREWER FIXATION BRACKET 15MM" u="1"/>
        <s v="Chassis RH with bracket RH ASM VERN 1 FACCIA" u="1"/>
        <s v="Chassis Bottom RH 5spl" u="1"/>
        <s v="Base bottom deep 5 split" u="1"/>
        <s v="Chassis Bottom RH 6spl" u="1"/>
        <s v="Base bottom deep 6 split" u="1"/>
        <s v="BREWER FIXATION BRACKET L" u="1"/>
        <s v="BREWER FIXATION BRACKET 52MM" u="1"/>
        <s v="PANNELLO ESTERNO ANGOLO H120 PER ORLO CON TELAIO - VERNICIATO" u="1"/>
        <s v="PANNELLO ESTERNO H 120 PER ORLO / PLANAR / TRATTO CON TELAIO - VERNICIATO" u="1"/>
        <s v="PANNELLO ESTERNO ANGOLO H120 PER ORLO CON TELAIO PER TARGA SPATIUM - VERNICIATO" u="1"/>
        <s v="TAMP.INTERNO QE ID.LUAV0511-0611 1A" u="1"/>
        <s v="TAMP.INTERNO QE ID.LU0711.1311 2A" u="1"/>
        <s v="TAMP.INTERNO QE ID.LUAV0511-0611 2A" u="1"/>
        <s v="PANNELLO TOP P5" u="1"/>
        <s v="LAMIERA BASAMENTO P5" u="1"/>
        <s v="LAMIEREA BASAMENTO + INSERTI P5" u="1"/>
        <s v="PIEDINO OMEGA P5" u="1"/>
        <s v="CARRELLO POMPA 500 BAR" u="1"/>
        <s v="Carena Anteriore Attacchi Vulcano v3" u="1"/>
        <s v="Carena Copertura Superiore Vulcano v3" u="1"/>
        <s v="Carena Posteriore Vulcano v3" u="1"/>
        <s v="Carena Laterale Sx Vulcano v3" u="1"/>
        <s v="Carena Laterale Dx Vulcano v3" u="1"/>
        <s v="Carena Posteriore Vulcano Power V1" u="1"/>
        <s v="Carena anteriore Vulcano Power V2" u="1"/>
        <s v="Carena laterale SX Vulcano Power V2" u="1"/>
        <s v="Carena laterale DX Vulcano Power V2" u="1"/>
        <s v="TELAIO CARRELLO SOLAR-VULCANO" u="1"/>
        <s v="TELAIO IMPUGNATURE TERMOLIFT" u="1"/>
        <s v="TELAIO MONTANTE DX TERMOLIFT" u="1"/>
        <s v="TELAIO MONTANTE SX TERMOLIFT" u="1"/>
        <s v="SCATOLA ELETTRICA VULCANO v3" u="1"/>
        <s v="SERBATOIO BLITZ-TWISTER" u="1"/>
        <s v="Mounting bracket powdered beverage spout" u="1"/>
        <s v="LAMIERA POSTERIORE 4 ASSI" u="1"/>
        <s v="LAMIERA FROTALE 4 ASSI" u="1"/>
        <s v="revisionato OM10.04549" u="1"/>
        <s v="MODULO BARRIERA A PROTEZIONE" u="1"/>
        <s v="PARAPETTO TIPO III 2975" u="1"/>
        <s v="Montageblech" u="1"/>
        <s v="PANEL FRONT PANEL C+B S P5 STUD M4" u="1"/>
        <s v="FRONT PANEL C+B S P5" u="1"/>
        <s v="BACK PILLAR C+B S P5" u="1"/>
        <s v="BACK PILLAR C+B M P5" u="1"/>
        <s v="BACK PILLAR C+B L P5" u="1"/>
        <s v="BACK PILLAR ASSY S P5" u="1"/>
        <s v="BACK PILLAR ASSY M P6" u="1"/>
        <s v="BACK PILLAR ASSY L P7" u="1"/>
        <s v="PANEL FRONT PANEL C+B L P5 STUD" u="1"/>
        <s v="FRONT PANEL C+B L P5" u="1"/>
        <s v="FRONT PANEL C+B MP5" u="1"/>
        <s v="PANEL FRONT PANEL C+B M P5 + STUD" u="1"/>
        <s v="SIDE PANEL C+B S P5" u="1"/>
        <s v="SIDE PANEL C+B M P5" u="1"/>
        <s v="SIDE PANEL C+B L P5" u="1"/>
        <s v="back panel C+B S P5" u="1"/>
        <s v="back panel C+B M P5" u="1"/>
        <s v="back panel C+B L P5" u="1"/>
        <s v="FRONT SIDE PANEL C+B S P5" u="1"/>
        <s v="FRONT SIDE PANEL C+B M P5" u="1"/>
        <s v="FRONT SIDE PANEL C+B L P5" u="1"/>
        <s v="FRONT SIDE PANEL SV C+B S P6" u="1"/>
        <s v="FRONT SIDE PANEL SV C+B M P6" u="1"/>
        <s v="FRONT SIDE PANEL SV C+B L P6" u="1"/>
        <s v="PROFILO DESTRO CON FORI CVE05/08" u="1"/>
        <s v="PROFILO SINISTRO CON FORI CVE05/08" u="1"/>
        <s v="STAFFA SUPERIORE" u="1"/>
        <s v="STAFFA INFERIORE" u="1"/>
        <s v="STAFFA LATERALE" u="1"/>
        <s v="SUPPORTO INFERIORE BATTERIA ECO AIR SIZE" u="1"/>
        <s v="PANNELLO ANTERIORE CIECO ECOAIR Size 1" u="1"/>
        <s v="MONTANTE DX CIECO ECO AIR SIZE 1 UP LAM." u="1"/>
        <s v="MONTANTE DX GRIGLIATO ECO AIR SIZE 1 DOW" u="1"/>
        <s v="GRIGLIA PROTEZIONE VENTILATORE ECO AIR S" u="1"/>
        <s v="TELAIO ASSEMBLATO CVE05/08" u="1"/>
        <s v="MONTANTE SINISTRO" u="1"/>
        <s v="TETTO WXD-WND SIZE 1°" u="1"/>
        <s v="PANNELLO ANTERIORE SUPERIORE" u="1"/>
        <s v="PANNELLO ANTERIORE INTERMEDIO" u="1"/>
        <s v="Serbatoio" u="1"/>
        <s v="TelaioTwister" u="1"/>
        <s v="Telaio Carrello Vulcano" u="1"/>
        <s v="PANNELLO LAT. VANO COMPR.CA0621-1921   V" u="1"/>
        <s v="BASAMENTO SCA1311-3811     V" u="1"/>
        <s v="PIASTRA SOSTEGNO RACCORDI SCA1311-3811" u="1"/>
        <s v="PIASTRA DI FONDO Q. EL. SCA1311" u="1"/>
        <s v="PORTA FRONTALE SCA64-87-8521" u="1"/>
        <s v="PANNELLO TAMPONAMENTO SCA64-87-8521" u="1"/>
        <s v="MONTANTE POSTERIORE SX CW2442...3942   V" u="1"/>
        <s v="MONTANTE POSTERIORE DX CW0621_1921" u="1"/>
        <s v="MONTANTE ANTERIORE SCA/CA/CW   - FE V" u="1"/>
        <s v="COPERCHIO SCA1311" u="1"/>
        <s v="SUPPORTO PGD CA4122-7522" u="1"/>
        <s v="CASSETTA Q.E.. SCA" u="1"/>
        <s v="COPERCHIO CARENA TORNADO" u="1"/>
        <s v="FRONTALE CARENA TORNADO" u="1"/>
        <s v="CESTA PIEDI LOGIC DA 28 PZ" u="1"/>
        <s v="TRAVERSO FLANGIATO L=1222" u="1"/>
        <s v="NUOVO TRAVERSO L=1222" u="1"/>
        <s v="TEGOLO ANTI-AVVOLGIMENTO L1222" u="1"/>
        <s v="LAM COPERCHIO L=1222" u="1"/>
        <s v="RINFORZO TETTO" u="1"/>
        <s v="CARTER TRASMISSIONE SX" u="1"/>
        <s v="CARTER TRASMISSIONE DX" u="1"/>
        <s v="FIANCO SX 4P/530" u="1"/>
        <s v="FIANCO DX 4P/530" u="1"/>
        <s v="SPORTELLO SX 4P/530" u="1"/>
        <s v="SPORTELLO DX 4P/530" u="1"/>
        <s v="ZOCCOLINO FRONTALE L2128 DA VERN" u="1"/>
        <s v="ZOCCOLINO FRONTALE L2175 DA VERN" u="1"/>
        <s v="CHASSIS LH WITH BRACKET LH ASM" u="1"/>
        <s v="CHASSIS RH WITH HINGE ASM 01" u="1"/>
        <s v="BOTTOM BASE 5SPL ASM" u="1"/>
        <s v="CHASSIS BOTTOM 6SPL ASM" u="1"/>
        <s v="TALAIO SUPP. VENT. XCA EBM (no fan pan) P1" u="1"/>
        <s v="TALAIO SUPP. VENT. XCA EBM (no fan pan) P2" u="1"/>
        <s v="TALAIO SUPP. VENT. XCA EBM (no fan pan) P3" u="1"/>
        <s v="TALAIO SUPP. VENT. XCA EBM (no fan pan) P4" u="1"/>
        <s v="TALAIO SUPP. VENT. XCA EBM (no fan pan) P5" u="1"/>
        <s v="TALAIO SUPP. VENT. XCA EBM (no fan pan) P6" u="1"/>
        <s v="TALAIO SUPP. VENT. XCA ZIEHL (no fan pan) P1" u="1"/>
        <s v="TALAIO SUPP. VENT. XCA ZIEHL (no fan pan) P2" u="1"/>
        <s v="TALAIO SUPP. VENT. XCA ZIEHL (no fan pan) P3" u="1"/>
        <s v="TALAIO SUPP. VENT. XCA ZIEHL (no fan pan) P4" u="1"/>
        <s v="TALAIO SUPP. VENT. XCA ZIEHL (no fan pan) P5" u="1"/>
        <s v="TALAIO SUPP. VENT. XCA ZIEHL (no fan pan) P6" u="1"/>
        <s v="PANEL FRONTAL ATAG MINI" u="1"/>
        <s v="ASM PANEL LATERAL ATAG MINI" u="1"/>
        <s v="PANEL BACK ATAG MINI" u="1"/>
        <s v="PANEL TOP ATAG MINI" u="1"/>
        <s v="PANEL BOTTOM ATAG MINI" u="1"/>
        <s v="FIANCO" u="1"/>
        <s v="Frontale con foro Mod.400 vern 1 facc" u="1"/>
        <s v="Frontale con foro Mod.600 vern 1 facc" u="1"/>
        <s v="Frontale con foro Mod.800 vern 1 facc" u="1"/>
        <s v="Frontale con foro Mod.400 vern 2 facc" u="1"/>
        <s v="Frontale con foro Mod.600 vern 2 facc" u="1"/>
        <s v="Frontale con foro Mod.800 vern 2 facc" u="1"/>
        <s v="SD PORTA LIBRI 1490*120*60 VERN 1 FACC." u="1"/>
        <s v="COVER LEFT CAPOT GAUCHE" u="1"/>
        <s v="COVER RIGHT CAPOT DROITE" u="1"/>
        <s v="Wandhalterung VERN 1 FACC" u="1"/>
        <s v="DEICHSEL GS" u="1"/>
        <s v="HUBSTREBE GS" u="1"/>
        <s v="COPERCHIO BOX PLASTINO NERO" u="1"/>
        <s v="MODULAR U.P.M. HC LATERAL REINFORCEMENT" u="1"/>
        <s v="STRUCTURE SYSTEM MINIRACK" u="1"/>
        <s v="MPP 10-20 FIANCO UNICO VERSIONE B" u="1"/>
        <s v="MPP GP 60-80 KM WITH BATTERY SHELF" u="1"/>
        <s v="MASTERYS 60-80 INTERNAL BATTERY SHELF" u="1"/>
        <s v="MPP GP 60-80 KM WITH BATTERY UPS FRONTAL DOOR" u="1"/>
        <s v="COUPLING CABINET" u="1"/>
        <s v="TAPPO CIECO" u="1"/>
        <s v="STAFFA BLOCC." u="1"/>
        <s v="FIANCO UNICO" u="1"/>
        <s v="PORTA" u="1"/>
        <s v="BASE SUP SEISMIC" u="1"/>
        <s v="BASE INF SEISMIC" u="1"/>
        <s v="BASE LINEA MINI VERNICIATA" u="1"/>
        <s v="ANGOLARE ZOCCOLO H=200" u="1"/>
        <s v="PORTA CIECA SCS/EMP 800*1800 20/10 SALD" u="1"/>
        <s v="TELAIO SPEED 800x1800x400" u="1"/>
        <s v="PIASTRA PASSAGGIO CAVI 800x400" u="1"/>
        <s v="LATERALE ZOCCOLO L=400 H=200" u="1"/>
        <s v="FRONTALE ZOCCOLO L=800 H=200" u="1"/>
        <s v="FIANCO SPEED H=1800 P=400" u="1"/>
        <s v="Struttura in tubolare particolare C3 - pettine L=2658 " u="1"/>
        <s v="Struttura in tubolare particolare C4 - pettine L=2625" u="1"/>
        <s v="COVER PLATE TRACK MOTOR" u="1"/>
        <s v="TOP PLATE" u="1"/>
        <s v="Tubolare 80􀃮60 piede telescopico" u="1"/>
        <s v="Ecksteher hinten links/rechts" u="1"/>
        <s v="Ecksteher links vorne" u="1"/>
        <s v="Ecksteher rechts vorne" u="1"/>
        <s v="Steherblech" u="1"/>
        <s v="Luftstaublech" u="1"/>
        <s v="Ecksteher hinten links/rechts + rimozione pro" u="1"/>
        <s v="Ecksteher links vorne + rimozione pro" u="1"/>
        <s v="Ecksteher rechts vorne + rimozione pro" u="1"/>
        <s v="Steherblech + rimozione pro" u="1"/>
        <s v="Halteplatte Steherblech" u="1"/>
        <s v="Rückwand VERN 1 FACC" u="1"/>
        <s v="Verkleidung Seite links kurz VERN 1 FACC" u="1"/>
        <s v="Verkleidung Seite links VERN 1 FACC" u="1"/>
        <s v="Verkleidung Seite kurz rechts VERN 1 FACC" u="1"/>
        <s v="Verkleidung Seite rechts VERN 1 FACC" u="1"/>
        <s v="Front Verkleidung rechts VERN 1 FACC" u="1"/>
        <s v="Front Verkleidung links VERN 1 FACC" u="1"/>
        <s v="Front Verkleidung gelb VERN 2 FACC" u="1"/>
        <s v="Front Versteifung senkrecht VERN 2 FACC" u="1"/>
        <s v="Front Versteifung quer  VERN 2 FACC" u="1"/>
        <s v="Front Versteifung quer 2 VERN 2 FACC" u="1"/>
        <s v="Deckel VERN 2 FACC" u="1"/>
        <s v="Montageblech VERN 2 FACC" u="1"/>
        <s v="Blech Display VERN 2 FACC" u="1"/>
        <s v="Rückwand+Seiten VERN 1 FACC" u="1"/>
        <s v="Staffa fissaggio guida superiore" u="1"/>
        <s v="Staffa speciale di fissaggio guida" u="1"/>
        <s v="DrehgelenkskonsoleE13-01/51" u="1"/>
        <s v="Rahmen rechts E13-01Telefahrwerk (WN)" u="1"/>
        <s v="Rahmen links E13-01Telefahrwerk (WN)" u="1"/>
        <s v="PANNELLO POSTERIORE 2GR H" u="1"/>
        <s v="PANNELLO POSTERIORE 3GR H" u="1"/>
        <s v="(KIT BASE) Fianco frontale SX P=400" u="1"/>
        <s v="(KIT BASE) Fianco frontale DX P=400" u="1"/>
        <s v="(KIT BASE) Fianco post. aperto P=635" u="1"/>
        <s v="(KIT BASE) Ass. fianco post. chiuso P=635" u="1"/>
        <s v="STRUCTURE CORNER FRONT" u="1"/>
        <s v="STRUCTURE CORNER BACK" u="1"/>
        <s v="PILLAR SHEET METAL" u="1"/>
        <s v="INNER ROOF NEO 8 HOUSING" u="1"/>
        <s v="CENTRE SHEET NEO 8" u="1"/>
        <s v="RETAINING PLATE NEO 8" u="1"/>
        <s v="STAY PLATE NEO 12/18" u="1"/>
        <s v="INNER ROOF NEO 12" u="1"/>
        <s v="HOLDING PLATE UPRIGHT" u="1"/>
        <s v="CORNER POST REAR RIGHT/LEFT" u="1"/>
        <s v="CORNER POST LEFT FRONT " u="1"/>
        <s v="CORNER POST RIGHT FRONT" u="1"/>
        <s v="STRUCTURE CORNER RIGHT FRONT ASSY" u="1"/>
        <s v="STRUCTURE CORNER FRONT - Rimozione prot." u="1"/>
        <s v="STRUCTURE CORNER BACK - Rimozione prot." u="1"/>
        <s v="PILLAR SHEET METAL -Rimozione prot." u="1"/>
        <s v="RETAINING PLATE NEO 8 - rimozione prot." u="1"/>
        <s v="STAY PLATE NEO 12/18 - rimozione prot." u="1"/>
        <s v="HOLDING PLATE UPRIGHT - Rimozione prot." u="1"/>
        <s v="CORNER POST REAR RIGHT/LEFT - Rimozione prot." u="1"/>
        <s v="CORNER POST LEFT FRONT - Rimozione prot." u="1"/>
        <s v="CORNER POST RIGHT FRONT - Rimozione prot." u="1"/>
        <s v="STRUCTURE CORNER RIGHT FRONT ASSY - Rimozione prot." u="1"/>
        <s v="ECKSTEHER HINTEN LINKS/RECHTS - Rimozione prot." u="1"/>
        <s v="ECKSTEHER LINKS VORNE - Rimozione prot." u="1"/>
        <s v="ECKSTEHER RECHTS VORNE - Rimozione prot." u="1"/>
        <s v="STRUCTURE CORNER FRONT - vern 1 facc" u="1"/>
        <s v="STRUCTURE CORNER BACK - vern 1 facc" u="1"/>
        <s v="PILLAR SHEET METAL - vern 1 facc" u="1"/>
        <s v="INNER ROOF NEO 8 HOUSING - vern 1 facc" u="1"/>
        <s v="CENTRE SHEET NEO 8 - vern 1 facc" u="1"/>
        <s v="RETAINING PLATE NEO 8 - vern 1 facc" u="1"/>
        <s v="INNER ROOF NEO 12 - vern 1 facc" u="1"/>
        <s v="HOLDING PLATE UPRIGHT - vern 1 facc" u="1"/>
        <s v="CORNER POST REAR RIGHT/LEFT - vern 1 facc" u="1"/>
        <s v="CORNER POST LEFT FRONT - vern 1 facc" u="1"/>
        <s v="CORNER POST RIGHT FRONT - vern 1 facc" u="1"/>
        <s v="STRUCTURE CORNER RIGHT FRONT ASSY - vern 1 facc" u="1"/>
        <s v="HALTEPLATTE STEHERBLECH - vern 1 facc" u="1"/>
        <s v="ECKSTEHER HINTEN LINKS/RECHTS - vern 1 facc" u="1"/>
        <s v="ECKSTEHER LINKS VORNE - vern 1 facc" u="1"/>
        <s v="ECKSTEHER RECHTS VORNE - vern 1 facc" u="1"/>
        <s v="Luftstaublech - vern 1 facc" u="1"/>
        <s v="PROTEZIONE  PIEDE DX" u="1"/>
        <s v="PROTEZIONE PIEDE SX" u="1"/>
        <s v="CARTER FRONTALE COLONNA" u="1"/>
        <s v="STAFFA SUPPORTO FRP" u="1"/>
        <s v="STAFFA DI SUPPORTO" u="1"/>
        <s v="PROTEZIONE PEDALI" u="1"/>
        <s v="INS. PROTEZIONE PEDALI" u="1"/>
        <s v="INS. SUPPORTO DISP. DI BLOCCAGGIO" u="1"/>
        <s v="netzkabelbox ruckwand 76x" u="1"/>
        <s v="slotblech NK-Box RE 860 ohne ausschnitte" u="1"/>
        <s v="Gehouse" u="1"/>
        <s v="Querstrebe Tur UN 831 V22" u="1"/>
        <s v="Schanier l340mm" u="1"/>
        <s v="LKKlein 831" u="1"/>
        <s v="Boden Pult 831" u="1"/>
        <s v="Rahmen tur" u="1"/>
        <s v="Manipulationsblech" u="1"/>
        <s v="ADB Munzeinwurf 831" u="1"/>
        <s v="831 Griff schraubbar" u="1"/>
        <s v="Base for Toplight GAME LIGHT" u="1"/>
        <s v="Geh. Titelblende 831" u="1"/>
        <s v="Tur UN 831" u="1"/>
        <s v="Tur BNP 831" u="1"/>
        <s v="Tur li 831" u="1"/>
        <s v="Beleuchtung Ture unten" u="1"/>
        <s v="Beleuchtung Ture RE" u="1"/>
        <s v="Beleuchtung Ture LI" u="1"/>
        <s v="Beleuchtung Seitlich RE" u="1"/>
        <s v="Beleuchtung Seitlich LI" u="1"/>
        <s v="Unterbau 831 H120" u="1"/>
        <s v="Abd. Cut Munzschale 831 v22 Tur LI" u="1"/>
        <s v="Aufn. LS-Gitter Pult LI/RE 831 V22" u="1"/>
        <s v="TRAVERSA POSTERIORE VERNICIATA W400" u="1"/>
        <s v="TRAVERSA POSTERIORE VERNICIATA W200" u="1"/>
        <s v="KONSOLE GS" u="1"/>
        <s v="S/E PORTE GAUCHE AC // PORTA GREZZA S/ACC." u="1"/>
        <s v="FIXATION VERROU AC 7033 TDS1" u="1"/>
        <s v="FIXATION VERROU INF AC 7033 TDS1" u="1"/>
        <s v="SUPPORT CELLULE AVANT AC 7033 TDS1" u="1"/>
        <s v="SUPPORT CELLULE ARRIE AC 7033 TDS1" u="1"/>
        <s v="GOUTTIERE FRONTALE AC 7033 TDS1" u="1"/>
        <s v="EQUERRE SUPPORT HTA AC 7033 TDS1" u="1"/>
        <s v="PIED CENTRAL TAB HTA AC 7033 TDS1" u="1"/>
        <s v="MONTANT VERTICAL AC 7033 TDS1" u="1"/>
        <s v="VENTILATION PEINTE AC" u="1"/>
        <s v="RENFORT HORIZONTAL AC 7033 TDS1" u="1"/>
        <s v="SUPPORT ITI AC 7033 TDS1" u="1"/>
        <s v="SUPPORT MODEM AC 7033 TDS1" u="1"/>
        <s v="RENFORT TROTTOIR AC 7033 TDS1" u="1"/>
        <s v="CALE BRIDE CELLULE AC 7033 TDS1" u="1"/>
        <s v="BLOCAGE GAUCHE TOIT AC 7033 TDS1" u="1"/>
        <s v="BLOCAGE DROIT TOIT AC 7033 TDS1" u="1"/>
        <s v="BLOCAGE MILIEU TOIT AC 7033 TDS1" u="1"/>
        <s v="FIXATION G GOUTTIERE AC 7033 TDS1" u="1"/>
        <s v="FIXATION D GOUTTIERE AC 7033 TDS1" u="1"/>
        <s v="BRIDE CELLULE AC 7033 TDS1" u="1"/>
        <s v="PLATINE POSIT. COMPAS AC 7033 TDS1" u="1"/>
        <s v="BRAS COMPAS AC 7033 TDS1" u="1"/>
        <s v="EQUERRE SUP. COMPAS AC 7033 TDS1" u="1"/>
        <s v="PIED DROIT TAB HTA ARTSA 7033 TDS1" u="1"/>
        <s v="SUPPORT ITI ARTSA 7033 TDS1" u="1"/>
        <s v="CORNIERE 125x 125x 40x 3 7033 TDS1" u="1"/>
        <s v="RFQRRW085-12A" u="1"/>
        <s v="RRW 822x1092x200/-/5/S1/-/SP/085-12" u="1"/>
        <s v="RFQRRW085-12A - 3772353" u="1"/>
        <s v="STAFFA SUPP.FILTRO GASOLIO BV R9005" u="1"/>
        <s v="STAFFA AVVOLGICAVO VERN. R9005 BV" u="1"/>
        <s v="FRONTALINO COMANDI R9005 BV110/170/290" u="1"/>
        <s v="STAFFA SUPP.MOTORE VERNIC.110/230/170" u="1"/>
        <s v="PANNELLO LATERALE B110/170 COMANDI R9005" u="1"/>
        <s v="PANNELLO LATERALE B110/170 VERN. R9005" u="1"/>
        <s v="CULLA VERN.MANTELLO 110/170 R9005" u="1"/>
        <s v="CULLA VERN.MANTELLO 110/170 R9005 + FORO" u="1"/>
        <s v="COVER POSTERIORE" u="1"/>
        <s v="MASCHERINA LATO POSTERIORE" u="1"/>
        <s v="Gruppo saldato idraulico" u="1"/>
        <s v="Sportello H2O" u="1"/>
        <s v="MENSOLA STONE VERT. FRAME M - vern 2 facce" u="1"/>
        <s v="TRAVERSA CHIUSURA SUPERIORE BATTERIA STONE FRAME M - vern 2 facce" u="1"/>
        <s v="STAFFA ANCORAGGIO PAVIMENTO STONE FRAME M - vern 2 facce" u="1"/>
        <s v="TRAVERSA CHIUSURA SUPERIORE BATTERIA STONE FRAME S - vern 2 facce" u="1"/>
        <s v="MENSOLA STONE VERT. FRAME S - vern 2 facce" u="1"/>
        <s v="MENSOLA STONE VERT. FRAME L - vern 2 facce" u="1"/>
        <s v="STAFFA ANCORAGGIO PAVIMENTO STONE FRAME L - vern 2 facce" u="1"/>
        <s v="TRAVERSA CHIUSURA SUP BATTERIA STONE FRAME L - vern 2 facce" u="1"/>
        <s v="STAFFA ANCORAGGIO A PAVIMENTO STONE FRAME S - vern 2 facce" u="1"/>
        <s v="Riparto frontale tart con lamierino aggiunto" u="1"/>
        <s v="Riparto frontale allungato" u="1"/>
        <s v="MIMIC DIAGRAMM PAINTED GX1-3 SBB RED ES - mm.532x575x6h" u="1"/>
        <s v="MIMIC PAINTED SBB BS TOP RED ES GX3 mm.832x575x6h" u="1"/>
        <s v="MIMIC DIAGRAM PAINTED DBB BUS SECTIONALI mm.832x575x6h" u="1"/>
        <s v="MIMIC DIAGRAM PAINTED DBB CROSS COUPLER mm.832x575x6h" u="1"/>
        <s v="MIMIC PAINTED SBB BUS SECTIONALIZER TOP mm.832x575x6h" u="1"/>
        <s v="MIMIC DIAGRAM PAINTED CB WITH BB VT GX3 - mm.532x575x6h" u="1"/>
        <s v="MIMIC DIAGRAMM PAINTED  DBB - mm.532x575x6h" u="1"/>
        <s v="MIMIC DIAGRAMM PAINTED GX1-3 SBB - mm.532x575x6h" u="1"/>
        <s v="MIMIC DIAGRAM PAINTED CB WITH BB VT R ES - mm.532x575x6h" u="1"/>
        <s v="SD PANNELLO Vern. 2 facce" u="1"/>
        <s v="SD FIANCO Vern. 2 facce" u="1"/>
        <s v="PCA bracket Elektrokasten FCS4043" u="1"/>
        <s v="Steam wand mounting bracket long welded" u="1"/>
        <s v="Steam wand mounting bracket short welded" u="1"/>
        <s v="SD 800x100x6/10  mm VERN 1 FACC" u="1"/>
        <s v="SD LAMIERA A U Vern 2 FACC" u="1"/>
        <s v="SD LAMIERA PIEGATA 433*132 Vern 2 FACC" u="1"/>
        <s v="SD LAMIERA PIEGATA 576*132 Vern 2 FACC" u="1"/>
        <s v="SD LAMIERA PIEGATA 438*23 Vern 2 FACC" u="1"/>
        <s v="SD LAMIERA PIEGATA 433*70 Vern 2 FACC" u="1"/>
        <s v="SD FIANCO 440*132 Vern 2 FACC" u="1"/>
        <s v="SD FIANCO 540*132 Vern 2 FACC" u="1"/>
        <s v="SD LAMIERA PIEGATA 577*23 Vern 2 FACC" u="1"/>
        <s v="SD LAMIERA PIEGATA 576*70 Vern 2 FACC" u="1"/>
        <s v="RECINZIONE LONGLIFR H1030" u="1"/>
        <s v="RECINZIONE LONGLIFE H1530" u="1"/>
        <s v="RECINZIONE LONGLIFE H 1730" u="1"/>
        <s v="RECINZIONE LONGLIFE H2030" u="1"/>
        <s v="TUBO 50X50 SP.1.5 ZINCATO" u="1"/>
        <s v="machine frame" u="1"/>
        <s v="Machine frame FCS4083" u="1"/>
        <s v="Rahmen links geschweißt Schwenkhaube 600(matt An-" u="1"/>
        <s v="Rahmen rechts geschw. Schwenkhaube 600 (matt An-" u="1"/>
        <s v="Verkleidung KF 3250 rechte Seite (matt An-Grau)" u="1"/>
        <s v="Verkleidung KF 3250 linke Seite (matt An-Grau)" u="1"/>
        <s v="Verkleidung KF 2500 rechte Seite (matt An-Grau)" u="1"/>
        <s v="Verkleidung KF 2500 linke Seite (matt An-Grau)" u="1"/>
        <s v="Verkleidung KF 3680 rechte Seite (matt An-Grau)" u="1"/>
        <s v="Verkleidung KF 3680 linke Seite (matt An-Grau)" u="1"/>
        <s v="Rahmen links geschweißt Schwenkhaube 400 (matt" u="1"/>
        <s v="Rahmen mitte geschw. Schwenkhaube 400 (matt An-" u="1"/>
        <s v="Rahmen rechts geschweißt Schwenkhaube 400 (matt" u="1"/>
        <s v="Verkleidung KF 2360 rechte Seite (matt An-Grau)" u="1"/>
        <s v="Verkleidung KF 2360 linke Seite (matt An-Grau)" u="1"/>
        <s v="Verkleidung KF 2990 rechte Seite (matt An-Grau)" u="1"/>
        <s v="Verkleidung KF 2990 linke Seite (matt An-Grau)" u="1"/>
        <s v="Abdeckblech 1_EPP-Haube VERN 1 FACC" u="1"/>
        <s v="Abdeckblech 2_EPP Haube VERN 1 FACC" u="1"/>
        <s v="ARC WELD QUALITY HC-704" u="1"/>
        <s v="ARC WELD QUALITY HC-705" u="1"/>
        <s v="ARC WELD QUALITY HC-706" u="1"/>
        <s v="FIANCHETTO SX" u="1"/>
        <s v="TELAIO" u="1"/>
        <s v="TAPPO BOCCOLA" u="1"/>
        <s v="BASE COMPLETA 100L B.TK" u="1"/>
        <s v="SERBATOIO 100 L" u="1"/>
        <s v="MITTELRAHMEN GS" u="1"/>
        <s v="lamiera sp.6mm" u="1"/>
        <s v="tubo quadro 50x50x2   L=130mm" u="1"/>
        <s v="tubo quadro 40x40x2   L=3344mm" u="1"/>
        <s v="tubo quadro 30x30x2   L=400mm" u="1"/>
        <s v="ND PIEDE 3778" u="1"/>
        <s v="LOAD BACKREST - 1219MM (PTD) 9,8KG (386*682)" u="1"/>
        <s v="LOAD BACKREST - 1524MM (PTD) 15KG (691*682)" u="1"/>
        <s v="MOUNTING WELDMENT - LOAD BACKREST (PTD) 22KG (1090*686)" u="1"/>
        <s v="LOAD BACKREST - PAINTED 1219 12KG (558*688)" u="1"/>
        <s v="LOAD BACKREST - PAINTED 1524 18KG (863*688)" u="1"/>
        <s v="LOAD BACKREST - PAINTED 1829 24KG (1168*688)" u="1"/>
        <s v="LOAD BACKREST - PAINTED 1219 12KG  (559*688)" u="1"/>
        <s v="LOAD BACKREST - PAINTED 1524 17KG (864*688)" u="1"/>
        <s v="LOAD BACKREST - PAINTED 1829 23KG (1169*688)" u="1"/>
        <s v=".PANNELLO LATERALE SX DARK" u="1"/>
        <s v=".PANNELLO LATERALE DX DARK" u="1"/>
        <s v="PANNELLO POST. SUP. 2GR DARK" u="1"/>
        <s v="COPRISCARICO 2GR DARK" u="1"/>
        <s v="FINIZIONE TRAVERSA 2GR DARK" u="1"/>
        <s v="PANNELLO POST. SUP. 3GR DARK" u="1"/>
        <s v="COPRISCARICO 3GR DARK" u="1"/>
        <s v="FINIZIONE TRAVERSA 3GR DARK" u="1"/>
        <s v="PARAPETTO DI PROTEZIONE 650*600" u="1"/>
        <s v="PALINA SUPPORTO PCE 1700*1300" u="1"/>
        <s v="SD 1355*1452*356 100 KG CC" u="1"/>
        <s v="SD 2400*1505*352 *110 KG CC" u="1"/>
        <s v="SD TRINAGOLARE 2815*1502*356 100 KG CC" u="1"/>
        <s v="SD 1631*1185*354 90 KG CC" u="1"/>
        <s v="PALETTE GS" u="1"/>
        <s v="PALETTE MO" u="1"/>
        <s v="PORTA LATERALE CON FINESTRA STRONG 2015 2,3KG" u="1"/>
        <s v="PORTA LATERALE CHIUSA STRONG 2015 9,8KG" u="1"/>
        <s v="FIANCATA SX COMPLETA STRONG 2015 20KG" u="1"/>
        <s v="PANNELLO FRONTALE LATO MOTORE 15,5KG" u="1"/>
        <s v="FINCATA DX COMPLETA 20KG" u="1"/>
        <s v="PORTA LATERALE CON FINESTRA STRONG 2015 7,3KG" u="1"/>
        <s v="PIASTRA TETTO CON PORTELLO TONDO 1,1 KG" u="1"/>
        <s v="GRIGLIA PORTA QUADRO 1,5 KG" u="1"/>
        <s v="PANNELLO FRONTALE LATO ALTERNATORE 15,1 KG" u="1"/>
        <s v="GRIGLIA PORTA CIECA 1,4 KG" u="1"/>
        <s v="PANNELLO TETTO 30 KG" u="1"/>
        <s v="PORTELLO PREDISPOSIZIONE TASCHE ARIA 21 KG" u="1"/>
        <s v="SCATOLA SCARICO ARIA CON GRIGLIA 16,5 KG" u="1"/>
        <s v="GRIGLIA PER PORTELLO Q.E. 1,8KG" u="1"/>
        <s v="SD DISCO CIRC. 156 KG0,62" u="1"/>
        <s v="SD DISCO CIRC. 156 KG 0,59" u="1"/>
        <s v="SD MONTANTE CENTRALE" u="1"/>
        <s v="SD RIPIANO L94" u="1"/>
        <s v="SD ZOCCOLO L94" u="1"/>
        <s v="SD SCHIENALE ASOLATO" u="1"/>
        <s v="SD RIPIANO L47" u="1"/>
        <s v="SD SCHIENALE" u="1"/>
        <s v="ARM LEVEL" u="1"/>
        <s v="RIPIANO LAMIERA CON FORI 1330X500" u="1"/>
        <s v="RIPIANO LAMIERA LISCIO 1330X500" u="1"/>
        <s v="RETAINER WD" u="1"/>
        <s v="PALLET WD" u="1"/>
        <s v="PEDAL COVER ASM" u="1"/>
        <s v="FIXING BRACKET BACK LH" u="1"/>
        <s v="FIXING BRACKET BACK RH" u="1"/>
        <s v="FIXING BRACKET FRONT LH" u="1"/>
        <s v="FIXING BRACKET FRONT RH" u="1"/>
        <s v="SUPPORTO POMPA" u="1"/>
        <s v="CABLE WINDER" u="1"/>
        <s v="HANDLE BACK" u="1"/>
        <s v="FIBER CONNECTOR BRACKET" u="1"/>
        <s v="FIANCHETTO DX VERN 1 FACC" u="1"/>
        <s v="FIANCHETTO SX VERN 1 FACC" u="1"/>
        <s v="COPERCHIO VERN 1 FACC" u="1"/>
        <s v="TELAIO VERN 1 FACC" u="1"/>
        <s v="FIANCHETTO LARGO VERN 1 FACC" u="1"/>
        <s v="FIANCHETTO STRETTO VERN 1 FACC" u="1"/>
        <s v="REGGIBATTERIA VERN 1 FACC" u="1"/>
        <s v="TAPPO BOCCOLA VERN 1 FACC" u="1"/>
        <s v="Traversa posteriore verniciata w600" u="1"/>
        <s v="COVER DISPLAY VERNICIATA RAL 9003 VERN 1 FACC" u="1"/>
        <s v="COVER CIECA VERNICIATA RAL 9003 VERN 1 FACC" u="1"/>
        <s v="FIANCO DX WLH VERNICIATO RAL 9003 VERN 1 FACC" u="1"/>
        <s v="FIANCO SX WLH VERNICIATO RAL 9003 VERN 1 FACC" u="1"/>
        <s v="FRONTALE WLH 200 VERNICIATO RAL 9003 VERN 1 FACC" u="1"/>
        <s v="Griglia superiore Waterloop Mod. 200" u="1"/>
        <s v="Griglia superiore Waterloop Mod. 400" u="1"/>
        <s v="Griglia superiore Waterloop Mod. 600" u="1"/>
        <s v="Winkel Brackel" u="1"/>
        <s v="base telaio 2gr" u="1"/>
        <s v="base telaio 3gr" u="1"/>
        <s v="base intermedia telaio 2gr" u="1"/>
        <s v="traversa anteriore telaio 2gr" u="1"/>
        <s v="traversa anteriore telaio 3gr" u="1"/>
        <s v="traversa posteriore telaio 2gr" u="1"/>
        <s v="traversa posteriore telaio 3gr" u="1"/>
        <s v="guida scatola elettrica" u="1"/>
        <s v="fianco dx telaio" u="1"/>
        <s v="fianco sx telaio" u="1"/>
        <s v="staffa dx collettore" u="1"/>
        <s v="staffa sx collettore" u="1"/>
        <s v="SUPPORTO COPRIGRUPPO DX" u="1"/>
        <s v="SUPPORTO COPRIGRUPPO SX" u="1"/>
        <s v="supporto coprigruppo centrale" u="1"/>
        <s v="Cup tray 290 black" u="1"/>
        <s v="Cup tray 170 short black" u="1"/>
        <s v="mounting bracket front FM 2M" u="1"/>
        <s v="SD lamierato piegato VERN 1 FACC" u="1"/>
        <s v="BASE CON INSERTI ORIGINALE VERN 1 FACC" u="1"/>
        <s v="SD lamierato piegato VERN 2 FACC" u="1"/>
        <s v="BASE CON INSERTI ORIGINALE VERN 2 FACC" u="1"/>
        <s v="RAIL SOUND SHIELD (874 mm )" u="1"/>
        <s v="RAIL SOUND SHIELD (779 mm)" u="1"/>
        <s v="RAIL SOUND SHIELD (457 mm)" u="1"/>
        <s v="RAIL SOUND SHIELD (442 mm)" u="1"/>
        <s v="GUARD BELT rev.B" u="1"/>
        <s v="BRACKET FUEL FILTER MOUNTING rev.D" u="1"/>
        <s v="BRACKET SOUND SHIELD RH DOOR MOUNTING rev.A" u="1"/>
        <s v="BRACKET ASSY SOUND SHIELD PANEL MTG rev. A" u="1"/>
        <s v="BRACKET SOUND SHIELD PANEL MTG" u="1"/>
        <s v="BRACKET SOUND SHIELD MOUNTING (SIDE) rev. A" u="1"/>
        <s v="BRACKET SOUND SHIELD MOUNTING (REAR) rev. A" u="1"/>
        <s v="BRACKET SOUND SHIELD MOUNTING (FRONT) rev. C" u="1"/>
        <s v="PANEL JUNCTION BOX CONTROLLER" u="1"/>
        <s v="PLATE END BRACKET" u="1"/>
        <s v="BRACKET SOUND SHIELD CORNER" u="1"/>
        <s v="BRACKET SEAWATER PUMP rev. C" u="1"/>
        <s v="SUPPORT ENGINE rev. B" u="1"/>
        <s v="PANEL SUBASSY SOUND SHIELD (RH) rev. C" u="1"/>
        <s v="DUCT. AIR INTAKE" u="1"/>
        <s v="DUCT GENERATOR AIR INLET" u="1"/>
        <s v="COVER AIR INLET DUCT" u="1"/>
        <s v="DOOR SUBASSY SOUND SHIELD (RH) rev. F" u="1"/>
        <s v="PANEL SUBASSY SOUND SHIELD (RH) rev. A" u="1"/>
        <s v="PANEL INTAKE DUCT FRONT" u="1"/>
        <s v="BAFFLE AIR INTAKE" u="1"/>
        <s v="CORNER SOUND SHIELD rev. A" u="1"/>
        <s v="PANEL END BRACKET rev. A" u="1"/>
        <s v="BRACKET WATER BOTTLE rev. B" u="1"/>
        <s v="BAFFLE JBOX AIR INTAKE (REAR)" u="1"/>
        <s v="DOOR SUBASSY SOUND SHIELD (FRONT)" u="1"/>
        <s v="PANEL SUBASSY TERMINAL BLOCK" u="1"/>
        <s v="DOOR SUBASSY SOUND SHIELD (REAR)" u="1"/>
        <s v="DOOR SUBASSY SOUND SHIELD (LH)" u="1"/>
        <s v="ROOF SUBASSY SOUND SHIELD" u="1"/>
        <s v="BRACKET OIL FILTER rev. A" u="1"/>
        <s v="TRAY DRIP rev. C" u="1"/>
        <s v="TRAY DRIP rev. B" u="1"/>
        <s v="BRACKET BRUSH HOLDER rev. C" u="1"/>
        <s v="DUCT. AIR OUTLET" u="1"/>
        <s v="DUCT. AIR INTAKE (REAR)" u="1"/>
        <s v="DOOR. SOUND SHIELD (RH)" u="1"/>
        <s v="ROOF. SOUND SHIELD" u="1"/>
        <s v="mounting brackt steam asmixture" u="1"/>
        <s v="coffee boiler mounting bracket" u="1"/>
        <s v="LAM FISSAG AGGANCIO CONTEN PANN ROTOR COMPACT" u="1"/>
        <s v="LAM SOLLEVAMENTO ROTOR COMPACT" u="1"/>
        <s v="SUPPORTO MOTORE CARRELLO ROTOR 60-80CPT" u="1"/>
        <s v="Protection cylindre tilt" u="1"/>
        <s v="PCA bracket welded Elektrokasten FCS4050" u="1"/>
        <s v="Lamiera sedile 11,8KG" u="1"/>
        <s v="Spessore per langia freno posteriore0,11KG" u="1"/>
        <s v="Tunnel motoruota 1,82KG" u="1"/>
        <s v="Piastra fiss. Esterna per sollevamento 1,34KG" u="1"/>
        <s v="Traverso piantoni sollevamento 3,2KG" u="1"/>
        <s v="Portaflash 0,55KG" u="1"/>
        <s v="Flangia passaggio pomello aspirazione 0,33KG" u="1"/>
        <s v="Fianchetto destro 2,06KG" u="1"/>
        <s v="Fianchetto sinistro 2,06 KG" u="1"/>
        <s v="Piede antiribaltamento sx 1,48KG" u="1"/>
        <s v="CONVOGLIATORE ARIA 1,08 KG" u="1"/>
        <s v="Lamiera braccio principale sollevamento 6,38 KG" u="1"/>
        <s v="PIATTO SINISTRO DI FISSAGGIO LATERALE  0,35KG" u="1"/>
        <s v="SUPPORTO TUBO ASPIRAZIONE 0,47 KG" u="1"/>
        <s v="PIEDE ANTIRIBALTAMENTO DX 1,48KG" u="1"/>
        <s v="PIATTO DESTRO FI FISSAGGIO LATERALE 0,35 KG" u="1"/>
        <s v="Supporto spinotto batterie 0,23 KG" u="1"/>
        <s v="SPESSORE PER FISSAGGIO VENTOLA SUPPLEMENTARE 0,44 KG" u="1"/>
        <s v="LAMIERA QUADRO COMANDI S-D78L 0,77 KG" u="1"/>
        <s v="Supporto motore elettrico 2,5 KG" u="1"/>
        <s v="Supporto inverter e fusibile DSA 1,17 KG" u="1"/>
        <s v="SPORTELLO MICRO PEDANA DX 0,1 KG" u="1"/>
        <s v="LAMIERA QUADRO COMANDI E78-L 0,77 KG" u="1"/>
        <s v="LAMIERA CENTRALE PEDANA 0,52 KG" u="1"/>
        <s v="LAMIERA SUPPORTO SECONDA ASPIRAZIONE 0,4 KG" u="1"/>
        <s v="SUPPORTO DOPPIA ELETTROVALVOLA 0,19 KG" u="1"/>
        <s v="SUPPORTO FILTRO OLIO 0,23 KG" u="1"/>
        <s v="PIATTO FISSAGGIO GUARNIZIONE FRONTALE 0,55KG" u="1"/>
        <s v="Lamiera sicurezza cilindri 0,80 KG" u="1"/>
        <s v="OCCHIALI PORTAFANALI 0,32 KG" u="1"/>
        <s v="SUPPORTO SEDILE 7,8 KG" u="1"/>
        <s v="Paletta cassetto DSA 8,6 KG" u="1"/>
        <s v="Cassetto manuale 18,56 KG" u="1"/>
        <s v="Manico cassetto manuale 3,27 KG" u="1"/>
        <s v="Testata anteriore 9,2 KG" u="1"/>
        <s v="Staffa per aggancio cassetto manuale 1,35 KG" u="1"/>
        <s v="Sportello spazzola centrale 1,43 KG" u="1"/>
        <s v="Cassetto DSA 15,5 KG" u="1"/>
        <s v="Piantone DX DSA 5,81 KG" u="1"/>
        <s v="Piantone SX DSA 5,82 KG" u="1"/>
        <s v="Braccio DX saldato 6,44 KG" u="1"/>
        <s v="SCATOLA ASPIRAZIONE S78 2,74 KG" u="1"/>
        <s v="MARMITTA SCARICO FUMI D78 0,97 KG" u="1"/>
        <s v="SUPPORTO ANTERIORE SECONDA VENTOLA 0,49 KG" u="1"/>
        <s v="Supporto vibro filtri a cilindro 6,20 KG" u="1"/>
        <s v="Cassone filtri a cilindro 24,2 KG" u="1"/>
        <s v="SERBATOIO OLIO IDRAULICO S78 10,6 KG" u="1"/>
        <s v="SUPPORTO SECONDA VENTOLA S78 2,12 KG" u="1"/>
        <s v="SUPPORTO MOTORE DIESEL12,03 KG" u="1"/>
        <s v="SUPPORTO MOTRE S78 12,53 KG" u="1"/>
        <s v="Cassa batterie 5,7 KG" u="1"/>
        <s v="Supporto ventola filtri 1,5 KG" u="1"/>
        <s v="BOCCHETTONE SECONA ASPIRAZIONE D78 3,12 KG" u="1"/>
        <s v="Piantone SX tettuccio 9,02 KG" u="1"/>
        <s v="Piantone DX tettuccio 9,02 KG" u="1"/>
        <s v="Tettoia saldata 10,63 KG" u="1"/>
        <s v="PEDANA DX D78 4,00 KG" u="1"/>
        <s v="PEDANA SX STD 4,1 KG" u="1"/>
        <s v="COLONNETTA E78L 9 KG" u="1"/>
        <s v="Traverso bracci di sollevamento 3,74 KG" u="1"/>
        <s v="Fissaggio central spazzole laterali 2,55 KG" u="1"/>
        <s v="PEDANA DX E78L 4.00 KG" u="1"/>
        <s v="Supporto sedile 6,86 KG" u="1"/>
        <s v="GRUPPO LAMIERA SEDUTA E78L 8,9 KG" u="1"/>
        <s v="Cassetta aspirazione 2,3 KG" u="1"/>
        <s v="COVER FRONTALE vern 1 facc" u="1"/>
        <s v="COVER LATERALE SX vern 1 facc" u="1"/>
        <s v="COVER LATERALE DX vern 1 facc" u="1"/>
        <s v="FIANCO DX SENZA FORO FANCOIL OSMO 2T RAL9003 vern 1 facc." u="1"/>
        <s v="FIANCO SX SENZA FORO FANCOIL OSMO 2T RAL9003 vern 1 facc." u="1"/>
        <s v="TRAVERSA POSTERIORE OSMO MOD.200 RAL9003" u="1"/>
        <s v="TRAVERSA POSTERIORE OSMO MOD.400 RAL9003" u="1"/>
        <s v="TRAVERSA POSTERIORE OSMO MOD.600 RAL9003" u="1"/>
        <s v="TRAVERSA POSTERIORE OSMO MOD.800 RAL9003" u="1"/>
        <s v="TRAVERSA POSTERIORE OSMO MOD.1000 RAL9003" u="1"/>
        <s v="FIANCO SX CON FORO FANCOIL OSMO 2T RAL9003 vern 1 facc." u="1"/>
        <s v="FIANCO DX CON FORO FANCOIL OSMO 2T RAL9003 vern 1 facc." u="1"/>
        <s v="PANNELLO FRONTALE 20mm VERN 2 FACC" u="1"/>
        <s v="PANNELLO FRONTALE 11mm VERN 2 FACC" u="1"/>
        <s v="Lid 340 black rear panel" u="1"/>
        <s v="Lid 290 black rear panel" u="1"/>
        <s v="Lid 200 black rear panel" u="1"/>
        <s v="PLATE - CONDENSER MIDDLE" u="1"/>
        <s v="PLATE - AC HOSES" u="1"/>
        <s v="BRACKET - SPINE SUPPORT,KUBOTA,P89" u="1"/>
        <s v="COVER WLDMT RH" u="1"/>
        <s v="COVER WLDMT LH" u="1"/>
        <s v="BRACKET - CABLE GUIDE" u="1"/>
        <s v="COVER - LIFT POINT" u="1"/>
        <s v="ANGLE - SUPPORT RH" u="1"/>
        <s v="BRACKET - TT SWB INTERFACE RH" u="1"/>
        <s v="MOUNTING PLATE" u="1"/>
        <s v="BRACKET - MOUNTING - RH" u="1"/>
        <s v="BRACKET - MOUNTING, LH" u="1"/>
        <s v="ANGLE - SUPPORT LH" u="1"/>
        <s v="BRACKET - TT SWB INTERFACE LH" u="1"/>
        <s v="PLATE - TT SWB" u="1"/>
        <s v="PLATE - SPACING" u="1"/>
        <s v="BRACKET WLDMT - BLANKING, PAINTED" u="1"/>
        <s v="Supporto rotelle carrello superiore" u="1"/>
        <s v="BASE EMMETTI VERN 1 FACC" u="1"/>
        <s v="MODULAR UPM FRONT FOR MOD." u="1"/>
        <s v="MODULAR UPM BATT BOX" u="1"/>
        <s v="MODULAR UPM BASE" u="1"/>
        <s v="MODULAR UPM PAN LAT" u="1"/>
        <s v="PAN LAT MPP" u="1"/>
        <s v="UP FRONTAL DOOR" u="1"/>
        <s v="LAT PAN" u="1"/>
        <s v="Rückteil - iPump IG - ID2-2242 PRS-B-01 VERN 1 FACC" u="1"/>
        <s v="Deckel - iPump IG  - ID2-2241 PRS-B-01 VERN 1 FACC" u="1"/>
        <s v="Seitenteil rechts - iPump IG - ID2-2244 PRS-B-02 VERN 1 FACC" u="1"/>
        <s v="Seitenteil links - iPump IG - ID2-2245 PRS-A-02 VERN 1 FACC" u="1"/>
        <s v="Frontteil - iPump IG  - 1925*308 VERN 2 FACC" u="1"/>
        <s v="STAFFA DI FISSAGGIO" u="1"/>
        <s v="STAFFA DI FISSAGGIO RACK" u="1"/>
        <s v="COPERCHIO CHIUSO" u="1"/>
        <s v="COVER COPERCHIO" u="1"/>
        <s v="TELAIO - 18,6 kg" u="1"/>
        <s v="CASSONE FILTRO GIOIA 50 - 10,3 kg" u="1"/>
        <s v="Bilancere spazz. Centrale - 2,95 kg" u="1"/>
        <s v="BASAMENTO GIOIA 70 - 21,8 kg" u="1"/>
        <s v="CASSONE FILTRO GIOIA 70 - 13,5 kg" u="1"/>
        <s v="Bilanciere spazz. Centrale - 3,55 kg" u="1"/>
        <s v="Vela manubrio DX " u="1"/>
        <s v="VELA MANUBRIO SINISTRA" u="1"/>
        <s v="Braccio spazzola laterale - 0,9 kg" u="1"/>
        <s v="PIASTRA PREMIFILTRO" u="1"/>
        <s v="SPORTELLO ASPIRAZIONE" u="1"/>
        <s v="mounting bracket fan" u="1"/>
        <s v="HOUSING, AUTOCHARGE, MOBILE" u="1"/>
        <s v="BRACKET WLDMT - CLOSING" u="1"/>
        <s v="BRACKET - TOP COVER" u="1"/>
        <s v="BRACKET WLDMT - CONNECTIING" u="1"/>
        <s v="FRAME - CHARGE STAND, PAINTED" u="1"/>
        <s v="HOUSING - AUTOCHARGING STATION" u="1"/>
        <s v="BRACKET WLDMT - CONNECTING" u="1"/>
        <s v="PIASTRA MANUBRIO DX" u="1"/>
        <s v="PIASTRA MANUBRIO SX" u="1"/>
        <s v="TUBO MANUBRIO GIOIA 50 " u="1"/>
        <s v="RETE PROTEZ. FIANCATE GIOIA " u="1"/>
        <s v="SQUADRETTA" u="1"/>
        <s v="CASS.CAVI  PANNELLO ESTERNO DX - SX" u="1"/>
        <s v="CASS. CAVI  PANNELLO FRONTALE" u="1"/>
        <s v="CASS. CAVI  PANNELLO POSTERIORE" u="1"/>
        <s v="CASS. CAVI PANNELLO SINISTRO EASY" u="1"/>
        <s v="CASS. CAVI PANNELLO DESTRO EASY" u="1"/>
        <s v="NEW MIMIC-COFANO ANTER. DX SI / NO VPIS" u="1"/>
        <s v="NEW MIMIC COPERTURA SDT SUPERIORE AT7" u="1"/>
        <s v="COFANO CDO L=125" u="1"/>
        <s v="FIANCO ESTETICO 2.0 ERV VERN 1 FACC" u="1"/>
        <s v="CHIUSURA ESTETICA SUPERIORE 2.0 ERV VERN 1 FACC" u="1"/>
        <s v="ASS.FRONTALE ESTETICO 2.0 NC RAL9003 VERN 1 FACC" u="1"/>
        <s v="TRAVERSA POST.RAL9003 OPACO 2.0 NC VERN 1 FACC" u="1"/>
        <s v="FIANCO DX 2.0 NC RAL9003 VERN 1 FACC" u="1"/>
        <s v="FIANCO SX 2.0 NC RAL9003 VERN 1 FACC" u="1"/>
        <s v="Side cover RH coated" u="1"/>
        <s v="Side cover LH black FCS4083" u="1"/>
        <s v="Mounting housing riveted" u="1"/>
        <s v="Side cover RH coated  VERN 1 FACC" u="1"/>
        <s v="Side cover LH black FCS4083 VERN 1 FACC" u="1"/>
        <s v="PLATFORM WELDMENT" u="1"/>
        <s v="BRACKET - KEY + BUTTONS" u="1"/>
        <s v="BRACKET - KEY + SETTING  BUTTON" u="1"/>
        <s v="PLATE - LLOP CONNECTOR SUPPORT" u="1"/>
        <s v="PLATE - DOUBLE LIGHT SUPPORT" u="1"/>
        <s v="SUPPORT PLATE - MPB LLOP VERSION" u="1"/>
        <s v="HANDLE - WLDMNT" u="1"/>
        <s v="PLATE - W/O PAL COVER LLOP" u="1"/>
        <s v="BRACKET WLDMT - LH LLOP" u="1"/>
        <s v="BRACKET WLDMT - RH LLOP" u="1"/>
        <s v="BRACKET - FM2 MODULE LLOP" u="1"/>
        <s v="PANNELLO FRONTALE 20mm VERN 1 FACC" u="1"/>
        <s v="PANNELLO FRONTALE 11mm VERN 1 FACC" u="1"/>
        <s v="Front panel black FCS4083" u="1"/>
        <s v="Front panel burgundy-mahagoni-saphire" u="1"/>
        <s v="Trim panel 340 black" u="1"/>
        <s v="trim panel mahagoni-saphire-burgundy" u="1"/>
        <s v="Assieme frontale WHL 200 VERN 1 FACC" u="1"/>
        <s v="Assieme frontale WHL 400 VERN 1 FACC" u="1"/>
        <s v="Assieme frontale WHL 600 VERN 1 FACC" u="1"/>
        <s v="TRAVERSA POSTERIORE WLH 200 RAL 9003" u="1"/>
        <s v="TRAVERSA POSTERIORE WLH 400 RAL 9003" u="1"/>
        <s v="TRAVERSA POSTERIORE WLH 600 RAL 9003" u="1"/>
        <s v="FIANCO SX WLH RAL9003" u="1"/>
        <s v="ASS. FIANCO DX WLH RAL9003" u="1"/>
        <s v="Cup tray bottom black" u="1"/>
        <s v="Cup tray black" u="1"/>
        <s v="Eletronics housing FCS4083" u="1"/>
        <s v="Mounting bracket fan FCS4080" u="1"/>
        <s v="Mounting bracket distribution block" u="1"/>
        <s v="FRONTALE 2T RASOMURO MOD.600 RAL9003 2024 vern 1 facc" u="1"/>
        <s v="FRONTALE 2T RASOMURO MOD.800 RAL9003 2024 vern 1 facc" u="1"/>
        <s v="FRONTALE 2T RASOMURO MOD.1000 RAL9003 2024 vern 1 facc" u="1"/>
        <s v="ARTICULATION PENDULAIRE TJ65PL" u="1"/>
        <s v="BRAS PENDULAIRE TJ80" u="1"/>
        <s v="TIRANT PENDULAIRE TJ80" u="1"/>
        <s v="Machine Frame black FCS4094" u="1"/>
        <s v="Machine Frame black FCS4095" u="1"/>
        <s v="Verkleidungsblech links VERN 2 FACCE" u="1"/>
        <s v="Verkleidungsblech rechts VERN 2 FACCE" u="1"/>
        <s v="CYLINDER SUPPORT" u="1"/>
        <s v="Front panel black FCS4093" u="1"/>
        <s v="Front panel burgundy mahagoni saphire FCS4093" u="1"/>
        <s v="Trim panel black FCS4091" u="1"/>
        <s v="Trim panel burgundy mahagoni saphire FCS4091" u="1"/>
        <s v="Front panel black FCS4091" u="1"/>
        <s v="Front panel burgundy mahagoni saphire FCS4091" u="1"/>
        <s v="Front panel burgundy mahagoni saphire FCS4088" u="1"/>
        <s v="Front panel black FCS4088" u="1"/>
        <s v="Trim panel 290 burgundy mahagoni saphire" u="1"/>
        <s v="Trim panel black" u="1"/>
        <s v="Back Cover " u="1"/>
        <s v="Side Cover LH" u="1"/>
        <s v="Side Cover RH" u="1"/>
        <s v="Mixer Drip Tray Simplicity" u="1"/>
        <s v="Lower back cover L " u="1"/>
        <s v="Lower back cover M" u="1"/>
        <s v="Back Cover L" u="1"/>
        <s v="Hydraulic check valve cover " u="1"/>
        <s v="cookie killer support " u="1"/>
        <s v="Waste bin front structure L " u="1"/>
        <s v="Waste bin block" u="1"/>
        <s v="Hydraulic check valve cover 5split" u="1"/>
        <s v="Side Cover LH VERN 1 FACC" u="1"/>
        <s v="Side Cover RH VERN 1 FACC" u="1"/>
        <s v="Side cover addon LH black" u="1"/>
        <s v="Side cover addon RH black" u="1"/>
        <s v="base bottom-deep 5split" u="1"/>
        <s v="Chassis bottom 6spl" u="1"/>
        <s v="Chassis lh" u="1"/>
        <s v="Chassis Rh" u="1"/>
        <s v="Chassis Midblock Frant 5spl" u="1"/>
        <s v="Chassis Midblock 6spl" u="1"/>
        <s v="Chassis Hydraulicblock Cracket" u="1"/>
        <s v="Hydraulic Check Valve Cover" u="1"/>
        <s v="Chassis Diagonal Stiffner Rh" u="1"/>
        <s v="CLOSING SHEET RIGHT FOOT TOLEFERMETURE DROIT PIED" u="1"/>
        <s v="HYDRAULIC PLUG SHEET TOLE CLIPS HYDRAULIQUES" u="1"/>
        <s v="SUPPORT MAIN SWITCH SUPPORT INTERRUPTEUR ON-OFF" u="1"/>
        <s v="Connecting bar" u="1"/>
        <s v="LINGUETTA DI PROTEZIONE" u="1"/>
        <s v="Verkleidungsblech links" u="1"/>
        <s v="Verkleidungsblech rechts" u="1"/>
        <s v="Braccio DX saldato" u="1"/>
        <s v="SPORTELLO MICRO PEDANA DX" u="1"/>
        <s v="Traverso piantoni sollevamento" u="1"/>
        <s v="Piantone DX tettuccio" u="1"/>
        <s v="Piantone SX tettuccio" u="1"/>
        <s v="Piantone DX DSA" u="1"/>
        <s v="Lamiera braccio principale sollevamento" u="1"/>
        <s v="MENSOLA STONE VERT. FRAME L" u="1"/>
        <s v="CONVOGLIATORE ARIA" u="1"/>
        <s v="PEDANA DX D78" u="1"/>
        <s v="TRAVERSA CHIUSURA SUPERIORE BATTERIA STONE FRAME M" u="1"/>
        <s v="STAFFA ANCORAGGIO PAVIMENTO STONE FRAME L" u="1"/>
        <s v="STAFFA ANCORAGGIO PAVIMENTO STONE FRAME M" u="1"/>
        <s v="STAFFA ANCORAGGIO A PAVIMENTO STONE FRAME S" u="1"/>
        <s v="MENSOLA STONE VERT. FRAME M" u="1"/>
        <s v="BASE CON INSERTI ORIGINALE VERN 1 LATO" u="1"/>
        <s v="SUPPORTO ANTERIORE SECONDA VENTOLA" u="1"/>
        <s v="BOCCHETTONE SECONA ASPIRAZIONE D78" u="1"/>
        <s v="Spessore per langia freno posteriore" u="1"/>
        <s v="SUPPORTO MOTRE S78" u="1"/>
        <s v="LAMIERA QUADRO COMANDI S-D78L" u="1"/>
        <s v="Frontteil - iPump IG  -  VERN 1 FACC" u="1"/>
        <s v="PIATTO FISSAGGIO GUARNIZIONE FRONTALE" u="1"/>
        <s v="Cassetta aspirazione" u="1"/>
        <s v="SUPPORTO MOTORE DIESEL" u="1"/>
        <s v="Wandhalterung" u="1"/>
        <s v="OCCHIALI PORTAFANALI" u="1"/>
        <s v="Manico cassetto manuale" u="1"/>
        <s v="Wandhalterung VERN 2 FACC" u="1"/>
        <s v="Frontteil - iPump IG  -  VERN 2 FACC" u="1"/>
        <s v="SUPPORTO SEDILE" u="1"/>
        <s v="Flangia passaggio pomello aspirazione" u="1"/>
        <s v="Sportello spazzola centrale" u="1"/>
        <s v="Piastra fiss. Esterna per sollevamento" u="1"/>
        <s v="SUPPORTO SECONDA VENTOLA S78" u="1"/>
        <s v="Supporto ventola filtri" u="1"/>
        <s v="MARMITTA SCARICO FUMI D78" u="1"/>
        <s v="SUPPORTO FILTRO OLIO" u="1"/>
        <s v="TRAVERSA CHIUSURA SUP BATTERIA STONE FRAME L " u="1"/>
        <s v="MENSOLA STONE VERT. FRAME S" u="1"/>
        <s v="PEDANA SX STD" u="1"/>
        <s v="Tunnel motoruota" u="1"/>
        <s v="Supporto vibro filtri a cilindro" u="1"/>
        <s v="SUPPORTO DOPPIA ELETTROVALVOLA" u="1"/>
        <s v="PIEDE ANTIRIBALTAMENTO DX" u="1"/>
        <s v="Traverso bracci di sollevamento" u="1"/>
        <s v="COLONNETTA E78L" u="1"/>
        <s v="GRUPPO LAMIERA SEDUTA E78L" u="1"/>
        <s v="Supporto inverter e fusibile DSA" u="1"/>
        <s v="SD lamierato piegato VERN 1 LATO" u="1"/>
        <s v="PEDANA DX E78L" u="1"/>
        <s v="SERBATOIO OLIO IDRAULICO S78" u="1"/>
        <s v="Fissaggio central spazzole laterali" u="1"/>
        <s v="SPESSORE PER FISSAGGIO VENTOLA SUPPLEMENTARE" u="1"/>
        <s v="SUPPORTO TUBO ASPIRAZIONE" u="1"/>
        <s v="Cassetto DSA" u="1"/>
        <s v="Cassone filtri a cilindro" u="1"/>
        <s v="PIATTO DESTRO FI FISSAGGIO LATERALE" u="1"/>
        <s v="Testata anteriore" u="1"/>
        <s v="Frontteil - iPump IG  - 1925*308 VERN 1 FACC" u="1"/>
        <s v="PIATTO SINISTRO DI FISSAGGIO LATERALE" u="1"/>
        <s v="LAMIERA QUADRO COMANDI E78-L" u="1"/>
        <s v="Fianchetto destro" u="1"/>
        <s v="LAMIERA CENTRALE PEDANA" u="1"/>
        <s v="Piantone SX DSA" u="1"/>
        <s v="Tettoia saldata" u="1"/>
        <s v="Cassa batterie" u="1"/>
        <s v="Cassetto manuale" u="1"/>
        <s v="Piede antiribaltamento sx" u="1"/>
        <s v="Staffa per aggancio cassetto manuale" u="1"/>
        <s v="Portaflash" u="1"/>
        <s v="Lamiera sicurezza cilindri" u="1"/>
        <s v="Supporto motore elettrico" u="1"/>
        <s v="LAMIERA SUPPORTO SECONDA ASPIRAZIONE" u="1"/>
        <s v="Lamiera sedile" u="1"/>
        <s v="Fianchetto sinistro" u="1"/>
        <s v="Paletta cassetto DSA" u="1"/>
        <s v="TRAVERSA CHIUSURA SUPERIORE BATTERIA STONE FRAME S" u="1"/>
        <s v="SCATOLA ASPIRAZIONE S78" u="1"/>
        <s v="Supporto spinotto batterie" u="1"/>
      </sharedItems>
    </cacheField>
    <cacheField name="Lavorazione" numFmtId="0">
      <sharedItems containsBlank="1"/>
    </cacheField>
    <cacheField name="Desc Lavorazione" numFmtId="0">
      <sharedItems containsBlank="1" count="10">
        <s v="Verniciatura"/>
        <s v="Montaggio"/>
        <s v="Imballo"/>
        <s v=""/>
        <m/>
        <s v="F2" u="1"/>
        <e v="#VALUE!" u="1"/>
        <s v="Sabbiatura" u="1"/>
        <s v="Preparazione" u="1"/>
        <s v="Verniciatura extra Quality" u="1"/>
      </sharedItems>
    </cacheField>
    <cacheField name="Cod Vel" numFmtId="0">
      <sharedItems containsBlank="1"/>
    </cacheField>
    <cacheField name="Velocità" numFmtId="0">
      <sharedItems containsString="0" containsBlank="1" containsNumber="1" containsInteger="1" minValue="0" maxValue="2"/>
    </cacheField>
    <cacheField name="Colore" numFmtId="0">
      <sharedItems containsBlank="1" containsMixedTypes="1" containsNumber="1" containsInteger="1" minValue="1006" maxValue="9023" count="8">
        <s v="P90005XLOP"/>
        <s v="PS068"/>
        <m/>
        <n v="7035" u="1"/>
        <n v="1006" u="1"/>
        <n v="9007" u="1"/>
        <n v="9023" u="1"/>
        <n v="7021" u="1"/>
      </sharedItems>
    </cacheField>
    <cacheField name="Q.ta'" numFmtId="0">
      <sharedItems containsString="0" containsBlank="1" containsNumber="1" minValue="1" maxValue="25000" count="191">
        <n v="1000"/>
        <n v="2000"/>
        <m/>
        <n v="40" u="1"/>
        <n v="80" u="1"/>
        <n v="50" u="1"/>
        <n v="450" u="1"/>
        <n v="10" u="1"/>
        <n v="100" u="1"/>
        <n v="200" u="1"/>
        <n v="20" u="1"/>
        <n v="15" u="1"/>
        <n v="25" u="1"/>
        <n v="5" u="1"/>
        <n v="30" u="1"/>
        <n v="9" u="1"/>
        <n v="4" u="1"/>
        <n v="6" u="1"/>
        <n v="35" u="1"/>
        <n v="7" u="1"/>
        <n v="70" u="1"/>
        <n v="700" u="1"/>
        <n v="250" u="1"/>
        <n v="500" u="1"/>
        <n v="60" u="1"/>
        <n v="120" u="1"/>
        <n v="150" u="1"/>
        <n v="300" u="1"/>
        <n v="350" u="1"/>
        <n v="400" u="1"/>
        <n v="140" u="1"/>
        <n v="240" u="1"/>
        <n v="280" u="1"/>
        <n v="160" u="1"/>
        <n v="19" u="1"/>
        <n v="800" u="1"/>
        <n v="90" u="1"/>
        <n v="600" u="1"/>
        <n v="36" u="1"/>
        <n v="28" u="1"/>
        <n v="48" u="1"/>
        <n v="45" u="1"/>
        <n v="97" u="1"/>
        <n v="14" u="1"/>
        <n v="41" u="1"/>
        <n v="37" u="1"/>
        <n v="65" u="1"/>
        <n v="32" u="1"/>
        <n v="64" u="1"/>
        <n v="1300" u="1"/>
        <n v="44" u="1"/>
        <n v="144" u="1"/>
        <n v="288" u="1"/>
        <n v="66" u="1"/>
        <n v="110" u="1"/>
        <n v="170" u="1"/>
        <n v="55" u="1"/>
        <n v="52" u="1"/>
        <n v="111" u="1"/>
        <n v="17" u="1"/>
        <n v="25000" u="1"/>
        <n v="4500" u="1"/>
        <n v="333" u="1"/>
        <n v="667" u="1"/>
        <n v="1333" u="1"/>
        <n v="167" u="1"/>
        <n v="1667" u="1"/>
        <n v="750" u="1"/>
        <n v="463" u="1"/>
        <n v="527" u="1"/>
        <n v="61" u="1"/>
        <n v="502" u="1"/>
        <n v="1500" u="1"/>
        <n v="3000" u="1"/>
        <n v="69" u="1"/>
        <n v="12" u="1"/>
        <n v="84" u="1"/>
        <n v="11" u="1"/>
        <n v="56" u="1"/>
        <n v="108" u="1"/>
        <n v="24" u="1"/>
        <n v="23" u="1"/>
        <n v="46" u="1"/>
        <n v="3" u="1"/>
        <n v="26" u="1"/>
        <n v="29" u="1"/>
        <n v="16" u="1"/>
        <n v="21" u="1"/>
        <n v="22" u="1"/>
        <n v="18" u="1"/>
        <n v="2" u="1"/>
        <n v="220" u="1"/>
        <n v="75" u="1"/>
        <n v="103" u="1"/>
        <n v="94" u="1"/>
        <n v="260" u="1"/>
        <n v="63" u="1"/>
        <n v="175" u="1"/>
        <n v="141" u="1"/>
        <n v="233" u="1"/>
        <n v="242" u="1"/>
        <n v="451" u="1"/>
        <n v="92" u="1"/>
        <n v="98" u="1"/>
        <n v="149" u="1"/>
        <n v="139" u="1"/>
        <n v="148" u="1"/>
        <n v="86" u="1"/>
        <n v="105" u="1"/>
        <n v="132" u="1"/>
        <n v="59" u="1"/>
        <n v="575" u="1"/>
        <n v="143" u="1"/>
        <n v="88" u="1"/>
        <n v="218" u="1"/>
        <n v="2807" u="1"/>
        <n v="669" u="1"/>
        <n v="112" u="1"/>
        <n v="210" u="1"/>
        <n v="43" u="1"/>
        <n v="73" u="1"/>
        <n v="34" u="1"/>
        <n v="10000" u="1"/>
        <n v="180" u="1"/>
        <n v="138" u="1"/>
        <n v="303" u="1"/>
        <n v="134" u="1"/>
        <n v="480" u="1"/>
        <n v="182" u="1"/>
        <n v="490" u="1"/>
        <n v="935" u="1"/>
        <n v="57" u="1"/>
        <n v="54" u="1"/>
        <n v="633" u="1"/>
        <n v="130" u="1"/>
        <n v="67" u="1"/>
        <n v="42" u="1"/>
        <n v="552" u="1"/>
        <n v="418" u="1"/>
        <n v="347" u="1"/>
        <n v="308" u="1"/>
        <n v="135" u="1"/>
        <n v="8" u="1"/>
        <n v="33" u="1"/>
        <n v="7630" u="1"/>
        <n v="76" u="1"/>
        <n v="106" u="1"/>
        <n v="27" u="1"/>
        <n v="72" u="1"/>
        <n v="1600" u="1"/>
        <n v="352" u="1"/>
        <n v="900" u="1"/>
        <n v="116" u="1"/>
        <n v="1400" u="1"/>
        <n v="1" u="1"/>
        <n v="5000" u="1"/>
        <n v="540" u="1"/>
        <n v="270" u="1"/>
        <n v="1080" u="1"/>
        <n v="672" u="1"/>
        <n v="1344" u="1"/>
        <n v="330" u="1"/>
        <n v="660" u="1"/>
        <n v="375" u="1"/>
        <n v="320" u="1"/>
        <n v="487" u="1"/>
        <n v="780" u="1"/>
        <n v="13" u="1"/>
        <n v="364" u="1"/>
        <n v="793" u="1"/>
        <n v="519" u="1"/>
        <n v="1200" u="1"/>
        <n v="158" u="1"/>
        <n v="88.525000000000006" u="1"/>
        <n v="129.02500000000001" u="1"/>
        <n v="36.6" u="1"/>
        <n v="79" u="1"/>
        <n v="1700" u="1"/>
        <n v="145" u="1"/>
        <n v="39" u="1"/>
        <n v="49" u="1"/>
        <n v="68" u="1"/>
        <n v="505" u="1"/>
        <n v="126" u="1"/>
        <n v="448" u="1"/>
        <n v="224" u="1"/>
        <n v="154" u="1"/>
        <n v="38" u="1"/>
        <n v="190" u="1"/>
        <n v="2500" u="1"/>
        <n v="325" u="1"/>
      </sharedItems>
    </cacheField>
    <cacheField name="lotto" numFmtId="0">
      <sharedItems containsBlank="1"/>
    </cacheField>
    <cacheField name="passo" numFmtId="0">
      <sharedItems containsString="0" containsBlank="1" containsNumber="1" minValue="0.8" maxValue="1.2"/>
    </cacheField>
    <cacheField name="nr.pezzi Telaio" numFmtId="0">
      <sharedItems containsString="0" containsBlank="1" containsNumber="1" containsInteger="1" minValue="5" maxValue="16"/>
    </cacheField>
    <cacheField name="nr.pezzi ora-unita" numFmtId="0">
      <sharedItems containsString="0" containsBlank="1" containsNumber="1" containsInteger="1" minValue="0" maxValue="2400"/>
    </cacheField>
    <cacheField name="Pz Ora Altre Lav" numFmtId="0">
      <sharedItems containsString="0" containsBlank="1" containsNumber="1" containsInteger="1" minValue="32" maxValue="250"/>
    </cacheField>
    <cacheField name="ORE LAVOR" numFmtId="0">
      <sharedItems containsString="0" containsBlank="1" containsNumber="1" minValue="0" maxValue="62.5"/>
    </cacheField>
    <cacheField name="cambio colore su pezzo" numFmtId="0">
      <sharedItems containsString="0" containsBlank="1" containsNumber="1" containsInteger="1" minValue="0" maxValue="30"/>
    </cacheField>
    <cacheField name="costo orario" numFmtId="0">
      <sharedItems containsString="0" containsBlank="1" containsNumber="1" minValue="0" maxValue="690.7"/>
    </cacheField>
    <cacheField name="Superf.pz Mq" numFmtId="0">
      <sharedItems containsString="0" containsBlank="1" containsNumber="1" minValue="5.7000000000000002E-2" maxValue="0.72099999999999997"/>
    </cacheField>
    <cacheField name="MP (€kg)" numFmtId="0">
      <sharedItems containsString="0" containsBlank="1" containsNumber="1" minValue="4.5999999999999996" maxValue="5"/>
    </cacheField>
    <cacheField name="tot.CMP pz" numFmtId="0">
      <sharedItems containsString="0" containsBlank="1" containsNumber="1" minValue="0" maxValue="0.51871623999999994"/>
    </cacheField>
    <cacheField name="QtaProtez" numFmtId="0">
      <sharedItems containsNonDate="0" containsString="0" containsBlank="1"/>
    </cacheField>
    <cacheField name="Tipo Protezione" numFmtId="0">
      <sharedItems containsNonDate="0" containsString="0" containsBlank="1"/>
    </cacheField>
    <cacheField name="Costo Prot" numFmtId="0">
      <sharedItems containsString="0" containsBlank="1" containsNumber="1" containsInteger="1" minValue="0" maxValue="0"/>
    </cacheField>
    <cacheField name="altri costi" numFmtId="0">
      <sharedItems containsString="0" containsBlank="1" containsNumber="1" minValue="0.51" maxValue="0.51"/>
    </cacheField>
    <cacheField name="costo industriale pz" numFmtId="0">
      <sharedItems containsString="0" containsBlank="1" containsNumber="1" minValue="0" maxValue="1.9051162399999999"/>
    </cacheField>
    <cacheField name="totale costi" numFmtId="0">
      <sharedItems containsString="0" containsBlank="1" containsNumber="1" minValue="0" maxValue="1.9051162399999999"/>
    </cacheField>
    <cacheField name="Ricarico" numFmtId="9">
      <sharedItems containsString="0" containsBlank="1" containsNumber="1" minValue="0" maxValue="0.38"/>
    </cacheField>
    <cacheField name="Prezzo Di Vendita" numFmtId="0">
      <sharedItems containsString="0" containsBlank="1" containsNumber="1" minValue="0" maxValue="2.6290604111999998"/>
    </cacheField>
    <cacheField name="TotaleOfferta" numFmtId="0">
      <sharedItems containsString="0" containsBlank="1" containsNumber="1" minValue="0" maxValue="5258.1208223999993"/>
    </cacheField>
    <cacheField name="prezzo Mq" numFmtId="0">
      <sharedItems containsString="0" containsBlank="1" containsNumber="1" minValue="0" maxValue="21.1204319298245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s v="Energia Elettrica"/>
    <s v="Kwh"/>
    <n v="95"/>
    <n v="0.31"/>
    <n v="29.45"/>
    <n v="0.31"/>
    <n v="29.45"/>
    <n v="0.31"/>
    <n v="29.45"/>
  </r>
  <r>
    <x v="0"/>
    <s v="Gas Metano"/>
    <s v="Smc"/>
    <n v="85"/>
    <n v="0.85"/>
    <n v="72.25"/>
    <n v="0.85"/>
    <n v="72.25"/>
    <n v="0.85"/>
    <n v="72.25"/>
  </r>
  <r>
    <x v="0"/>
    <s v="Manodopera"/>
    <s v="nr"/>
    <n v="13"/>
    <n v="27"/>
    <n v="351"/>
    <n v="27"/>
    <n v="351"/>
    <n v="27"/>
    <n v="351"/>
  </r>
  <r>
    <x v="0"/>
    <s v="Ammortamento"/>
    <s v="nr"/>
    <n v="1"/>
    <n v="100"/>
    <n v="100"/>
    <n v="100"/>
    <n v="100"/>
    <n v="100"/>
    <n v="100"/>
  </r>
  <r>
    <x v="0"/>
    <s v="Affitto"/>
    <s v="nr"/>
    <n v="1"/>
    <n v="75"/>
    <n v="75"/>
    <n v="75"/>
    <n v="75"/>
    <n v="75"/>
    <n v="75"/>
  </r>
  <r>
    <x v="0"/>
    <s v="Spese Gestione Impianto"/>
    <s v="nr"/>
    <n v="1"/>
    <n v="28"/>
    <n v="28"/>
    <n v="28"/>
    <n v="28"/>
    <n v="28"/>
    <n v="28"/>
  </r>
  <r>
    <x v="0"/>
    <s v="Manutenzione"/>
    <s v="nr"/>
    <n v="1"/>
    <n v="35"/>
    <n v="35"/>
    <n v="35"/>
    <n v="35"/>
    <n v="35"/>
    <n v="35"/>
  </r>
  <r>
    <x v="1"/>
    <s v="Energia Elettrica"/>
    <s v="Kwh"/>
    <n v="55"/>
    <n v="0.31"/>
    <n v="17.05"/>
    <n v="0.31"/>
    <n v="17.05"/>
    <n v="0.31"/>
    <n v="17.05"/>
  </r>
  <r>
    <x v="1"/>
    <s v="Gas Metano"/>
    <s v="Smc"/>
    <n v="55"/>
    <n v="0.85"/>
    <n v="46.75"/>
    <n v="0.85"/>
    <n v="46.75"/>
    <n v="0.85"/>
    <n v="46.75"/>
  </r>
  <r>
    <x v="1"/>
    <s v="Manodopera"/>
    <s v="nr"/>
    <n v="5"/>
    <n v="27"/>
    <n v="135"/>
    <n v="27"/>
    <n v="135"/>
    <n v="27"/>
    <n v="135"/>
  </r>
  <r>
    <x v="1"/>
    <s v="Ammortamento"/>
    <s v="nr"/>
    <n v="1"/>
    <n v="55"/>
    <n v="55"/>
    <n v="55"/>
    <n v="55"/>
    <n v="55"/>
    <n v="55"/>
  </r>
  <r>
    <x v="1"/>
    <s v="Affitto"/>
    <s v="nr"/>
    <n v="1"/>
    <n v="55"/>
    <n v="55"/>
    <n v="55"/>
    <n v="55"/>
    <n v="55"/>
    <n v="55"/>
  </r>
  <r>
    <x v="1"/>
    <s v="Spese Gestione Impianto"/>
    <s v="nr"/>
    <n v="1"/>
    <n v="15"/>
    <n v="15"/>
    <n v="15"/>
    <n v="15"/>
    <n v="15"/>
    <n v="15"/>
  </r>
  <r>
    <x v="1"/>
    <s v="Manutenzione"/>
    <s v="nr"/>
    <n v="1"/>
    <n v="35"/>
    <n v="35"/>
    <n v="35"/>
    <n v="35"/>
    <n v="35"/>
    <n v="35"/>
  </r>
  <r>
    <x v="2"/>
    <s v="Energia Elettrica"/>
    <s v="Kwh"/>
    <n v="65"/>
    <n v="0.31"/>
    <n v="20.149999999999999"/>
    <n v="0.31"/>
    <n v="20.149999999999999"/>
    <n v="0.31"/>
    <n v="20.149999999999999"/>
  </r>
  <r>
    <x v="2"/>
    <s v="Gas Metano"/>
    <s v="Smc"/>
    <n v="65"/>
    <n v="0.85"/>
    <n v="55.25"/>
    <n v="0.85"/>
    <n v="55.25"/>
    <n v="0.85"/>
    <n v="55.25"/>
  </r>
  <r>
    <x v="2"/>
    <s v="Manodopera"/>
    <s v="nr"/>
    <n v="6"/>
    <n v="27"/>
    <n v="162"/>
    <n v="27"/>
    <n v="162"/>
    <n v="27"/>
    <n v="162"/>
  </r>
  <r>
    <x v="2"/>
    <s v="Ammortamento"/>
    <s v="nr"/>
    <n v="1"/>
    <n v="100"/>
    <n v="100"/>
    <n v="100"/>
    <n v="100"/>
    <n v="100"/>
    <n v="100"/>
  </r>
  <r>
    <x v="2"/>
    <s v="Affitto"/>
    <s v="nr"/>
    <n v="1"/>
    <n v="65"/>
    <n v="65"/>
    <n v="65"/>
    <n v="65"/>
    <n v="65"/>
    <n v="65"/>
  </r>
  <r>
    <x v="2"/>
    <s v="Spese Gestione Impianto"/>
    <s v="nr"/>
    <n v="1"/>
    <n v="22"/>
    <n v="22"/>
    <n v="22"/>
    <n v="22"/>
    <n v="22"/>
    <n v="22"/>
  </r>
  <r>
    <x v="2"/>
    <s v="Manutenzione"/>
    <s v="nr"/>
    <n v="1"/>
    <n v="35"/>
    <n v="35"/>
    <n v="35"/>
    <n v="35"/>
    <n v="35"/>
    <n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"/>
    <x v="0"/>
    <s v="01"/>
    <m/>
    <m/>
    <x v="0"/>
    <m/>
    <m/>
    <x v="0"/>
    <m/>
    <m/>
    <m/>
    <m/>
    <s v=""/>
    <m/>
    <n v="0"/>
    <m/>
    <m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m/>
    <x v="0"/>
    <s v="01"/>
    <m/>
    <m/>
    <x v="0"/>
    <m/>
    <m/>
    <x v="0"/>
    <m/>
    <m/>
    <m/>
    <m/>
    <s v=""/>
    <m/>
    <n v="0"/>
    <m/>
    <m/>
    <m/>
    <m/>
    <m/>
    <n v="0"/>
    <m/>
    <n v="0"/>
    <n v="0"/>
    <n v="0"/>
    <m/>
    <m/>
    <n v="0"/>
    <m/>
    <m/>
    <m/>
    <m/>
    <n v="0"/>
    <n v="0"/>
    <n v="0"/>
    <n v="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s v="202601-1"/>
    <s v="01"/>
    <s v="01"/>
    <x v="0"/>
    <n v="1"/>
    <d v="2026-01-07T00:00:00"/>
    <s v="VERONA LAMIERE"/>
    <s v="FRANKE"/>
    <s v="IN ATTESA"/>
    <s v="PREVENTIVI 2026 DATI E PDF\PREV 202602\560.0755.201 mounting bracket valve group themoblock.pdf"/>
    <x v="0"/>
    <x v="0"/>
    <s v="L1"/>
    <x v="0"/>
    <s v="F3"/>
    <n v="2"/>
    <x v="0"/>
    <x v="0"/>
    <s v="1001-oltre"/>
    <n v="0.8"/>
    <n v="16"/>
    <n v="2400"/>
    <m/>
    <n v="0.41666666666666669"/>
    <n v="30"/>
    <n v="690.7"/>
    <n v="5.7000000000000002E-2"/>
    <n v="5"/>
    <n v="4.4574000000000003E-2"/>
    <m/>
    <m/>
    <n v="0"/>
    <n v="0.51"/>
    <n v="0.3623656666666667"/>
    <n v="0.87236566666666671"/>
    <n v="0.38"/>
    <n v="1.2038646200000001"/>
    <n v="1203.8646200000001"/>
    <n v="21.120431929824562"/>
  </r>
  <r>
    <s v="202602-1"/>
    <s v="02"/>
    <s v="01"/>
    <x v="1"/>
    <n v="1"/>
    <d v="2026-02-26T00:00:00"/>
    <s v="IMMERGAS"/>
    <s v="IMMERGAS"/>
    <s v="IN ATTESA"/>
    <s v="PREV 202602\3.037280.pdf"/>
    <x v="1"/>
    <x v="1"/>
    <s v="L1"/>
    <x v="0"/>
    <s v="F3"/>
    <n v="2"/>
    <x v="1"/>
    <x v="1"/>
    <s v="ZERO"/>
    <n v="1.2"/>
    <n v="5"/>
    <n v="500"/>
    <m/>
    <n v="4"/>
    <n v="10"/>
    <n v="690.7"/>
    <n v="0.72099999999999997"/>
    <n v="4.5999999999999996"/>
    <n v="0.51871623999999994"/>
    <m/>
    <m/>
    <n v="0"/>
    <m/>
    <n v="1.9051162399999999"/>
    <n v="1.9051162399999999"/>
    <n v="0.38"/>
    <n v="2.6290604111999998"/>
    <n v="5258.1208223999993"/>
    <n v="3.6464083373092926"/>
  </r>
  <r>
    <s v="202602-2"/>
    <s v="02"/>
    <s v="01"/>
    <x v="1"/>
    <n v="2"/>
    <d v="2026-02-26T00:00:00"/>
    <s v="IMMERGAS"/>
    <s v="IMMERGAS"/>
    <s v="IN ATTESA"/>
    <s v="PREV 202602\3.037280.pdf"/>
    <x v="1"/>
    <x v="1"/>
    <s v="MON"/>
    <x v="1"/>
    <m/>
    <n v="0"/>
    <x v="2"/>
    <x v="1"/>
    <m/>
    <m/>
    <m/>
    <n v="0"/>
    <n v="32"/>
    <n v="62.5"/>
    <n v="0"/>
    <n v="30"/>
    <m/>
    <m/>
    <n v="0"/>
    <m/>
    <m/>
    <n v="0"/>
    <m/>
    <n v="0.9375"/>
    <n v="0.9375"/>
    <n v="0.38"/>
    <n v="1.29375"/>
    <n v="2587.5"/>
    <n v="0"/>
  </r>
  <r>
    <s v="202602-3"/>
    <s v="02"/>
    <s v="01"/>
    <x v="1"/>
    <n v="3"/>
    <d v="2026-02-26T00:00:00"/>
    <s v="IMMERGAS"/>
    <s v="IMMERGAS"/>
    <s v="IN ATTESA"/>
    <s v="PREV 202602\3.037280.pdf"/>
    <x v="1"/>
    <x v="1"/>
    <s v="IMB"/>
    <x v="2"/>
    <m/>
    <n v="0"/>
    <x v="2"/>
    <x v="1"/>
    <m/>
    <m/>
    <m/>
    <n v="0"/>
    <n v="250"/>
    <n v="8"/>
    <n v="0"/>
    <n v="30"/>
    <m/>
    <m/>
    <n v="0"/>
    <m/>
    <m/>
    <n v="0"/>
    <m/>
    <n v="0.12"/>
    <n v="0.12"/>
    <n v="0.38"/>
    <n v="0.1656"/>
    <n v="331.2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s v=""/>
    <s v="01"/>
    <s v="01"/>
    <x v="2"/>
    <m/>
    <m/>
    <m/>
    <m/>
    <m/>
    <m/>
    <x v="2"/>
    <x v="2"/>
    <m/>
    <x v="3"/>
    <m/>
    <n v="0"/>
    <x v="2"/>
    <x v="2"/>
    <m/>
    <m/>
    <m/>
    <n v="0"/>
    <m/>
    <n v="0"/>
    <n v="0"/>
    <n v="0"/>
    <m/>
    <m/>
    <n v="0"/>
    <m/>
    <m/>
    <n v="0"/>
    <m/>
    <n v="0"/>
    <n v="0"/>
    <n v="0"/>
    <n v="0"/>
    <n v="0"/>
    <n v="0"/>
  </r>
  <r>
    <m/>
    <m/>
    <m/>
    <x v="2"/>
    <m/>
    <m/>
    <m/>
    <m/>
    <m/>
    <m/>
    <x v="2"/>
    <x v="2"/>
    <m/>
    <x v="4"/>
    <m/>
    <m/>
    <x v="2"/>
    <x v="2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la pivot1" cacheId="0" applyNumberFormats="0" applyBorderFormats="0" applyFontFormats="0" applyPatternFormats="0" applyAlignmentFormats="0" applyWidthHeightFormats="1" dataCaption="Valori" updatedVersion="8" minRefreshableVersion="3" useAutoFormatting="1" createdVersion="8" indent="0" outline="1" outlineData="1" multipleFieldFilters="0">
  <location ref="L1:O5" firstHeaderRow="0" firstDataRow="1" firstDataCol="1"/>
  <pivotFields count="10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7" showAll="0"/>
    <pivotField dataField="1" numFmtId="167" showAll="0"/>
    <pivotField numFmtId="167" showAll="0"/>
    <pivotField dataField="1" numFmtId="167" showAll="0"/>
    <pivotField numFmtId="167" showAll="0"/>
    <pivotField dataField="1" numFmtId="167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TotPerQ1-26" fld="5" baseField="0" baseItem="0" numFmtId="167"/>
    <dataField name="Somma di TotPerQ2-26" fld="7" baseField="0" baseItem="0" numFmtId="167"/>
    <dataField name="Somma di TotPerQ3-26" fld="9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Tabella pivot1" cacheId="1" applyNumberFormats="0" applyBorderFormats="0" applyFontFormats="0" applyPatternFormats="0" applyAlignmentFormats="0" applyWidthHeightFormats="1" dataCaption="Valori" updatedVersion="8" minRefreshableVersion="3" useAutoFormatting="1" createdVersion="8" indent="0" outline="1" outlineData="1" multipleFieldFilters="0">
  <location ref="A3:C6" firstHeaderRow="0" firstDataRow="1" firstDataCol="1" rowPageCount="1" colPageCount="1"/>
  <pivotFields count="39">
    <pivotField showAll="0"/>
    <pivotField axis="axisRow" showAll="0">
      <items count="4">
        <item m="1" x="1"/>
        <item m="1" x="2"/>
        <item x="0"/>
        <item t="default"/>
      </items>
    </pivotField>
    <pivotField showAll="0"/>
    <pivotField dataField="1" showAll="0"/>
    <pivotField showAll="0"/>
    <pivotField axis="axisPage" numFmtId="14" showAll="0">
      <items count="148">
        <item m="1" x="54"/>
        <item m="1" x="56"/>
        <item m="1" x="57"/>
        <item m="1" x="58"/>
        <item m="1" x="59"/>
        <item m="1" x="60"/>
        <item m="1" x="61"/>
        <item m="1" x="63"/>
        <item m="1" x="64"/>
        <item m="1" x="65"/>
        <item m="1" x="66"/>
        <item m="1" x="67"/>
        <item m="1" x="68"/>
        <item m="1" x="62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7"/>
        <item m="1" x="88"/>
        <item m="1" x="89"/>
        <item m="1" x="90"/>
        <item m="1" x="91"/>
        <item m="1" x="86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55"/>
        <item m="1" x="117"/>
        <item m="1" x="118"/>
        <item m="1" x="119"/>
        <item m="1" x="120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21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x="0"/>
        <item t="default"/>
      </items>
    </pivotField>
    <pivotField showAll="0"/>
    <pivotField showAll="0"/>
    <pivotField axis="axisRow" showAll="0">
      <items count="6">
        <item m="1" x="3"/>
        <item m="1" x="1"/>
        <item m="1" x="2"/>
        <item m="1"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9" showAll="0"/>
    <pivotField showAll="0"/>
    <pivotField dataField="1" showAll="0"/>
    <pivotField showAll="0"/>
  </pivotFields>
  <rowFields count="2">
    <field x="8"/>
    <field x="1"/>
  </rowFields>
  <rowItems count="3">
    <i>
      <x v="4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0"/>
  </pageFields>
  <dataFields count="2">
    <dataField name="Conteggio di Nprev" fld="3" subtotal="count" baseField="0" baseItem="0"/>
    <dataField name="Somma di TotaleOfferta" fld="37" baseField="0" baseItem="0" numFmtId="44"/>
  </dataFields>
  <formats count="1">
    <format dxfId="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Tabella pivot1" cacheId="17" applyNumberFormats="0" applyBorderFormats="0" applyFontFormats="0" applyPatternFormats="0" applyAlignmentFormats="0" applyWidthHeightFormats="1" dataCaption="Valori" updatedVersion="8" minRefreshableVersion="3" useAutoFormatting="1" rowGrandTotals="0" colGrandTotals="0" createdVersion="8" indent="0" compact="0" compactData="0" multipleFieldFilters="0" rowHeaderCaption="Righe Offerta" colHeaderCaption="Lavorazioni">
  <location ref="A11:G14" firstHeaderRow="1" firstDataRow="2" firstDataCol="4" rowPageCount="1" colPageCount="1"/>
  <pivotFields count="39"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47">
        <item h="1" m="1" x="236"/>
        <item h="1" x="2"/>
        <item h="1" m="1" x="34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7"/>
        <item h="1" m="1" x="296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35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19"/>
        <item h="1" m="1" x="20"/>
        <item h="1" m="1" x="21"/>
        <item h="1" m="1" x="22"/>
        <item h="1" m="1" x="18"/>
        <item h="1" m="1" x="23"/>
        <item h="1" m="1" x="24"/>
        <item h="1" m="1" x="25"/>
        <item h="1" m="1" x="149"/>
        <item h="1" m="1" x="150"/>
        <item h="1" m="1" x="151"/>
        <item h="1" m="1" x="152"/>
        <item h="1" m="1" x="153"/>
        <item h="1" m="1" x="154"/>
        <item h="1" m="1" x="155"/>
        <item h="1" m="1" x="156"/>
        <item h="1" m="1" x="26"/>
        <item h="1" m="1" x="27"/>
        <item h="1" m="1" x="28"/>
        <item h="1" m="1" x="14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47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5"/>
        <item h="1" m="1" x="144"/>
        <item m="1" x="146"/>
        <item h="1" x="0"/>
        <item x="1"/>
        <item h="1" m="1" x="3"/>
        <item h="1" m="1" x="4"/>
        <item h="1" m="1" x="5"/>
        <item h="1" m="1" x="6"/>
        <item h="1" m="1" x="7"/>
        <item h="1" m="1" x="8"/>
        <item h="1" m="1" x="10"/>
        <item h="1" m="1" x="11"/>
        <item h="1" m="1" x="12"/>
        <item h="1" m="1" x="13"/>
        <item h="1" m="1" x="14"/>
        <item h="1" m="1" x="15"/>
        <item h="1" m="1" x="9"/>
        <item h="1" m="1" x="16"/>
        <item m="1"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12">
        <item x="2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73"/>
        <item m="1" x="574"/>
        <item m="1" x="575"/>
        <item m="1" x="585"/>
        <item m="1" x="586"/>
        <item m="1" x="587"/>
        <item m="1" x="109"/>
        <item m="1" x="588"/>
        <item m="1" x="589"/>
        <item m="1" x="711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710"/>
        <item m="1" x="603"/>
        <item m="1" x="602"/>
        <item m="1" x="604"/>
        <item m="1" x="704"/>
        <item m="1" x="705"/>
        <item m="1" x="706"/>
        <item m="1" x="707"/>
        <item m="1" x="708"/>
        <item m="1" x="709"/>
        <item m="1" x="703"/>
        <item m="1" x="605"/>
        <item m="1" x="606"/>
        <item m="1" x="607"/>
        <item m="1" x="608"/>
        <item m="1" x="609"/>
        <item m="1" x="610"/>
        <item m="1" x="611"/>
        <item m="1" x="612"/>
        <item m="1" x="278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157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74"/>
        <item m="1" x="675"/>
        <item m="1" x="676"/>
        <item m="1" x="348"/>
        <item m="1" x="686"/>
        <item m="1" x="349"/>
        <item m="1" x="350"/>
        <item m="1" x="453"/>
        <item m="1" x="454"/>
        <item m="1" x="687"/>
        <item m="1" x="366"/>
        <item m="1" x="367"/>
        <item m="1" x="358"/>
        <item m="1" x="688"/>
        <item m="1" x="689"/>
        <item m="1" x="690"/>
        <item m="1" x="691"/>
        <item m="1" x="359"/>
        <item m="1" x="692"/>
        <item m="1" x="693"/>
        <item m="1" x="347"/>
        <item m="1" x="351"/>
        <item m="1" x="694"/>
        <item m="1" x="695"/>
        <item m="1" x="352"/>
        <item m="1" x="355"/>
        <item m="1" x="353"/>
        <item m="1" x="357"/>
        <item m="1" x="354"/>
        <item m="1" x="356"/>
        <item m="1" x="696"/>
        <item m="1" x="697"/>
        <item m="1" x="698"/>
        <item m="1" x="699"/>
        <item m="1" x="700"/>
        <item m="1" x="701"/>
        <item m="1" x="702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156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60"/>
        <item m="1" x="361"/>
        <item m="1" x="362"/>
        <item m="1" x="363"/>
        <item m="1" x="364"/>
        <item m="1" x="365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6"/>
        <item m="1" x="395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5"/>
        <item m="1" x="446"/>
        <item m="1" x="447"/>
        <item m="1" x="448"/>
        <item m="1" x="449"/>
        <item m="1" x="450"/>
        <item m="1" x="451"/>
        <item m="1" x="452"/>
        <item m="1" x="443"/>
        <item m="1" x="44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501"/>
        <item m="1" x="502"/>
        <item m="1" x="503"/>
        <item m="1" x="476"/>
        <item m="1" x="477"/>
        <item m="1" x="474"/>
        <item m="1" x="475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179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10"/>
        <item m="1" x="111"/>
        <item m="1" x="112"/>
        <item m="1" x="277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34"/>
        <item m="1" x="154"/>
        <item m="1" x="155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31"/>
        <item m="1" x="232"/>
        <item m="1" x="233"/>
        <item m="1" x="234"/>
        <item m="1" x="229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30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0"/>
        <item m="1" x="3"/>
        <item m="1" x="4"/>
        <item m="1" x="5"/>
        <item m="1" x="6"/>
        <item m="1" x="7"/>
        <item m="1" x="8"/>
        <item m="1" x="10"/>
        <item m="1" x="11"/>
        <item m="1" x="9"/>
        <item m="1" x="12"/>
        <item m="1" x="13"/>
        <item m="1" x="14"/>
        <item m="1" x="15"/>
        <item m="1" x="16"/>
        <item m="1" x="17"/>
        <item m="1" x="18"/>
        <item x="1"/>
      </items>
    </pivotField>
    <pivotField axis="axisRow" compact="0" outline="0" showAll="0" defaultSubtotal="0">
      <items count="2313">
        <item x="2"/>
        <item m="1" x="1571"/>
        <item m="1" x="456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2258"/>
        <item m="1" x="226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581"/>
        <item m="1" x="1591"/>
        <item m="1" x="1592"/>
        <item m="1" x="1593"/>
        <item m="1" x="1594"/>
        <item m="1" x="5"/>
        <item m="1" x="1595"/>
        <item m="1" x="1596"/>
        <item m="1" x="1597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23"/>
        <item m="1" x="1722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924"/>
        <item m="1" x="1763"/>
        <item m="1" x="1764"/>
        <item m="1" x="1765"/>
        <item m="1" x="1766"/>
        <item m="1" x="1719"/>
        <item m="1" x="1720"/>
        <item m="1" x="1721"/>
        <item m="1" x="2247"/>
        <item m="1" x="2243"/>
        <item m="1" x="2245"/>
        <item m="1" x="2310"/>
        <item m="1" x="2272"/>
        <item m="1" x="2240"/>
        <item m="1" x="2244"/>
        <item m="1" x="2271"/>
        <item m="1" x="224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33"/>
        <item m="1" x="132"/>
        <item m="1" x="1934"/>
        <item m="1" x="1382"/>
        <item m="1" x="1383"/>
        <item m="1" x="1384"/>
        <item m="1" x="1935"/>
        <item m="1" x="1936"/>
        <item m="1" x="2282"/>
        <item m="1" x="2248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37"/>
        <item m="1" x="1938"/>
        <item m="1" x="1939"/>
        <item m="1" x="1940"/>
        <item m="1" x="1983"/>
        <item m="1" x="1984"/>
        <item m="1" x="1985"/>
        <item m="1" x="1986"/>
        <item m="1" x="1987"/>
        <item m="1" x="1988"/>
        <item m="1" x="1989"/>
        <item m="1" x="2307"/>
        <item m="1" x="2251"/>
        <item m="1" x="2274"/>
        <item m="1" x="2266"/>
        <item m="1" x="2235"/>
        <item m="1" x="2303"/>
        <item m="1" x="2264"/>
        <item m="1" x="2295"/>
        <item m="1" x="2308"/>
        <item m="1" x="2301"/>
        <item m="1" x="2241"/>
        <item m="1" x="2239"/>
        <item m="1" x="2293"/>
        <item m="1" x="2287"/>
        <item m="1" x="2277"/>
        <item m="1" x="2290"/>
        <item m="1" x="2312"/>
        <item m="1" x="2286"/>
        <item m="1" x="2253"/>
        <item m="1" x="2305"/>
        <item m="1" x="2281"/>
        <item m="1" x="2234"/>
        <item m="1" x="2294"/>
        <item m="1" x="2296"/>
        <item m="1" x="2306"/>
        <item m="1" x="2276"/>
        <item m="1" x="2270"/>
        <item m="1" x="2255"/>
        <item m="1" x="2304"/>
        <item m="1" x="2259"/>
        <item m="1" x="2263"/>
        <item m="1" x="2309"/>
        <item m="1" x="2300"/>
        <item m="1" x="2260"/>
        <item m="1" x="2291"/>
        <item m="1" x="2302"/>
        <item m="1" x="2265"/>
        <item m="1" x="2288"/>
        <item m="1" x="2238"/>
        <item m="1" x="2297"/>
        <item m="1" x="2233"/>
        <item m="1" x="2311"/>
        <item m="1" x="2269"/>
        <item m="1" x="2249"/>
        <item m="1" x="2275"/>
        <item m="1" x="2289"/>
        <item m="1" x="2284"/>
        <item m="1" x="2267"/>
        <item m="1" x="2257"/>
        <item m="1" x="2252"/>
        <item m="1" x="2299"/>
        <item m="1" x="2268"/>
        <item m="1" x="2250"/>
        <item m="1" x="2237"/>
        <item m="1" x="2236"/>
        <item m="1" x="2298"/>
        <item m="1" x="2242"/>
        <item m="1" x="2273"/>
        <item m="1" x="2279"/>
        <item m="1" x="2278"/>
        <item m="1" x="2285"/>
        <item m="1" x="2283"/>
        <item m="1" x="2280"/>
        <item m="1" x="2256"/>
        <item m="1" x="2055"/>
        <item m="1" x="2056"/>
        <item m="1" x="2057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1051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995"/>
        <item m="1" x="994"/>
        <item m="1" x="2292"/>
        <item m="1" x="2262"/>
        <item m="1" x="2254"/>
        <item m="1" x="1979"/>
        <item m="1" x="1980"/>
        <item m="1" x="1981"/>
        <item m="1" x="1982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6"/>
        <item m="1" x="2187"/>
        <item m="1" x="2231"/>
        <item m="1" x="2232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183"/>
        <item m="1" x="2184"/>
        <item m="1" x="2185"/>
        <item m="1" x="2201"/>
        <item m="1" x="2202"/>
        <item m="1" x="2203"/>
        <item m="1" x="2204"/>
        <item m="1" x="2205"/>
        <item m="1" x="2206"/>
        <item m="1" x="2207"/>
        <item m="1" x="1438"/>
        <item m="1" x="1429"/>
        <item m="1" x="1430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1433"/>
        <item m="1" x="2221"/>
        <item m="1" x="2222"/>
        <item m="1" x="1428"/>
        <item m="1" x="2223"/>
        <item m="1" x="1427"/>
        <item m="1" x="2224"/>
        <item m="1" x="1441"/>
        <item m="1" x="1443"/>
        <item m="1" x="2225"/>
        <item m="1" x="2226"/>
        <item m="1" x="2227"/>
        <item m="1" x="2228"/>
        <item m="1" x="2229"/>
        <item m="1" x="2230"/>
        <item m="1" x="1060"/>
        <item m="1" x="1061"/>
        <item x="0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396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5"/>
        <item m="1" x="1264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566"/>
        <item m="1" x="1567"/>
        <item m="1" x="1568"/>
        <item m="1" x="1569"/>
        <item m="1" x="1570"/>
        <item m="1" x="1311"/>
        <item m="1" x="1312"/>
        <item m="1" x="1306"/>
        <item m="1" x="1307"/>
        <item m="1" x="1308"/>
        <item m="1" x="1309"/>
        <item m="1" x="1310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7"/>
        <item m="1" x="1348"/>
        <item m="1" x="1349"/>
        <item m="1" x="1350"/>
        <item m="1" x="85"/>
        <item m="1" x="1351"/>
        <item m="1" x="1352"/>
        <item m="1" x="1353"/>
        <item m="1" x="1354"/>
        <item m="1" x="390"/>
        <item m="1" x="1345"/>
        <item m="1" x="1346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3"/>
        <item m="1" x="1374"/>
        <item m="1" x="1302"/>
        <item m="1" x="1375"/>
        <item m="1" x="1376"/>
        <item m="1" x="1377"/>
        <item m="1" x="1378"/>
        <item m="1" x="1379"/>
        <item m="1" x="1380"/>
        <item m="1" x="1381"/>
        <item m="1" x="1385"/>
        <item m="1" x="1386"/>
        <item m="1" x="1387"/>
        <item m="1" x="1388"/>
        <item m="1" x="1389"/>
        <item m="1" x="1371"/>
        <item m="1" x="1372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297"/>
        <item m="1" x="1298"/>
        <item m="1" x="1299"/>
        <item m="1" x="1300"/>
        <item m="1" x="1301"/>
        <item m="1" x="1303"/>
        <item m="1" x="1304"/>
        <item m="1" x="1305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899"/>
        <item m="1" x="1431"/>
        <item m="1" x="1550"/>
        <item m="1" x="1434"/>
        <item m="1" x="1435"/>
        <item m="1" x="1436"/>
        <item m="1" x="1437"/>
        <item m="1" x="1439"/>
        <item m="1" x="1551"/>
        <item m="1" x="1552"/>
        <item m="1" x="1553"/>
        <item m="1" x="1445"/>
        <item m="1" x="1446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32"/>
        <item m="1" x="1440"/>
        <item m="1" x="1442"/>
        <item m="1" x="1444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397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536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056"/>
        <item m="1" x="1057"/>
        <item m="1" x="1058"/>
        <item m="1" x="162"/>
        <item m="1" x="1059"/>
        <item m="1" x="1055"/>
        <item m="1" x="167"/>
        <item m="1" x="165"/>
        <item m="1" x="166"/>
        <item m="1" x="170"/>
        <item m="1" x="171"/>
        <item m="1" x="172"/>
        <item m="1" x="173"/>
        <item m="1" x="159"/>
        <item m="1" x="160"/>
        <item m="1" x="161"/>
        <item m="1" x="163"/>
        <item m="1" x="174"/>
        <item m="1" x="175"/>
        <item m="1" x="176"/>
        <item m="1" x="177"/>
        <item m="1" x="178"/>
        <item m="1" x="164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053"/>
        <item m="1" x="1054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168"/>
        <item m="1" x="169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1024"/>
        <item m="1" x="283"/>
        <item m="1" x="284"/>
        <item m="1" x="285"/>
        <item m="1" x="286"/>
        <item m="1" x="287"/>
        <item m="1" x="288"/>
        <item m="1" x="289"/>
        <item m="1" x="1052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290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1048"/>
        <item m="1" x="346"/>
        <item m="1" x="347"/>
        <item m="1" x="348"/>
        <item m="1" x="349"/>
        <item m="1" x="350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1049"/>
        <item m="1" x="361"/>
        <item m="1" x="362"/>
        <item m="1" x="363"/>
        <item m="1" x="364"/>
        <item m="1" x="369"/>
        <item m="1" x="370"/>
        <item m="1" x="1050"/>
        <item m="1" x="372"/>
        <item m="1" x="373"/>
        <item m="1" x="82"/>
        <item m="1" x="374"/>
        <item m="1" x="375"/>
        <item m="1" x="376"/>
        <item m="1" x="377"/>
        <item m="1" x="378"/>
        <item m="1" x="93"/>
        <item m="1" x="379"/>
        <item m="1" x="380"/>
        <item m="1" x="381"/>
        <item m="1" x="382"/>
        <item m="1" x="371"/>
        <item m="1" x="365"/>
        <item m="1" x="366"/>
        <item m="1" x="367"/>
        <item m="1" x="368"/>
        <item m="1" x="345"/>
        <item m="1" x="351"/>
        <item m="1" x="383"/>
        <item m="1" x="384"/>
        <item m="1" x="385"/>
        <item m="1" x="386"/>
        <item m="1" x="387"/>
        <item m="1" x="388"/>
        <item m="1" x="389"/>
        <item m="1" x="391"/>
        <item m="1" x="392"/>
        <item m="1" x="393"/>
        <item m="1" x="394"/>
        <item m="1" x="395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7"/>
        <item m="1" x="538"/>
        <item m="1" x="539"/>
        <item m="1" x="540"/>
        <item m="1" x="541"/>
        <item m="1" x="542"/>
        <item m="1" x="543"/>
        <item m="1" x="544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1045"/>
        <item m="1" x="573"/>
        <item m="1" x="574"/>
        <item m="1" x="575"/>
        <item m="1" x="576"/>
        <item m="1" x="577"/>
        <item m="1" x="1046"/>
        <item m="1" x="579"/>
        <item m="1" x="580"/>
        <item m="1" x="581"/>
        <item m="1" x="1047"/>
        <item m="1" x="583"/>
        <item m="1" x="584"/>
        <item m="1" x="585"/>
        <item m="1" x="586"/>
        <item m="1" x="587"/>
        <item m="1" x="588"/>
        <item m="1" x="589"/>
        <item m="1" x="94"/>
        <item m="1" x="590"/>
        <item m="1" x="572"/>
        <item m="1" x="578"/>
        <item m="1" x="582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1043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1044"/>
        <item m="1" x="634"/>
        <item m="1" x="645"/>
        <item m="1" x="646"/>
        <item m="1" x="3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1031"/>
        <item m="1" x="672"/>
        <item m="1" x="673"/>
        <item m="1" x="674"/>
        <item m="1" x="675"/>
        <item m="1" x="545"/>
        <item m="1" x="671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1027"/>
        <item m="1" x="1028"/>
        <item m="1" x="1029"/>
        <item m="1" x="829"/>
        <item m="1" x="1030"/>
        <item m="1" x="826"/>
        <item m="1" x="827"/>
        <item m="1" x="828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900"/>
        <item m="1" x="901"/>
        <item m="1" x="902"/>
        <item m="1" x="903"/>
        <item m="1" x="904"/>
        <item m="1" x="1025"/>
        <item m="1" x="1026"/>
        <item m="1" x="123"/>
        <item m="1" x="905"/>
        <item m="1" x="906"/>
        <item m="1" x="907"/>
        <item m="1" x="908"/>
        <item m="1" x="912"/>
        <item m="1" x="909"/>
        <item m="1" x="910"/>
        <item m="1" x="911"/>
        <item m="1" x="913"/>
        <item m="1" x="914"/>
        <item m="1" x="915"/>
        <item m="1" x="916"/>
        <item m="1" x="917"/>
        <item m="1" x="918"/>
        <item m="1" x="919"/>
        <item m="1" x="920"/>
        <item m="1" x="925"/>
        <item m="1" x="926"/>
        <item m="1" x="927"/>
        <item m="1" x="921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22"/>
        <item m="1" x="923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282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131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1013"/>
        <item m="1" x="986"/>
        <item m="1" x="987"/>
        <item m="1" x="988"/>
        <item m="1" x="989"/>
        <item m="1" x="990"/>
        <item m="1" x="991"/>
        <item m="1" x="992"/>
        <item m="1" x="993"/>
        <item m="1" x="996"/>
        <item m="1" x="997"/>
        <item m="1" x="998"/>
        <item m="1" x="999"/>
        <item m="1" x="1000"/>
        <item m="1" x="101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1"/>
        <item m="1" x="1012"/>
        <item m="1" x="4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3"/>
        <item m="1" x="84"/>
        <item m="1" x="86"/>
        <item m="1" x="87"/>
        <item m="1" x="88"/>
        <item m="1" x="89"/>
        <item m="1" x="90"/>
        <item m="1" x="91"/>
        <item m="1" x="92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09"/>
        <item m="1" x="110"/>
        <item m="1" x="111"/>
        <item m="1" x="112"/>
        <item m="1" x="124"/>
        <item m="1" x="125"/>
        <item m="1" x="126"/>
        <item m="1" x="127"/>
        <item m="1" x="128"/>
        <item m="1" x="129"/>
        <item m="1" x="130"/>
        <item x="1"/>
      </items>
    </pivotField>
    <pivotField compact="0" outline="0" showAll="0" defaultSubtotal="0"/>
    <pivotField name=" Lavorazioni" axis="axisCol" compact="0" outline="0" showAll="0" defaultSubtotal="0">
      <items count="10">
        <item x="1"/>
        <item x="0"/>
        <item x="4"/>
        <item m="1" x="7"/>
        <item m="1" x="8"/>
        <item x="3"/>
        <item m="1" x="9"/>
        <item m="1" x="5"/>
        <item m="1" x="6"/>
        <item x="2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8">
        <item sd="0" x="2"/>
        <item m="1" x="4"/>
        <item m="1" x="5"/>
        <item m="1" x="6"/>
        <item m="1" x="7"/>
        <item x="0"/>
        <item m="1" x="3"/>
        <item x="1"/>
      </items>
    </pivotField>
    <pivotField axis="axisRow" compact="0" outline="0" showAll="0" defaultSubtotal="0">
      <items count="191">
        <item x="0"/>
        <item x="2"/>
        <item m="1" x="7"/>
        <item m="1" x="8"/>
        <item m="1" x="9"/>
        <item m="1" x="109"/>
        <item m="1" x="13"/>
        <item m="1" x="41"/>
        <item m="1" x="10"/>
        <item m="1" x="171"/>
        <item m="1" x="5"/>
        <item m="1" x="26"/>
        <item m="1" x="21"/>
        <item m="1" x="113"/>
        <item m="1" x="172"/>
        <item m="1" x="173"/>
        <item m="1" x="174"/>
        <item m="1" x="175"/>
        <item m="1" x="176"/>
        <item m="1" x="11"/>
        <item m="1" x="12"/>
        <item m="1" x="32"/>
        <item m="1" x="33"/>
        <item m="1" x="40"/>
        <item m="1" x="14"/>
        <item m="1" x="23"/>
        <item m="1" x="4"/>
        <item m="1" x="177"/>
        <item m="1" x="29"/>
        <item m="1" x="120"/>
        <item m="1" x="18"/>
        <item m="1" x="178"/>
        <item m="1" x="134"/>
        <item m="1" x="179"/>
        <item m="1" x="85"/>
        <item m="1" x="6"/>
        <item m="1" x="151"/>
        <item m="1" x="121"/>
        <item m="1" x="180"/>
        <item m="1" x="181"/>
        <item m="1" x="103"/>
        <item m="1" x="22"/>
        <item m="1" x="65"/>
        <item m="1" x="74"/>
        <item m="1" x="154"/>
        <item m="1" x="59"/>
        <item m="1" x="86"/>
        <item m="1" x="57"/>
        <item m="1" x="3"/>
        <item m="1" x="50"/>
        <item m="1" x="16"/>
        <item m="1" x="77"/>
        <item m="1" x="167"/>
        <item m="1" x="90"/>
        <item m="1" x="19"/>
        <item m="1" x="142"/>
        <item m="1" x="84"/>
        <item m="1" x="81"/>
        <item m="1" x="24"/>
        <item m="1" x="155"/>
        <item m="1" x="119"/>
        <item m="1" x="182"/>
        <item m="1" x="93"/>
        <item m="1" x="131"/>
        <item m="1" x="20"/>
        <item m="1" x="37"/>
        <item m="1" x="183"/>
        <item m="1" x="184"/>
        <item m="1" x="185"/>
        <item m="1" x="186"/>
        <item m="1" x="96"/>
        <item m="1" x="187"/>
        <item m="1" x="27"/>
        <item m="1" x="117"/>
        <item m="1" x="136"/>
        <item m="1" x="83"/>
        <item m="1" x="35"/>
        <item m="1" x="188"/>
        <item m="1" x="75"/>
        <item m="1" x="189"/>
        <item m="1" x="73"/>
        <item x="1"/>
        <item m="1" x="190"/>
        <item m="1" x="97"/>
        <item m="1" x="30"/>
        <item m="1" x="153"/>
        <item m="1" x="67"/>
        <item m="1" x="156"/>
        <item m="1" x="157"/>
        <item m="1" x="158"/>
        <item m="1" x="159"/>
        <item m="1" x="160"/>
        <item m="1" x="47"/>
        <item m="1" x="161"/>
        <item m="1" x="162"/>
        <item m="1" x="95"/>
        <item m="1" x="163"/>
        <item m="1" x="164"/>
        <item m="1" x="165"/>
        <item m="1" x="129"/>
        <item m="1" x="166"/>
        <item m="1" x="168"/>
        <item m="1" x="169"/>
        <item m="1" x="170"/>
        <item m="1" x="80"/>
        <item m="1" x="31"/>
        <item m="1" x="34"/>
        <item m="1" x="36"/>
        <item m="1" x="38"/>
        <item m="1" x="39"/>
        <item m="1" x="42"/>
        <item m="1" x="43"/>
        <item m="1" x="44"/>
        <item m="1" x="45"/>
        <item m="1" x="46"/>
        <item m="1" x="48"/>
        <item m="1" x="123"/>
        <item m="1" x="49"/>
        <item m="1" x="51"/>
        <item m="1" x="52"/>
        <item m="1" x="53"/>
        <item m="1" x="54"/>
        <item m="1" x="55"/>
        <item m="1" x="56"/>
        <item m="1" x="58"/>
        <item m="1" x="60"/>
        <item m="1" x="61"/>
        <item m="1" x="62"/>
        <item m="1" x="63"/>
        <item m="1" x="64"/>
        <item m="1" x="66"/>
        <item m="1" x="68"/>
        <item m="1" x="69"/>
        <item m="1" x="70"/>
        <item m="1" x="71"/>
        <item m="1" x="72"/>
        <item m="1" x="25"/>
        <item m="1" x="76"/>
        <item m="1" x="78"/>
        <item m="1" x="79"/>
        <item m="1" x="82"/>
        <item m="1" x="15"/>
        <item m="1" x="87"/>
        <item m="1" x="88"/>
        <item m="1" x="89"/>
        <item m="1" x="152"/>
        <item m="1" x="92"/>
        <item m="1" x="94"/>
        <item m="1" x="98"/>
        <item m="1" x="99"/>
        <item m="1" x="100"/>
        <item m="1" x="101"/>
        <item m="1" x="102"/>
        <item m="1" x="17"/>
        <item m="1" x="104"/>
        <item m="1" x="105"/>
        <item m="1" x="106"/>
        <item m="1" x="107"/>
        <item m="1" x="108"/>
        <item m="1" x="110"/>
        <item m="1" x="111"/>
        <item m="1" x="112"/>
        <item m="1" x="114"/>
        <item m="1" x="115"/>
        <item m="1" x="116"/>
        <item m="1" x="118"/>
        <item m="1" x="122"/>
        <item m="1" x="91"/>
        <item m="1" x="124"/>
        <item m="1" x="125"/>
        <item m="1" x="126"/>
        <item m="1" x="127"/>
        <item m="1" x="128"/>
        <item m="1" x="130"/>
        <item m="1" x="132"/>
        <item m="1" x="133"/>
        <item m="1" x="135"/>
        <item m="1" x="137"/>
        <item m="1" x="138"/>
        <item m="1" x="139"/>
        <item m="1" x="140"/>
        <item m="1" x="141"/>
        <item m="1" x="143"/>
        <item m="1" x="144"/>
        <item m="1" x="145"/>
        <item m="1" x="146"/>
        <item m="1" x="147"/>
        <item m="1" x="149"/>
        <item m="1" x="148"/>
        <item m="1" x="150"/>
        <item m="1" x="2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4">
    <field x="10"/>
    <field x="11"/>
    <field x="17"/>
    <field x="16"/>
  </rowFields>
  <rowItems count="2">
    <i>
      <x v="711"/>
      <x v="2312"/>
      <x v="81"/>
      <x/>
    </i>
    <i r="3">
      <x v="7"/>
    </i>
  </rowItems>
  <colFields count="1">
    <field x="13"/>
  </colFields>
  <colItems count="3">
    <i>
      <x/>
    </i>
    <i>
      <x v="1"/>
    </i>
    <i>
      <x v="9"/>
    </i>
  </colItems>
  <pageFields count="1">
    <pageField fld="3" hier="0"/>
  </pageFields>
  <dataFields count="1">
    <dataField name="Somma di Prezzo Di Vendita" fld="36" baseField="16" baseItem="0"/>
  </dataFields>
  <formats count="35">
    <format dxfId="143">
      <pivotArea outline="0" collapsedLevelsAreSubtotals="1" fieldPosition="0"/>
    </format>
    <format dxfId="142">
      <pivotArea dataOnly="0" labelOnly="1" outline="0" fieldPosition="0">
        <references count="1">
          <reference field="10" count="1">
            <x v="113"/>
          </reference>
        </references>
      </pivotArea>
    </format>
    <format dxfId="141">
      <pivotArea dataOnly="0" labelOnly="1" outline="0" fieldPosition="0">
        <references count="1">
          <reference field="10" count="1">
            <x v="242"/>
          </reference>
        </references>
      </pivotArea>
    </format>
    <format dxfId="140">
      <pivotArea dataOnly="0" labelOnly="1" outline="0" fieldPosition="0">
        <references count="1">
          <reference field="10" count="1">
            <x v="243"/>
          </reference>
        </references>
      </pivotArea>
    </format>
    <format dxfId="139">
      <pivotArea dataOnly="0" labelOnly="1" outline="0" fieldPosition="0">
        <references count="1">
          <reference field="10" count="5">
            <x v="236"/>
            <x v="237"/>
            <x v="238"/>
            <x v="239"/>
            <x v="240"/>
          </reference>
        </references>
      </pivotArea>
    </format>
    <format dxfId="138">
      <pivotArea dataOnly="0" labelOnly="1" outline="0" fieldPosition="0">
        <references count="1">
          <reference field="10" count="1">
            <x v="241"/>
          </reference>
        </references>
      </pivotArea>
    </format>
    <format dxfId="137">
      <pivotArea field="10" type="button" dataOnly="0" labelOnly="1" outline="0" axis="axisRow" fieldPosition="0"/>
    </format>
    <format dxfId="136">
      <pivotArea field="11" type="button" dataOnly="0" labelOnly="1" outline="0" axis="axisRow" fieldPosition="1"/>
    </format>
    <format dxfId="135">
      <pivotArea field="17" type="button" dataOnly="0" labelOnly="1" outline="0" axis="axisRow" fieldPosition="2"/>
    </format>
    <format dxfId="134">
      <pivotArea field="16" type="button" dataOnly="0" labelOnly="1" outline="0" axis="axisRow" fieldPosition="3"/>
    </format>
    <format dxfId="133">
      <pivotArea dataOnly="0" labelOnly="1" outline="0" fieldPosition="0">
        <references count="1">
          <reference field="13" count="2">
            <x v="0"/>
            <x v="1"/>
          </reference>
        </references>
      </pivotArea>
    </format>
    <format dxfId="132">
      <pivotArea field="10" type="button" dataOnly="0" labelOnly="1" outline="0" axis="axisRow" fieldPosition="0"/>
    </format>
    <format dxfId="131">
      <pivotArea field="11" type="button" dataOnly="0" labelOnly="1" outline="0" axis="axisRow" fieldPosition="1"/>
    </format>
    <format dxfId="130">
      <pivotArea field="17" type="button" dataOnly="0" labelOnly="1" outline="0" axis="axisRow" fieldPosition="2"/>
    </format>
    <format dxfId="129">
      <pivotArea field="16" type="button" dataOnly="0" labelOnly="1" outline="0" axis="axisRow" fieldPosition="3"/>
    </format>
    <format dxfId="128">
      <pivotArea dataOnly="0" labelOnly="1" outline="0" fieldPosition="0">
        <references count="1">
          <reference field="13" count="2">
            <x v="0"/>
            <x v="1"/>
          </reference>
        </references>
      </pivotArea>
    </format>
    <format dxfId="127">
      <pivotArea field="10" type="button" dataOnly="0" labelOnly="1" outline="0" axis="axisRow" fieldPosition="0"/>
    </format>
    <format dxfId="126">
      <pivotArea field="11" type="button" dataOnly="0" labelOnly="1" outline="0" axis="axisRow" fieldPosition="1"/>
    </format>
    <format dxfId="125">
      <pivotArea field="17" type="button" dataOnly="0" labelOnly="1" outline="0" axis="axisRow" fieldPosition="2"/>
    </format>
    <format dxfId="124">
      <pivotArea field="16" type="button" dataOnly="0" labelOnly="1" outline="0" axis="axisRow" fieldPosition="3"/>
    </format>
    <format dxfId="123">
      <pivotArea dataOnly="0" labelOnly="1" outline="0" fieldPosition="0">
        <references count="1">
          <reference field="13" count="2">
            <x v="0"/>
            <x v="1"/>
          </reference>
        </references>
      </pivotArea>
    </format>
    <format dxfId="122">
      <pivotArea field="10" type="button" dataOnly="0" labelOnly="1" outline="0" axis="axisRow" fieldPosition="0"/>
    </format>
    <format dxfId="121">
      <pivotArea field="11" type="button" dataOnly="0" labelOnly="1" outline="0" axis="axisRow" fieldPosition="1"/>
    </format>
    <format dxfId="120">
      <pivotArea field="17" type="button" dataOnly="0" labelOnly="1" outline="0" axis="axisRow" fieldPosition="2"/>
    </format>
    <format dxfId="119">
      <pivotArea field="16" type="button" dataOnly="0" labelOnly="1" outline="0" axis="axisRow" fieldPosition="3"/>
    </format>
    <format dxfId="118">
      <pivotArea dataOnly="0" labelOnly="1" outline="0" fieldPosition="0">
        <references count="1">
          <reference field="13" count="2">
            <x v="0"/>
            <x v="1"/>
          </reference>
        </references>
      </pivotArea>
    </format>
    <format dxfId="117">
      <pivotArea dataOnly="0" labelOnly="1" outline="0" fieldPosition="0">
        <references count="1">
          <reference field="10" count="1">
            <x v="286"/>
          </reference>
        </references>
      </pivotArea>
    </format>
    <format dxfId="116">
      <pivotArea dataOnly="0" labelOnly="1" outline="0" fieldPosition="0">
        <references count="1">
          <reference field="10" count="1">
            <x v="286"/>
          </reference>
        </references>
      </pivotArea>
    </format>
    <format dxfId="115">
      <pivotArea dataOnly="0" labelOnly="1" outline="0" fieldPosition="0">
        <references count="1">
          <reference field="10" count="11"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</reference>
        </references>
      </pivotArea>
    </format>
    <format dxfId="114">
      <pivotArea dataOnly="0" labelOnly="1" outline="0" fieldPosition="0">
        <references count="1">
          <reference field="10" count="1">
            <x v="543"/>
          </reference>
        </references>
      </pivotArea>
    </format>
    <format dxfId="113">
      <pivotArea dataOnly="0" labelOnly="1" outline="0" fieldPosition="0">
        <references count="1">
          <reference field="10" count="1">
            <x v="544"/>
          </reference>
        </references>
      </pivotArea>
    </format>
    <format dxfId="112">
      <pivotArea dataOnly="0" labelOnly="1" outline="0" fieldPosition="0">
        <references count="1">
          <reference field="10" count="1">
            <x v="545"/>
          </reference>
        </references>
      </pivotArea>
    </format>
    <format dxfId="111">
      <pivotArea dataOnly="0" labelOnly="1" outline="0" fieldPosition="0">
        <references count="1">
          <reference field="10" count="12"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</reference>
        </references>
      </pivotArea>
    </format>
    <format dxfId="110">
      <pivotArea outline="0" collapsedLevelsAreSubtotals="1" fieldPosition="0"/>
    </format>
    <format dxfId="109">
      <pivotArea outline="0" collapsedLevelsAreSubtotals="1" fieldPosition="0"/>
    </format>
  </formats>
  <pivotTableStyleInfo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ostiVerniciatura" displayName="CostiVerniciatura" ref="A1:J22" totalsRowShown="0">
  <autoFilter ref="A1:J22" xr:uid="{00000000-0009-0000-0100-000002000000}"/>
  <tableColumns count="10">
    <tableColumn id="1" xr3:uid="{00000000-0010-0000-0000-000001000000}" name="Risorsa" dataDxfId="108"/>
    <tableColumn id="2" xr3:uid="{00000000-0010-0000-0000-000002000000}" name="TipoCosto" dataDxfId="107"/>
    <tableColumn id="3" xr3:uid="{00000000-0010-0000-0000-000003000000}" name="UnMisura" dataDxfId="106"/>
    <tableColumn id="4" xr3:uid="{00000000-0010-0000-0000-000004000000}" name="Qta" dataDxfId="105"/>
    <tableColumn id="5" xr3:uid="{00000000-0010-0000-0000-000005000000}" name="PeriodoQ1-26" dataDxfId="104"/>
    <tableColumn id="6" xr3:uid="{00000000-0010-0000-0000-000006000000}" name="TotPerQ1-26" dataDxfId="103">
      <calculatedColumnFormula>D2*E2</calculatedColumnFormula>
    </tableColumn>
    <tableColumn id="7" xr3:uid="{00000000-0010-0000-0000-000007000000}" name="PeriodoQ2-26" dataDxfId="102"/>
    <tableColumn id="8" xr3:uid="{00000000-0010-0000-0000-000008000000}" name="TotPerQ2-26" dataDxfId="101">
      <calculatedColumnFormula>D2*G2</calculatedColumnFormula>
    </tableColumn>
    <tableColumn id="9" xr3:uid="{00000000-0010-0000-0000-000009000000}" name="PeriodoQ3-26" dataDxfId="100"/>
    <tableColumn id="10" xr3:uid="{00000000-0010-0000-0000-00000A000000}" name="TotPerQ3-26" dataDxfId="99">
      <calculatedColumnFormula>D2*I2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seMQ" displayName="ReseMQ" ref="A1:B4" totalsRowShown="0">
  <autoFilter ref="A1:B4" xr:uid="{00000000-0009-0000-0100-000004000000}"/>
  <tableColumns count="2">
    <tableColumn id="1" xr3:uid="{00000000-0010-0000-0100-000001000000}" name="Parametri Polvere" dataDxfId="98"/>
    <tableColumn id="2" xr3:uid="{00000000-0010-0000-0100-000002000000}" name="Valori" dataDxfId="9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RiepilogoCostiOrari" displayName="RiepilogoCostiOrari" ref="A1:M4" totalsRowShown="0">
  <autoFilter ref="A1:M4" xr:uid="{00000000-0009-0000-0100-000009000000}"/>
  <tableColumns count="13">
    <tableColumn id="1" xr3:uid="{00000000-0010-0000-0200-000001000000}" name="NomeRisorsa"/>
    <tableColumn id="2" xr3:uid="{00000000-0010-0000-0200-000002000000}" name="L1" dataDxfId="96"/>
    <tableColumn id="3" xr3:uid="{00000000-0010-0000-0200-000003000000}" name="L2" dataDxfId="95"/>
    <tableColumn id="4" xr3:uid="{00000000-0010-0000-0200-000004000000}" name="L3" dataDxfId="94"/>
    <tableColumn id="5" xr3:uid="{00000000-0010-0000-0200-000005000000}" name="MON" dataDxfId="93"/>
    <tableColumn id="6" xr3:uid="{00000000-0010-0000-0200-000006000000}" name="SAB" dataDxfId="92"/>
    <tableColumn id="7" xr3:uid="{00000000-0010-0000-0200-000007000000}" name="SER" dataDxfId="91"/>
    <tableColumn id="8" xr3:uid="{00000000-0010-0000-0200-000008000000}" name="PREP" dataDxfId="90"/>
    <tableColumn id="9" xr3:uid="{00000000-0010-0000-0200-000009000000}" name="IMB" dataDxfId="89"/>
    <tableColumn id="10" xr3:uid="{00000000-0010-0000-0200-00000A000000}" name="SCHI" dataDxfId="88"/>
    <tableColumn id="11" xr3:uid="{00000000-0010-0000-0200-00000B000000}" name="Camp" dataDxfId="87"/>
    <tableColumn id="14" xr3:uid="{00000000-0010-0000-0200-00000E000000}" name="VTPX" dataDxfId="86"/>
    <tableColumn id="12" xr3:uid="{00000000-0010-0000-0200-00000C000000}" name="TRAS" dataDxfId="8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DescLavorazioni" displayName="DescLavorazioni" ref="A1:B13" totalsRowShown="0">
  <autoFilter ref="A1:B13" xr:uid="{00000000-0009-0000-0100-00000B000000}"/>
  <tableColumns count="2">
    <tableColumn id="1" xr3:uid="{00000000-0010-0000-0300-000001000000}" name="CodLav" dataDxfId="84"/>
    <tableColumn id="2" xr3:uid="{00000000-0010-0000-0300-000002000000}" name="DescLav" dataDxfId="83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Ricarichi" displayName="Ricarichi" ref="A1:M4" totalsRowShown="0">
  <autoFilter ref="A1:M4" xr:uid="{00000000-0009-0000-0100-00000A000000}"/>
  <tableColumns count="13">
    <tableColumn id="1" xr3:uid="{00000000-0010-0000-0400-000001000000}" name="Descrizione"/>
    <tableColumn id="2" xr3:uid="{00000000-0010-0000-0400-000002000000}" name="L1"/>
    <tableColumn id="3" xr3:uid="{00000000-0010-0000-0400-000003000000}" name="L2"/>
    <tableColumn id="4" xr3:uid="{00000000-0010-0000-0400-000004000000}" name="L3"/>
    <tableColumn id="5" xr3:uid="{00000000-0010-0000-0400-000005000000}" name="MON"/>
    <tableColumn id="6" xr3:uid="{00000000-0010-0000-0400-000006000000}" name="SAB"/>
    <tableColumn id="7" xr3:uid="{00000000-0010-0000-0400-000007000000}" name="SER"/>
    <tableColumn id="8" xr3:uid="{00000000-0010-0000-0400-000008000000}" name="PREP" dataDxfId="82"/>
    <tableColumn id="9" xr3:uid="{00000000-0010-0000-0400-000009000000}" name="IMB" dataDxfId="81"/>
    <tableColumn id="10" xr3:uid="{00000000-0010-0000-0400-00000A000000}" name="SCHI"/>
    <tableColumn id="11" xr3:uid="{00000000-0010-0000-0400-00000B000000}" name="Camp"/>
    <tableColumn id="12" xr3:uid="{00000000-0010-0000-0400-00000C000000}" name="TRAS"/>
    <tableColumn id="13" xr3:uid="{00000000-0010-0000-0400-00000D000000}" name="VTPX" dataDxfId="80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VeloCatena" displayName="VeloCatena" ref="A1:C6" totalsRowShown="0">
  <autoFilter ref="A1:C6" xr:uid="{00000000-0009-0000-0100-000005000000}"/>
  <tableColumns count="3">
    <tableColumn id="1" xr3:uid="{00000000-0010-0000-0500-000001000000}" name="NomeFam"/>
    <tableColumn id="2" xr3:uid="{00000000-0010-0000-0500-000002000000}" name="DescFam"/>
    <tableColumn id="3" xr3:uid="{00000000-0010-0000-0500-000003000000}" name="Velocit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Protezioni" displayName="Protezioni" ref="A1:B11" totalsRowShown="0">
  <autoFilter ref="A1:B11" xr:uid="{00000000-0009-0000-0100-000006000000}"/>
  <tableColumns count="2">
    <tableColumn id="1" xr3:uid="{00000000-0010-0000-0600-000001000000}" name="Tipo Operazione"/>
    <tableColumn id="2" xr3:uid="{00000000-0010-0000-0600-000002000000}" name="costo protezione" dataDxfId="79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otti" displayName="Lotti" ref="A1:B8" totalsRowShown="0">
  <autoFilter ref="A1:B8" xr:uid="{00000000-0009-0000-0100-000008000000}"/>
  <tableColumns count="2">
    <tableColumn id="1" xr3:uid="{00000000-0010-0000-0700-000001000000}" name="CodLotti"/>
    <tableColumn id="2" xr3:uid="{00000000-0010-0000-0700-000002000000}" name="QuotaFissa" dataDxfId="78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8000000}" name="Tabella1" displayName="Tabella1" ref="A1:R1242" totalsRowShown="0">
  <autoFilter ref="A1:R1242" xr:uid="{00000000-0009-0000-0100-000001000000}"/>
  <tableColumns count="18">
    <tableColumn id="1" xr3:uid="{00000000-0010-0000-0800-000001000000}" name="Nr.Preventivo">
      <calculatedColumnFormula>RigheOfferte[[#This Row],[Nprev]]</calculatedColumnFormula>
    </tableColumn>
    <tableColumn id="17" xr3:uid="{00000000-0010-0000-0800-000011000000}" name="Numero Riga">
      <calculatedColumnFormula>RigheOfferte[[#This Row],[Nriga]]</calculatedColumnFormula>
    </tableColumn>
    <tableColumn id="2" xr3:uid="{00000000-0010-0000-0800-000002000000}" name="Cliente">
      <calculatedColumnFormula>RigheOfferte[[#This Row],[Cliente]]</calculatedColumnFormula>
    </tableColumn>
    <tableColumn id="3" xr3:uid="{00000000-0010-0000-0800-000003000000}" name="sub_cliente">
      <calculatedColumnFormula>RigheOfferte[[#This Row],[sub_cliente]]</calculatedColumnFormula>
    </tableColumn>
    <tableColumn id="4" xr3:uid="{00000000-0010-0000-0800-000004000000}" name="cod.Art." dataDxfId="77">
      <calculatedColumnFormula>RigheOfferte[[#This Row],[cod.Art.]]</calculatedColumnFormula>
    </tableColumn>
    <tableColumn id="5" xr3:uid="{00000000-0010-0000-0800-000005000000}" name="Descrizione" dataDxfId="76">
      <calculatedColumnFormula>RigheOfferte[[#This Row],[Descrizione]]</calculatedColumnFormula>
    </tableColumn>
    <tableColumn id="6" xr3:uid="{00000000-0010-0000-0800-000006000000}" name="q.ta offerta">
      <calculatedColumnFormula>RigheOfferte[[#This Row],[Q.ta'']]</calculatedColumnFormula>
    </tableColumn>
    <tableColumn id="7" xr3:uid="{00000000-0010-0000-0800-000007000000}" name="LINEA">
      <calculatedColumnFormula>RigheOfferte[[#This Row],[Lavorazione]]</calculatedColumnFormula>
    </tableColumn>
    <tableColumn id="8" xr3:uid="{00000000-0010-0000-0800-000008000000}" name="Colore">
      <calculatedColumnFormula>RigheOfferte[[#This Row],[Colore]]</calculatedColumnFormula>
    </tableColumn>
    <tableColumn id="9" xr3:uid="{00000000-0010-0000-0800-000009000000}" name="Velocità">
      <calculatedColumnFormula>RigheOfferte[[#This Row],[Velocità]]</calculatedColumnFormula>
    </tableColumn>
    <tableColumn id="10" xr3:uid="{00000000-0010-0000-0800-00000A000000}" name="superificie">
      <calculatedColumnFormula>RigheOfferte[[#This Row],[Superf.pz Mq]]</calculatedColumnFormula>
    </tableColumn>
    <tableColumn id="11" xr3:uid="{00000000-0010-0000-0800-00000B000000}" name="passo">
      <calculatedColumnFormula>RigheOfferte[[#This Row],[passo]]</calculatedColumnFormula>
    </tableColumn>
    <tableColumn id="12" xr3:uid="{00000000-0010-0000-0800-00000C000000}" name="nr.pezzi Telaio">
      <calculatedColumnFormula>RigheOfferte[[#This Row],[nr.pezzi Telaio]]</calculatedColumnFormula>
    </tableColumn>
    <tableColumn id="13" xr3:uid="{00000000-0010-0000-0800-00000D000000}" name="nr.pezzi ora-unita">
      <calculatedColumnFormula>RigheOfferte[[#This Row],[nr.pezzi ora-unita]]</calculatedColumnFormula>
    </tableColumn>
    <tableColumn id="14" xr3:uid="{00000000-0010-0000-0800-00000E000000}" name="KgPezzo" dataDxfId="75">
      <calculatedColumnFormula>Tabella1[[#This Row],[superificie]]*Resa</calculatedColumnFormula>
    </tableColumn>
    <tableColumn id="15" xr3:uid="{00000000-0010-0000-0800-00000F000000}" name="Previsione Consumi Kg">
      <calculatedColumnFormula>Tabella1[[#This Row],[KgPezzo]]*Tabella1[[#This Row],[q.ta offerta]]</calculatedColumnFormula>
    </tableColumn>
    <tableColumn id="16" xr3:uid="{00000000-0010-0000-0800-000010000000}" name="Qta protez">
      <calculatedColumnFormula>RigheOfferte[[#This Row],[QtaProtez]]</calculatedColumnFormula>
    </tableColumn>
    <tableColumn id="18" xr3:uid="{00000000-0010-0000-0800-000012000000}" name="Tipo protezione">
      <calculatedColumnFormula>RigheOfferte[[#This Row],[Tipo Protezione]]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9000000}" name="RigheOfferte" displayName="RigheOfferte" ref="A1:AM159" totalsRowShown="0">
  <autoFilter ref="A1:AM159" xr:uid="{00000000-0009-0000-0100-000003000000}"/>
  <tableColumns count="39">
    <tableColumn id="1" xr3:uid="{00000000-0010-0000-0900-000001000000}" name="CodCombi" dataDxfId="74">
      <calculatedColumnFormula>IF(LEN('riepilogo prezzi'!$D2&amp;'riepilogo prezzi'!$E2)&gt;0,'riepilogo prezzi'!$D2&amp;"-"&amp;'riepilogo prezzi'!$E2,"")</calculatedColumnFormula>
    </tableColumn>
    <tableColumn id="35" xr3:uid="{00000000-0010-0000-0900-000023000000}" name="mese" dataDxfId="73">
      <calculatedColumnFormula>IF(LEN(MONTH(RigheOfferte[[#This Row],[data]]))=1,0&amp;MONTH(RigheOfferte[[#This Row],[data]]),MONTH(RigheOfferte[[#This Row],[data]]))</calculatedColumnFormula>
    </tableColumn>
    <tableColumn id="39" xr3:uid="{00000000-0010-0000-0900-000027000000}" name="Quadrimestre" dataDxfId="72">
      <calculatedColumnFormula>IF(MONTH(RigheOfferte[[#This Row],[data]])&gt;8,"03",IF(MONTH(RigheOfferte[[#This Row],[data]])&gt;4,"02","01"))</calculatedColumnFormula>
    </tableColumn>
    <tableColumn id="2" xr3:uid="{00000000-0010-0000-0900-000002000000}" name="Nprev" dataDxfId="71"/>
    <tableColumn id="3" xr3:uid="{00000000-0010-0000-0900-000003000000}" name="Nriga" dataDxfId="70"/>
    <tableColumn id="4" xr3:uid="{00000000-0010-0000-0900-000004000000}" name="data" dataDxfId="69"/>
    <tableColumn id="5" xr3:uid="{00000000-0010-0000-0900-000005000000}" name="Cliente" dataDxfId="68"/>
    <tableColumn id="36" xr3:uid="{00000000-0010-0000-0900-000024000000}" name="sub_cliente" dataDxfId="67"/>
    <tableColumn id="6" xr3:uid="{00000000-0010-0000-0900-000006000000}" name="Confermato" dataDxfId="66"/>
    <tableColumn id="37" xr3:uid="{00000000-0010-0000-0900-000025000000}" name="Disegno" dataDxfId="65"/>
    <tableColumn id="7" xr3:uid="{00000000-0010-0000-0900-000007000000}" name="cod.Art." dataDxfId="64"/>
    <tableColumn id="8" xr3:uid="{00000000-0010-0000-0900-000008000000}" name="Descrizione" dataDxfId="63"/>
    <tableColumn id="34" xr3:uid="{00000000-0010-0000-0900-000022000000}" name="Lavorazione" dataDxfId="62"/>
    <tableColumn id="40" xr3:uid="{00000000-0010-0000-0900-000028000000}" name="Desc Lavorazione" dataDxfId="61">
      <calculatedColumnFormula>_xlfn.IFNA(VLOOKUP(RigheOfferte[[#This Row],[Lavorazione]],DescLavorazioni[],2,FALSE),"")</calculatedColumnFormula>
    </tableColumn>
    <tableColumn id="38" xr3:uid="{00000000-0010-0000-0900-000026000000}" name="Cod Vel" dataDxfId="60"/>
    <tableColumn id="10" xr3:uid="{00000000-0010-0000-0900-00000A000000}" name="Velocità" dataDxfId="59">
      <calculatedColumnFormula>_xlfn.IFNA(VLOOKUP(RigheOfferte[[#This Row],[Cod Vel]],VeloCatena[],3,FALSE),0)</calculatedColumnFormula>
    </tableColumn>
    <tableColumn id="12" xr3:uid="{00000000-0010-0000-0900-00000C000000}" name="Colore" dataDxfId="58"/>
    <tableColumn id="13" xr3:uid="{00000000-0010-0000-0900-00000D000000}" name="Q.ta'" dataDxfId="57"/>
    <tableColumn id="14" xr3:uid="{00000000-0010-0000-0900-00000E000000}" name="lotto" dataDxfId="56"/>
    <tableColumn id="15" xr3:uid="{00000000-0010-0000-0900-00000F000000}" name="passo" dataDxfId="55"/>
    <tableColumn id="16" xr3:uid="{00000000-0010-0000-0900-000010000000}" name="nr.pezzi Telaio" dataDxfId="54"/>
    <tableColumn id="17" xr3:uid="{00000000-0010-0000-0900-000011000000}" name="nr.pezzi ora-unita" dataDxfId="53">
      <calculatedColumnFormula>IF(RigheOfferte[[#This Row],[Velocità]]&gt;0,60*RigheOfferte[[#This Row],[Velocità]]/RigheOfferte[[#This Row],[passo]]*RigheOfferte[[#This Row],[nr.pezzi Telaio]],0)</calculatedColumnFormula>
    </tableColumn>
    <tableColumn id="42" xr3:uid="{00000000-0010-0000-0900-00002A000000}" name="Pz Ora Altre Lav" dataDxfId="52"/>
    <tableColumn id="18" xr3:uid="{00000000-0010-0000-0900-000012000000}" name="ORE LAVOR" dataDxfId="51">
      <calculatedColumnFormula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calculatedColumnFormula>
    </tableColumn>
    <tableColumn id="19" xr3:uid="{00000000-0010-0000-0900-000013000000}" name="cambio colore su pezzo" dataDxfId="50">
      <calculatedColumnFormula>IFERROR(IF(OR(RigheOfferte[[#This Row],[Lavorazione]]="L1",RigheOfferte[[#This Row],[Lavorazione]]="L2",RigheOfferte[[#This Row],[Lavorazione]]="L3"),VLOOKUP(RigheOfferte[[#This Row],[lotto]],Lotti[],2,FALSE),0),0)</calculatedColumnFormula>
    </tableColumn>
    <tableColumn id="20" xr3:uid="{00000000-0010-0000-0900-000014000000}" name="costo orario" dataDxfId="49">
      <calculatedColumnFormula>_xlfn.IFNA(INDEX(RiepilogoCostiOrari[],MATCH(YEAR(RigheOfferte[[#This Row],[data]])&amp;RigheOfferte[[#This Row],[Quadrimestre]],QuCostiLav,0),MATCH(RigheOfferte[[#This Row],[Lavorazione]],CodLavorazioni,0)),0)</calculatedColumnFormula>
    </tableColumn>
    <tableColumn id="21" xr3:uid="{00000000-0010-0000-0900-000015000000}" name="Superf.pz Mq" dataDxfId="48"/>
    <tableColumn id="22" xr3:uid="{00000000-0010-0000-0900-000016000000}" name="MP (€kg)" dataDxfId="47"/>
    <tableColumn id="23" xr3:uid="{00000000-0010-0000-0900-000017000000}" name="tot.CMP pz" dataDxfId="46">
      <calculatedColumnFormula>RigheOfferte[[#This Row],[Superf.pz Mq]]*Resa*RigheOfferte[[#This Row],[MP (€kg)]]</calculatedColumnFormula>
    </tableColumn>
    <tableColumn id="24" xr3:uid="{00000000-0010-0000-0900-000018000000}" name="QtaProtez" dataDxfId="45"/>
    <tableColumn id="25" xr3:uid="{00000000-0010-0000-0900-000019000000}" name="Tipo Protezione" dataDxfId="44"/>
    <tableColumn id="26" xr3:uid="{00000000-0010-0000-0900-00001A000000}" name="Costo Prot" dataDxfId="43">
      <calculatedColumnFormula>_xlfn.IFNA(VLOOKUP(RigheOfferte[[#This Row],[Tipo Protezione]],Protezioni[],2,FALSE),0)</calculatedColumnFormula>
    </tableColumn>
    <tableColumn id="27" xr3:uid="{00000000-0010-0000-0900-00001B000000}" name="altri costi" dataDxfId="42"/>
    <tableColumn id="28" xr3:uid="{00000000-0010-0000-0900-00001C000000}" name="costo industriale pz" dataDxfId="41">
      <calculatedColumnFormula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calculatedColumnFormula>
    </tableColumn>
    <tableColumn id="29" xr3:uid="{00000000-0010-0000-0900-00001D000000}" name="totale costi" dataDxfId="40">
      <calculatedColumnFormula>RigheOfferte[[#This Row],[altri costi]]+RigheOfferte[[#This Row],[costo industriale pz]]</calculatedColumnFormula>
    </tableColumn>
    <tableColumn id="30" xr3:uid="{00000000-0010-0000-0900-00001E000000}" name="Ricarico" dataDxfId="39">
      <calculatedColumnFormula>_xlfn.IFNA(INDEX(Ricarichi[],MATCH(YEAR(RigheOfferte[[#This Row],[data]])&amp;RigheOfferte[[#This Row],[Quadrimestre]],QuCostiLav,0),MATCH(RigheOfferte[[#This Row],[Lavorazione]],CodLavorazioni,0)),0)</calculatedColumnFormula>
    </tableColumn>
    <tableColumn id="31" xr3:uid="{00000000-0010-0000-0900-00001F000000}" name="Prezzo Di Vendita" dataDxfId="38">
      <calculatedColumnFormula>RigheOfferte[[#This Row],[totale costi]]+(RigheOfferte[[#This Row],[totale costi]]*RigheOfferte[[#This Row],[Ricarico]])</calculatedColumnFormula>
    </tableColumn>
    <tableColumn id="32" xr3:uid="{00000000-0010-0000-0900-000020000000}" name="TotaleOfferta" dataDxfId="37">
      <calculatedColumnFormula>RigheOfferte[[#This Row],[Prezzo Di Vendita]]*RigheOfferte[[#This Row],[Q.ta'']]</calculatedColumnFormula>
    </tableColumn>
    <tableColumn id="33" xr3:uid="{00000000-0010-0000-0900-000021000000}" name="prezzo Mq" dataDxfId="36">
      <calculatedColumnFormula>IFERROR(RigheOfferte[[#This Row],[Prezzo Di Vendita]]/RigheOfferte[[#This Row],[Superf.pz Mq]],0)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ella12" displayName="Tabella12" ref="A1:G22" totalsRowShown="0">
  <autoFilter ref="A1:G22" xr:uid="{00000000-0009-0000-0100-00000C000000}"/>
  <tableColumns count="7">
    <tableColumn id="1" xr3:uid="{00000000-0010-0000-0A00-000001000000}" name="Nr_prev"/>
    <tableColumn id="2" xr3:uid="{00000000-0010-0000-0A00-000002000000}" name="mese"/>
    <tableColumn id="3" xr3:uid="{00000000-0010-0000-0A00-000003000000}" name="data"/>
    <tableColumn id="4" xr3:uid="{00000000-0010-0000-0A00-000004000000}" name="Cliente"/>
    <tableColumn id="5" xr3:uid="{00000000-0010-0000-0A00-000005000000}" name="Sub_cliente"/>
    <tableColumn id="6" xr3:uid="{00000000-0010-0000-0A00-000006000000}" name="rif_archiviazione"/>
    <tableColumn id="7" xr3:uid="{00000000-0010-0000-0A00-000007000000}" name="ELABORATO DA 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PREV%20202602\3.037280.pdf" TargetMode="External"/><Relationship Id="rId2" Type="http://schemas.openxmlformats.org/officeDocument/2006/relationships/hyperlink" Target="PREV%20202602\3.037280.pdf" TargetMode="External"/><Relationship Id="rId1" Type="http://schemas.openxmlformats.org/officeDocument/2006/relationships/hyperlink" Target="../../2026/PREVENTIVI%202026/PREVENTIVI%202026%20DATI%20E%20PDF/PREV%20202602/560.0755.201%20mounting%20bracket%20valve%20group%20themoblock.pdf" TargetMode="External"/><Relationship Id="rId6" Type="http://schemas.openxmlformats.org/officeDocument/2006/relationships/table" Target="../tables/table10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PREV%20202602\3.037280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2.xml"/><Relationship Id="rId1" Type="http://schemas.openxmlformats.org/officeDocument/2006/relationships/hyperlink" Target="PREV%20202601\560.0755.201%20mounting%20bracket%20valve%20group%20themoblock.pdf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workbookViewId="0">
      <selection activeCell="M10" sqref="M10"/>
    </sheetView>
  </sheetViews>
  <sheetFormatPr defaultColWidth="9.109375" defaultRowHeight="14.4"/>
  <cols>
    <col min="1" max="1" width="11.44140625" customWidth="1"/>
    <col min="2" max="2" width="24.109375" customWidth="1"/>
    <col min="3" max="3" width="11.5546875" customWidth="1"/>
    <col min="4" max="4" width="8.5546875" customWidth="1"/>
    <col min="5" max="5" width="15.33203125" customWidth="1"/>
    <col min="6" max="6" width="14.109375" customWidth="1"/>
    <col min="7" max="7" width="16.33203125" customWidth="1"/>
    <col min="8" max="8" width="14.109375" customWidth="1"/>
    <col min="9" max="9" width="16.33203125" customWidth="1"/>
    <col min="10" max="10" width="14.109375" customWidth="1"/>
    <col min="12" max="12" width="17.77734375" bestFit="1" customWidth="1"/>
    <col min="13" max="15" width="2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s="44" t="s">
        <v>142</v>
      </c>
      <c r="F1" s="44" t="s">
        <v>143</v>
      </c>
      <c r="G1" s="44" t="s">
        <v>144</v>
      </c>
      <c r="H1" s="44" t="s">
        <v>145</v>
      </c>
      <c r="I1" s="44" t="s">
        <v>146</v>
      </c>
      <c r="J1" s="44" t="s">
        <v>147</v>
      </c>
      <c r="L1" s="45" t="s">
        <v>4</v>
      </c>
      <c r="M1" t="s">
        <v>148</v>
      </c>
      <c r="N1" t="s">
        <v>149</v>
      </c>
      <c r="O1" t="s">
        <v>150</v>
      </c>
    </row>
    <row r="2" spans="1:15">
      <c r="A2" t="s">
        <v>5</v>
      </c>
      <c r="B2" t="s">
        <v>6</v>
      </c>
      <c r="C2" t="s">
        <v>7</v>
      </c>
      <c r="D2">
        <v>95</v>
      </c>
      <c r="E2" s="32">
        <v>0.31</v>
      </c>
      <c r="F2" s="32">
        <f>D2*E2</f>
        <v>29.45</v>
      </c>
      <c r="G2" s="32">
        <v>0.31</v>
      </c>
      <c r="H2" s="32">
        <f>D2*G2</f>
        <v>29.45</v>
      </c>
      <c r="I2" s="32">
        <v>0.31</v>
      </c>
      <c r="J2" s="32">
        <f>D2*I2</f>
        <v>29.45</v>
      </c>
      <c r="L2" s="8" t="s">
        <v>5</v>
      </c>
      <c r="M2" s="32">
        <v>690.7</v>
      </c>
      <c r="N2" s="32">
        <v>690.7</v>
      </c>
      <c r="O2" s="32">
        <v>690.7</v>
      </c>
    </row>
    <row r="3" spans="1:15">
      <c r="A3" t="s">
        <v>5</v>
      </c>
      <c r="B3" t="s">
        <v>8</v>
      </c>
      <c r="C3" t="s">
        <v>9</v>
      </c>
      <c r="D3">
        <v>85</v>
      </c>
      <c r="E3" s="32">
        <v>0.85</v>
      </c>
      <c r="F3" s="32">
        <f t="shared" ref="F3:F9" si="0">D3*E3</f>
        <v>72.25</v>
      </c>
      <c r="G3" s="32">
        <v>0.85</v>
      </c>
      <c r="H3" s="32">
        <f t="shared" ref="H3:H9" si="1">D3*G3</f>
        <v>72.25</v>
      </c>
      <c r="I3" s="32">
        <v>0.85</v>
      </c>
      <c r="J3" s="32">
        <f t="shared" ref="J3:J8" si="2">D3*I3</f>
        <v>72.25</v>
      </c>
      <c r="L3" s="8" t="s">
        <v>10</v>
      </c>
      <c r="M3" s="32">
        <v>358.8</v>
      </c>
      <c r="N3" s="32">
        <v>358.8</v>
      </c>
      <c r="O3" s="32">
        <v>358.8</v>
      </c>
    </row>
    <row r="4" spans="1:15">
      <c r="A4" t="s">
        <v>5</v>
      </c>
      <c r="B4" t="s">
        <v>11</v>
      </c>
      <c r="C4" t="s">
        <v>12</v>
      </c>
      <c r="D4">
        <v>13</v>
      </c>
      <c r="E4" s="32">
        <v>27</v>
      </c>
      <c r="F4" s="32">
        <f t="shared" si="0"/>
        <v>351</v>
      </c>
      <c r="G4" s="32">
        <v>27</v>
      </c>
      <c r="H4" s="32">
        <f t="shared" si="1"/>
        <v>351</v>
      </c>
      <c r="I4" s="32">
        <v>27</v>
      </c>
      <c r="J4" s="32">
        <f t="shared" si="2"/>
        <v>351</v>
      </c>
      <c r="L4" s="8" t="s">
        <v>13</v>
      </c>
      <c r="M4" s="32">
        <v>459.4</v>
      </c>
      <c r="N4" s="32">
        <v>459.4</v>
      </c>
      <c r="O4" s="32">
        <v>459.4</v>
      </c>
    </row>
    <row r="5" spans="1:15">
      <c r="A5" t="s">
        <v>5</v>
      </c>
      <c r="B5" t="s">
        <v>14</v>
      </c>
      <c r="C5" t="s">
        <v>12</v>
      </c>
      <c r="D5">
        <v>1</v>
      </c>
      <c r="E5" s="32">
        <v>100</v>
      </c>
      <c r="F5" s="32">
        <f t="shared" si="0"/>
        <v>100</v>
      </c>
      <c r="G5" s="32">
        <v>100</v>
      </c>
      <c r="H5" s="32">
        <f t="shared" si="1"/>
        <v>100</v>
      </c>
      <c r="I5" s="32">
        <v>100</v>
      </c>
      <c r="J5" s="32">
        <f t="shared" si="2"/>
        <v>100</v>
      </c>
      <c r="L5" s="8" t="s">
        <v>15</v>
      </c>
      <c r="M5" s="32">
        <v>1508.9</v>
      </c>
      <c r="N5" s="32">
        <v>1508.9</v>
      </c>
      <c r="O5" s="32">
        <v>1508.9</v>
      </c>
    </row>
    <row r="6" spans="1:15">
      <c r="A6" t="s">
        <v>5</v>
      </c>
      <c r="B6" t="s">
        <v>16</v>
      </c>
      <c r="C6" t="s">
        <v>12</v>
      </c>
      <c r="D6">
        <v>1</v>
      </c>
      <c r="E6" s="32">
        <v>75</v>
      </c>
      <c r="F6" s="32">
        <f t="shared" si="0"/>
        <v>75</v>
      </c>
      <c r="G6" s="32">
        <v>75</v>
      </c>
      <c r="H6" s="32">
        <f t="shared" si="1"/>
        <v>75</v>
      </c>
      <c r="I6" s="32">
        <v>75</v>
      </c>
      <c r="J6" s="32">
        <f t="shared" si="2"/>
        <v>75</v>
      </c>
    </row>
    <row r="7" spans="1:15">
      <c r="A7" t="s">
        <v>5</v>
      </c>
      <c r="B7" t="s">
        <v>17</v>
      </c>
      <c r="C7" t="s">
        <v>12</v>
      </c>
      <c r="D7">
        <v>1</v>
      </c>
      <c r="E7" s="32">
        <v>28</v>
      </c>
      <c r="F7" s="32">
        <f t="shared" si="0"/>
        <v>28</v>
      </c>
      <c r="G7" s="32">
        <v>28</v>
      </c>
      <c r="H7" s="32">
        <f t="shared" si="1"/>
        <v>28</v>
      </c>
      <c r="I7" s="32">
        <v>28</v>
      </c>
      <c r="J7" s="32">
        <f t="shared" si="2"/>
        <v>28</v>
      </c>
    </row>
    <row r="8" spans="1:15">
      <c r="A8" t="s">
        <v>5</v>
      </c>
      <c r="B8" t="s">
        <v>18</v>
      </c>
      <c r="C8" t="s">
        <v>12</v>
      </c>
      <c r="D8">
        <v>1</v>
      </c>
      <c r="E8" s="32">
        <v>35</v>
      </c>
      <c r="F8" s="32">
        <f t="shared" si="0"/>
        <v>35</v>
      </c>
      <c r="G8" s="32">
        <v>35</v>
      </c>
      <c r="H8" s="32">
        <f t="shared" si="1"/>
        <v>35</v>
      </c>
      <c r="I8" s="32">
        <v>35</v>
      </c>
      <c r="J8" s="32">
        <f t="shared" si="2"/>
        <v>35</v>
      </c>
    </row>
    <row r="9" spans="1:15">
      <c r="A9" t="s">
        <v>10</v>
      </c>
      <c r="B9" t="s">
        <v>6</v>
      </c>
      <c r="C9" t="s">
        <v>7</v>
      </c>
      <c r="D9">
        <v>55</v>
      </c>
      <c r="E9" s="32">
        <v>0.31</v>
      </c>
      <c r="F9" s="32">
        <f t="shared" si="0"/>
        <v>17.05</v>
      </c>
      <c r="G9" s="32">
        <v>0.31</v>
      </c>
      <c r="H9" s="32">
        <f t="shared" si="1"/>
        <v>17.05</v>
      </c>
      <c r="I9" s="32">
        <v>0.31</v>
      </c>
      <c r="J9" s="32">
        <f>D9*I9</f>
        <v>17.05</v>
      </c>
    </row>
    <row r="10" spans="1:15">
      <c r="A10" t="s">
        <v>10</v>
      </c>
      <c r="B10" t="s">
        <v>8</v>
      </c>
      <c r="C10" t="s">
        <v>9</v>
      </c>
      <c r="D10">
        <v>55</v>
      </c>
      <c r="E10" s="32">
        <v>0.85</v>
      </c>
      <c r="F10" s="32">
        <f t="shared" ref="F10:F15" si="3">D10*E10</f>
        <v>46.75</v>
      </c>
      <c r="G10" s="32">
        <v>0.85</v>
      </c>
      <c r="H10" s="32">
        <f t="shared" ref="H10:H15" si="4">D10*G10</f>
        <v>46.75</v>
      </c>
      <c r="I10" s="32">
        <v>0.85</v>
      </c>
      <c r="J10" s="32">
        <f t="shared" ref="J10:J15" si="5">D10*I10</f>
        <v>46.75</v>
      </c>
    </row>
    <row r="11" spans="1:15">
      <c r="A11" t="s">
        <v>10</v>
      </c>
      <c r="B11" t="s">
        <v>11</v>
      </c>
      <c r="C11" t="s">
        <v>12</v>
      </c>
      <c r="D11">
        <v>5</v>
      </c>
      <c r="E11" s="32">
        <v>27</v>
      </c>
      <c r="F11" s="32">
        <f t="shared" si="3"/>
        <v>135</v>
      </c>
      <c r="G11" s="32">
        <v>27</v>
      </c>
      <c r="H11" s="32">
        <f t="shared" si="4"/>
        <v>135</v>
      </c>
      <c r="I11" s="32">
        <v>27</v>
      </c>
      <c r="J11" s="32">
        <f t="shared" si="5"/>
        <v>135</v>
      </c>
    </row>
    <row r="12" spans="1:15">
      <c r="A12" t="s">
        <v>10</v>
      </c>
      <c r="B12" t="s">
        <v>14</v>
      </c>
      <c r="C12" t="s">
        <v>12</v>
      </c>
      <c r="D12">
        <v>1</v>
      </c>
      <c r="E12" s="32">
        <v>55</v>
      </c>
      <c r="F12" s="32">
        <f t="shared" si="3"/>
        <v>55</v>
      </c>
      <c r="G12" s="32">
        <v>55</v>
      </c>
      <c r="H12" s="32">
        <f t="shared" si="4"/>
        <v>55</v>
      </c>
      <c r="I12" s="32">
        <v>55</v>
      </c>
      <c r="J12" s="32">
        <f t="shared" si="5"/>
        <v>55</v>
      </c>
    </row>
    <row r="13" spans="1:15">
      <c r="A13" t="s">
        <v>10</v>
      </c>
      <c r="B13" t="s">
        <v>16</v>
      </c>
      <c r="C13" t="s">
        <v>12</v>
      </c>
      <c r="D13">
        <v>1</v>
      </c>
      <c r="E13" s="32">
        <v>55</v>
      </c>
      <c r="F13" s="32">
        <f t="shared" si="3"/>
        <v>55</v>
      </c>
      <c r="G13" s="32">
        <v>55</v>
      </c>
      <c r="H13" s="32">
        <f t="shared" si="4"/>
        <v>55</v>
      </c>
      <c r="I13" s="32">
        <v>55</v>
      </c>
      <c r="J13" s="32">
        <f t="shared" si="5"/>
        <v>55</v>
      </c>
    </row>
    <row r="14" spans="1:15">
      <c r="A14" t="s">
        <v>10</v>
      </c>
      <c r="B14" t="s">
        <v>17</v>
      </c>
      <c r="C14" t="s">
        <v>12</v>
      </c>
      <c r="D14">
        <v>1</v>
      </c>
      <c r="E14" s="32">
        <v>15</v>
      </c>
      <c r="F14" s="32">
        <f t="shared" si="3"/>
        <v>15</v>
      </c>
      <c r="G14" s="32">
        <v>15</v>
      </c>
      <c r="H14" s="32">
        <f t="shared" si="4"/>
        <v>15</v>
      </c>
      <c r="I14" s="32">
        <v>15</v>
      </c>
      <c r="J14" s="32">
        <f t="shared" si="5"/>
        <v>15</v>
      </c>
    </row>
    <row r="15" spans="1:15">
      <c r="A15" t="s">
        <v>10</v>
      </c>
      <c r="B15" t="s">
        <v>18</v>
      </c>
      <c r="C15" t="s">
        <v>12</v>
      </c>
      <c r="D15">
        <v>1</v>
      </c>
      <c r="E15" s="32">
        <v>35</v>
      </c>
      <c r="F15" s="32">
        <f t="shared" si="3"/>
        <v>35</v>
      </c>
      <c r="G15" s="32">
        <v>35</v>
      </c>
      <c r="H15" s="32">
        <f t="shared" si="4"/>
        <v>35</v>
      </c>
      <c r="I15" s="32">
        <v>35</v>
      </c>
      <c r="J15" s="32">
        <f t="shared" si="5"/>
        <v>35</v>
      </c>
    </row>
    <row r="16" spans="1:15">
      <c r="A16" t="s">
        <v>13</v>
      </c>
      <c r="B16" t="s">
        <v>6</v>
      </c>
      <c r="C16" t="s">
        <v>7</v>
      </c>
      <c r="D16">
        <v>65</v>
      </c>
      <c r="E16" s="32">
        <v>0.31</v>
      </c>
      <c r="F16" s="32">
        <f t="shared" ref="F16:F22" si="6">D16*E16</f>
        <v>20.149999999999999</v>
      </c>
      <c r="G16" s="32">
        <v>0.31</v>
      </c>
      <c r="H16" s="32">
        <f t="shared" ref="H16:H22" si="7">D16*G16</f>
        <v>20.149999999999999</v>
      </c>
      <c r="I16" s="32">
        <v>0.31</v>
      </c>
      <c r="J16" s="32">
        <f t="shared" ref="J16:J22" si="8">D16*I16</f>
        <v>20.149999999999999</v>
      </c>
    </row>
    <row r="17" spans="1:10">
      <c r="A17" t="s">
        <v>13</v>
      </c>
      <c r="B17" t="s">
        <v>8</v>
      </c>
      <c r="C17" t="s">
        <v>9</v>
      </c>
      <c r="D17">
        <v>65</v>
      </c>
      <c r="E17" s="32">
        <v>0.85</v>
      </c>
      <c r="F17" s="32">
        <f t="shared" si="6"/>
        <v>55.25</v>
      </c>
      <c r="G17" s="32">
        <v>0.85</v>
      </c>
      <c r="H17" s="32">
        <f t="shared" si="7"/>
        <v>55.25</v>
      </c>
      <c r="I17" s="32">
        <v>0.85</v>
      </c>
      <c r="J17" s="32">
        <f t="shared" si="8"/>
        <v>55.25</v>
      </c>
    </row>
    <row r="18" spans="1:10">
      <c r="A18" t="s">
        <v>13</v>
      </c>
      <c r="B18" t="s">
        <v>11</v>
      </c>
      <c r="C18" t="s">
        <v>12</v>
      </c>
      <c r="D18">
        <v>6</v>
      </c>
      <c r="E18" s="32">
        <v>27</v>
      </c>
      <c r="F18" s="32">
        <f t="shared" si="6"/>
        <v>162</v>
      </c>
      <c r="G18" s="32">
        <v>27</v>
      </c>
      <c r="H18" s="32">
        <f t="shared" si="7"/>
        <v>162</v>
      </c>
      <c r="I18" s="32">
        <v>27</v>
      </c>
      <c r="J18" s="32">
        <f t="shared" si="8"/>
        <v>162</v>
      </c>
    </row>
    <row r="19" spans="1:10">
      <c r="A19" t="s">
        <v>13</v>
      </c>
      <c r="B19" t="s">
        <v>14</v>
      </c>
      <c r="C19" t="s">
        <v>12</v>
      </c>
      <c r="D19">
        <v>1</v>
      </c>
      <c r="E19" s="32">
        <v>100</v>
      </c>
      <c r="F19" s="32">
        <f t="shared" si="6"/>
        <v>100</v>
      </c>
      <c r="G19" s="32">
        <v>100</v>
      </c>
      <c r="H19" s="32">
        <f t="shared" si="7"/>
        <v>100</v>
      </c>
      <c r="I19" s="32">
        <v>100</v>
      </c>
      <c r="J19" s="32">
        <f t="shared" si="8"/>
        <v>100</v>
      </c>
    </row>
    <row r="20" spans="1:10">
      <c r="A20" t="s">
        <v>13</v>
      </c>
      <c r="B20" t="s">
        <v>16</v>
      </c>
      <c r="C20" t="s">
        <v>12</v>
      </c>
      <c r="D20">
        <v>1</v>
      </c>
      <c r="E20" s="32">
        <v>65</v>
      </c>
      <c r="F20" s="32">
        <f t="shared" si="6"/>
        <v>65</v>
      </c>
      <c r="G20" s="32">
        <v>65</v>
      </c>
      <c r="H20" s="32">
        <f t="shared" si="7"/>
        <v>65</v>
      </c>
      <c r="I20" s="32">
        <v>65</v>
      </c>
      <c r="J20" s="32">
        <f t="shared" si="8"/>
        <v>65</v>
      </c>
    </row>
    <row r="21" spans="1:10">
      <c r="A21" t="s">
        <v>13</v>
      </c>
      <c r="B21" t="s">
        <v>17</v>
      </c>
      <c r="C21" t="s">
        <v>12</v>
      </c>
      <c r="D21">
        <v>1</v>
      </c>
      <c r="E21" s="32">
        <v>22</v>
      </c>
      <c r="F21" s="32">
        <f t="shared" si="6"/>
        <v>22</v>
      </c>
      <c r="G21" s="32">
        <v>22</v>
      </c>
      <c r="H21" s="32">
        <f t="shared" si="7"/>
        <v>22</v>
      </c>
      <c r="I21" s="32">
        <v>22</v>
      </c>
      <c r="J21" s="32">
        <f t="shared" si="8"/>
        <v>22</v>
      </c>
    </row>
    <row r="22" spans="1:10">
      <c r="A22" t="s">
        <v>13</v>
      </c>
      <c r="B22" t="s">
        <v>18</v>
      </c>
      <c r="C22" t="s">
        <v>12</v>
      </c>
      <c r="D22">
        <v>1</v>
      </c>
      <c r="E22" s="32">
        <v>35</v>
      </c>
      <c r="F22" s="32">
        <f t="shared" si="6"/>
        <v>35</v>
      </c>
      <c r="G22" s="32">
        <v>35</v>
      </c>
      <c r="H22" s="32">
        <f t="shared" si="7"/>
        <v>35</v>
      </c>
      <c r="I22" s="32">
        <v>35</v>
      </c>
      <c r="J22" s="32">
        <f t="shared" si="8"/>
        <v>35</v>
      </c>
    </row>
  </sheetData>
  <pageMargins left="0.7" right="0.7" top="0.75" bottom="0.75" header="0.3" footer="0.3"/>
  <pageSetup paperSize="9" orientation="portrait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ColWidth="9" defaultRowHeight="14.4"/>
  <cols>
    <col min="1" max="1" width="21.109375" customWidth="1"/>
    <col min="2" max="2" width="12" customWidth="1"/>
  </cols>
  <sheetData>
    <row r="1" spans="1:2">
      <c r="A1" s="40" t="s">
        <v>19</v>
      </c>
      <c r="B1" s="40" t="s">
        <v>20</v>
      </c>
    </row>
    <row r="2" spans="1:2">
      <c r="A2" s="40" t="s">
        <v>21</v>
      </c>
      <c r="B2" s="40">
        <v>85</v>
      </c>
    </row>
    <row r="3" spans="1:2">
      <c r="A3" s="40" t="s">
        <v>22</v>
      </c>
      <c r="B3" s="40">
        <v>7.3529411764705896</v>
      </c>
    </row>
    <row r="4" spans="1:2">
      <c r="A4" s="40" t="s">
        <v>23</v>
      </c>
      <c r="B4" s="40">
        <v>0.15640000000000001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89013336588644"/>
  </sheetPr>
  <dimension ref="A1:M4"/>
  <sheetViews>
    <sheetView workbookViewId="0">
      <selection activeCell="P27" sqref="P27"/>
    </sheetView>
  </sheetViews>
  <sheetFormatPr defaultColWidth="9" defaultRowHeight="14.4"/>
  <cols>
    <col min="1" max="1" width="19" customWidth="1"/>
    <col min="2" max="4" width="16.44140625" customWidth="1"/>
    <col min="11" max="12" width="9.33203125" customWidth="1"/>
  </cols>
  <sheetData>
    <row r="1" spans="1:13">
      <c r="A1" t="s">
        <v>24</v>
      </c>
      <c r="B1" s="39" t="s">
        <v>5</v>
      </c>
      <c r="C1" s="39" t="s">
        <v>10</v>
      </c>
      <c r="D1" s="39" t="s">
        <v>13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>
      <c r="A2" s="46" t="s">
        <v>151</v>
      </c>
      <c r="B2" s="30">
        <v>690.7</v>
      </c>
      <c r="C2" s="30">
        <v>358.8</v>
      </c>
      <c r="D2" s="30">
        <v>459.4</v>
      </c>
      <c r="E2" s="30">
        <v>30</v>
      </c>
      <c r="F2" s="30">
        <v>60</v>
      </c>
      <c r="G2" s="30">
        <v>60</v>
      </c>
      <c r="H2" s="30">
        <v>30</v>
      </c>
      <c r="I2" s="30">
        <v>30</v>
      </c>
      <c r="J2" s="30">
        <v>60</v>
      </c>
      <c r="K2" s="30">
        <v>100</v>
      </c>
      <c r="L2" s="30">
        <v>793</v>
      </c>
      <c r="M2" s="30">
        <v>30</v>
      </c>
    </row>
    <row r="3" spans="1:13">
      <c r="A3" s="46" t="s">
        <v>152</v>
      </c>
      <c r="B3" s="30">
        <v>690.7</v>
      </c>
      <c r="C3" s="30">
        <v>358.8</v>
      </c>
      <c r="D3" s="30">
        <v>459.4</v>
      </c>
      <c r="E3" s="30">
        <v>30</v>
      </c>
      <c r="F3" s="30">
        <v>60</v>
      </c>
      <c r="G3" s="30">
        <v>60</v>
      </c>
      <c r="H3" s="30">
        <v>30</v>
      </c>
      <c r="I3" s="30">
        <v>30</v>
      </c>
      <c r="J3" s="30">
        <v>60</v>
      </c>
      <c r="K3" s="30">
        <v>100</v>
      </c>
      <c r="L3" s="30">
        <v>655</v>
      </c>
      <c r="M3" s="30">
        <v>30</v>
      </c>
    </row>
    <row r="4" spans="1:13">
      <c r="A4" s="46" t="s">
        <v>153</v>
      </c>
      <c r="B4" s="30">
        <v>690.7</v>
      </c>
      <c r="C4" s="30">
        <v>358.8</v>
      </c>
      <c r="D4" s="30">
        <v>459.4</v>
      </c>
      <c r="E4" s="30">
        <v>30</v>
      </c>
      <c r="F4" s="30">
        <v>60</v>
      </c>
      <c r="G4" s="30">
        <v>60</v>
      </c>
      <c r="H4" s="30">
        <v>30</v>
      </c>
      <c r="I4" s="30">
        <v>30</v>
      </c>
      <c r="J4" s="30">
        <v>65</v>
      </c>
      <c r="K4" s="30">
        <v>110</v>
      </c>
      <c r="L4" s="30">
        <v>687</v>
      </c>
      <c r="M4" s="30"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89013336588644"/>
  </sheetPr>
  <dimension ref="A1:B13"/>
  <sheetViews>
    <sheetView workbookViewId="0">
      <selection activeCell="B17" sqref="B17"/>
    </sheetView>
  </sheetViews>
  <sheetFormatPr defaultColWidth="9" defaultRowHeight="14.4"/>
  <cols>
    <col min="2" max="2" width="23.109375" customWidth="1"/>
  </cols>
  <sheetData>
    <row r="1" spans="1:2">
      <c r="A1" s="36" t="s">
        <v>34</v>
      </c>
      <c r="B1" s="36" t="s">
        <v>35</v>
      </c>
    </row>
    <row r="2" spans="1:2">
      <c r="A2" s="37" t="s">
        <v>5</v>
      </c>
      <c r="B2" s="38" t="s">
        <v>36</v>
      </c>
    </row>
    <row r="3" spans="1:2">
      <c r="A3" s="37" t="s">
        <v>10</v>
      </c>
      <c r="B3" s="38" t="s">
        <v>36</v>
      </c>
    </row>
    <row r="4" spans="1:2">
      <c r="A4" s="37" t="s">
        <v>13</v>
      </c>
      <c r="B4" s="38" t="s">
        <v>36</v>
      </c>
    </row>
    <row r="5" spans="1:2">
      <c r="A5" s="37" t="s">
        <v>25</v>
      </c>
      <c r="B5" s="38" t="s">
        <v>37</v>
      </c>
    </row>
    <row r="6" spans="1:2">
      <c r="A6" s="37" t="s">
        <v>26</v>
      </c>
      <c r="B6" s="38" t="s">
        <v>38</v>
      </c>
    </row>
    <row r="7" spans="1:2">
      <c r="A7" s="37" t="s">
        <v>27</v>
      </c>
      <c r="B7" s="38" t="s">
        <v>39</v>
      </c>
    </row>
    <row r="8" spans="1:2">
      <c r="A8" s="37" t="s">
        <v>28</v>
      </c>
      <c r="B8" s="38" t="s">
        <v>40</v>
      </c>
    </row>
    <row r="9" spans="1:2">
      <c r="A9" s="37" t="s">
        <v>29</v>
      </c>
      <c r="B9" s="38" t="s">
        <v>41</v>
      </c>
    </row>
    <row r="10" spans="1:2">
      <c r="A10" s="37" t="s">
        <v>30</v>
      </c>
      <c r="B10" s="38" t="s">
        <v>42</v>
      </c>
    </row>
    <row r="11" spans="1:2">
      <c r="A11" s="37" t="s">
        <v>43</v>
      </c>
      <c r="B11" s="38" t="s">
        <v>44</v>
      </c>
    </row>
    <row r="12" spans="1:2">
      <c r="A12" s="37" t="s">
        <v>33</v>
      </c>
      <c r="B12" s="38" t="s">
        <v>45</v>
      </c>
    </row>
    <row r="13" spans="1:2">
      <c r="A13" s="37" t="s">
        <v>32</v>
      </c>
      <c r="B13" s="38" t="s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89013336588644"/>
  </sheetPr>
  <dimension ref="A1:M4"/>
  <sheetViews>
    <sheetView workbookViewId="0">
      <selection activeCell="D5" sqref="D5"/>
    </sheetView>
  </sheetViews>
  <sheetFormatPr defaultColWidth="9" defaultRowHeight="14.4"/>
  <cols>
    <col min="1" max="1" width="15.109375" customWidth="1"/>
  </cols>
  <sheetData>
    <row r="1" spans="1:13">
      <c r="A1" t="s">
        <v>47</v>
      </c>
      <c r="B1" t="s">
        <v>5</v>
      </c>
      <c r="C1" t="s">
        <v>10</v>
      </c>
      <c r="D1" t="s">
        <v>13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33</v>
      </c>
      <c r="M1" t="s">
        <v>32</v>
      </c>
    </row>
    <row r="2" spans="1:13">
      <c r="A2">
        <v>202301</v>
      </c>
      <c r="B2" s="33">
        <v>0.38</v>
      </c>
      <c r="C2" s="33">
        <v>0.38</v>
      </c>
      <c r="D2" s="33">
        <v>0.38</v>
      </c>
      <c r="E2" s="33">
        <v>0.38</v>
      </c>
      <c r="F2" s="33">
        <v>0.38</v>
      </c>
      <c r="G2" s="34">
        <v>0.4</v>
      </c>
      <c r="H2" s="33">
        <v>0.38</v>
      </c>
      <c r="I2" s="33">
        <v>0.38</v>
      </c>
      <c r="J2" s="34">
        <v>0.45</v>
      </c>
      <c r="K2" s="34">
        <v>0.35</v>
      </c>
      <c r="L2" s="35">
        <v>0.4</v>
      </c>
      <c r="M2" s="35">
        <v>0.45</v>
      </c>
    </row>
    <row r="3" spans="1:13">
      <c r="A3">
        <v>202302</v>
      </c>
      <c r="B3" s="33">
        <v>0.38</v>
      </c>
      <c r="C3" s="33">
        <v>0.38</v>
      </c>
      <c r="D3" s="33">
        <v>0.25</v>
      </c>
      <c r="E3" s="33">
        <v>0.38</v>
      </c>
      <c r="F3" s="33">
        <v>0.38</v>
      </c>
      <c r="G3" s="34">
        <v>0.4</v>
      </c>
      <c r="H3" s="33">
        <v>0.38</v>
      </c>
      <c r="I3" s="33">
        <v>0.38</v>
      </c>
      <c r="J3" s="34">
        <v>0.45</v>
      </c>
      <c r="K3" s="34">
        <v>0.35</v>
      </c>
      <c r="L3" s="35">
        <v>0.4</v>
      </c>
      <c r="M3" s="35">
        <v>0.45</v>
      </c>
    </row>
    <row r="4" spans="1:13">
      <c r="A4">
        <v>202303</v>
      </c>
      <c r="B4" s="33">
        <v>0.38</v>
      </c>
      <c r="C4" s="33">
        <v>0.38</v>
      </c>
      <c r="D4" s="33">
        <v>0.25</v>
      </c>
      <c r="E4" s="33">
        <v>0.38</v>
      </c>
      <c r="F4" s="33">
        <v>0.38</v>
      </c>
      <c r="G4" s="34">
        <v>0.4</v>
      </c>
      <c r="H4" s="33">
        <v>0.38</v>
      </c>
      <c r="I4" s="33">
        <v>0.38</v>
      </c>
      <c r="J4" s="34">
        <v>0.45</v>
      </c>
      <c r="K4" s="33">
        <v>0.38</v>
      </c>
      <c r="L4" s="35">
        <v>0.4</v>
      </c>
      <c r="M4" s="35">
        <v>0.45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89013336588644"/>
  </sheetPr>
  <dimension ref="A1:C6"/>
  <sheetViews>
    <sheetView workbookViewId="0">
      <selection activeCell="I13" sqref="I13"/>
    </sheetView>
  </sheetViews>
  <sheetFormatPr defaultColWidth="9" defaultRowHeight="14.4"/>
  <cols>
    <col min="1" max="1" width="12.33203125" customWidth="1"/>
    <col min="2" max="2" width="16.109375" customWidth="1"/>
    <col min="3" max="3" width="10.44140625" customWidth="1"/>
  </cols>
  <sheetData>
    <row r="1" spans="1:3">
      <c r="A1" t="s">
        <v>48</v>
      </c>
      <c r="B1" t="s">
        <v>49</v>
      </c>
      <c r="C1" t="s">
        <v>50</v>
      </c>
    </row>
    <row r="2" spans="1:3">
      <c r="A2" t="s">
        <v>51</v>
      </c>
      <c r="B2" t="s">
        <v>52</v>
      </c>
      <c r="C2">
        <v>0.25</v>
      </c>
    </row>
    <row r="3" spans="1:3">
      <c r="A3" t="s">
        <v>53</v>
      </c>
      <c r="B3" t="s">
        <v>54</v>
      </c>
      <c r="C3">
        <v>1</v>
      </c>
    </row>
    <row r="4" spans="1:3">
      <c r="A4" t="s">
        <v>55</v>
      </c>
      <c r="B4" t="s">
        <v>56</v>
      </c>
      <c r="C4">
        <v>1.5</v>
      </c>
    </row>
    <row r="5" spans="1:3">
      <c r="A5" t="s">
        <v>57</v>
      </c>
      <c r="B5" t="s">
        <v>58</v>
      </c>
      <c r="C5">
        <v>2</v>
      </c>
    </row>
    <row r="6" spans="1:3">
      <c r="A6" t="s">
        <v>59</v>
      </c>
      <c r="B6" t="s">
        <v>60</v>
      </c>
      <c r="C6">
        <v>2.5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79989013336588644"/>
  </sheetPr>
  <dimension ref="A1:B11"/>
  <sheetViews>
    <sheetView workbookViewId="0">
      <selection activeCell="B11" sqref="B11"/>
    </sheetView>
  </sheetViews>
  <sheetFormatPr defaultColWidth="9" defaultRowHeight="14.4"/>
  <cols>
    <col min="1" max="1" width="16.44140625" customWidth="1"/>
    <col min="2" max="2" width="18" customWidth="1"/>
  </cols>
  <sheetData>
    <row r="1" spans="1:2">
      <c r="A1" t="s">
        <v>61</v>
      </c>
      <c r="B1" t="s">
        <v>62</v>
      </c>
    </row>
    <row r="2" spans="1:2">
      <c r="A2" t="s">
        <v>63</v>
      </c>
      <c r="B2" s="31">
        <v>0.18</v>
      </c>
    </row>
    <row r="3" spans="1:2">
      <c r="A3" t="s">
        <v>64</v>
      </c>
      <c r="B3" s="31">
        <v>0.18</v>
      </c>
    </row>
    <row r="4" spans="1:2">
      <c r="A4" t="s">
        <v>65</v>
      </c>
      <c r="B4" s="31">
        <v>0.15</v>
      </c>
    </row>
    <row r="5" spans="1:2">
      <c r="A5" t="s">
        <v>66</v>
      </c>
      <c r="B5" s="31">
        <v>0.15</v>
      </c>
    </row>
    <row r="6" spans="1:2">
      <c r="A6" t="s">
        <v>67</v>
      </c>
      <c r="B6" s="31">
        <v>1</v>
      </c>
    </row>
    <row r="7" spans="1:2">
      <c r="A7" t="s">
        <v>68</v>
      </c>
      <c r="B7" s="31">
        <v>0.3</v>
      </c>
    </row>
    <row r="8" spans="1:2">
      <c r="A8" t="s">
        <v>69</v>
      </c>
      <c r="B8" s="32">
        <v>0.3</v>
      </c>
    </row>
    <row r="9" spans="1:2">
      <c r="A9" t="s">
        <v>70</v>
      </c>
      <c r="B9" s="32">
        <v>0.25</v>
      </c>
    </row>
    <row r="10" spans="1:2">
      <c r="A10" t="s">
        <v>71</v>
      </c>
      <c r="B10" s="32">
        <v>0.25</v>
      </c>
    </row>
    <row r="11" spans="1:2">
      <c r="A11" t="s">
        <v>72</v>
      </c>
      <c r="B11" s="32">
        <v>1.8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79989013336588644"/>
  </sheetPr>
  <dimension ref="A1:B8"/>
  <sheetViews>
    <sheetView workbookViewId="0">
      <selection activeCell="B8" sqref="B8"/>
    </sheetView>
  </sheetViews>
  <sheetFormatPr defaultColWidth="9" defaultRowHeight="14.4"/>
  <cols>
    <col min="1" max="2" width="19.33203125" customWidth="1"/>
  </cols>
  <sheetData>
    <row r="1" spans="1:2">
      <c r="A1" s="29" t="s">
        <v>73</v>
      </c>
      <c r="B1" s="29" t="s">
        <v>74</v>
      </c>
    </row>
    <row r="2" spans="1:2">
      <c r="A2" s="41" t="s">
        <v>75</v>
      </c>
      <c r="B2" s="30">
        <v>80</v>
      </c>
    </row>
    <row r="3" spans="1:2">
      <c r="A3" s="41" t="s">
        <v>76</v>
      </c>
      <c r="B3" s="30">
        <v>65</v>
      </c>
    </row>
    <row r="4" spans="1:2">
      <c r="A4" s="41" t="s">
        <v>77</v>
      </c>
      <c r="B4" s="30">
        <v>50</v>
      </c>
    </row>
    <row r="5" spans="1:2">
      <c r="A5" t="s">
        <v>78</v>
      </c>
      <c r="B5" s="30">
        <v>40</v>
      </c>
    </row>
    <row r="6" spans="1:2">
      <c r="A6" t="s">
        <v>79</v>
      </c>
      <c r="B6" s="30">
        <v>30</v>
      </c>
    </row>
    <row r="7" spans="1:2">
      <c r="A7" t="s">
        <v>80</v>
      </c>
      <c r="B7" s="30">
        <v>10</v>
      </c>
    </row>
    <row r="8" spans="1:2">
      <c r="A8" t="s">
        <v>43</v>
      </c>
      <c r="B8" s="30">
        <v>80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42"/>
  <sheetViews>
    <sheetView topLeftCell="E127" workbookViewId="0">
      <selection activeCell="I148" sqref="I148"/>
    </sheetView>
  </sheetViews>
  <sheetFormatPr defaultColWidth="9" defaultRowHeight="14.4"/>
  <cols>
    <col min="1" max="1" width="15.5546875" customWidth="1"/>
    <col min="2" max="2" width="2.88671875" customWidth="1"/>
    <col min="3" max="3" width="9.5546875" customWidth="1"/>
    <col min="4" max="4" width="8.33203125" customWidth="1"/>
    <col min="5" max="5" width="13" customWidth="1"/>
    <col min="6" max="6" width="42" customWidth="1"/>
    <col min="7" max="7" width="7" customWidth="1"/>
    <col min="9" max="9" width="3.5546875" customWidth="1"/>
    <col min="10" max="10" width="10.44140625" customWidth="1"/>
    <col min="11" max="11" width="12.5546875" customWidth="1"/>
    <col min="13" max="13" width="16" customWidth="1"/>
    <col min="14" max="14" width="14.44140625" customWidth="1"/>
    <col min="15" max="15" width="10.44140625" customWidth="1"/>
    <col min="16" max="16" width="23.33203125" customWidth="1"/>
    <col min="17" max="17" width="11.44140625" customWidth="1"/>
  </cols>
  <sheetData>
    <row r="1" spans="1:18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47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</row>
    <row r="2" spans="1:18">
      <c r="A2">
        <f>RigheOfferte[[#This Row],[Nprev]]</f>
        <v>202601</v>
      </c>
      <c r="B2">
        <f>RigheOfferte[[#This Row],[Nriga]]</f>
        <v>1</v>
      </c>
      <c r="C2" t="str">
        <f>RigheOfferte[[#This Row],[Cliente]]</f>
        <v>VERONA LAMIERE</v>
      </c>
      <c r="D2" t="str">
        <f>RigheOfferte[[#This Row],[sub_cliente]]</f>
        <v>FRANKE</v>
      </c>
      <c r="E2">
        <f>RigheOfferte[[#This Row],[cod.Art.]]</f>
        <v>5600755201</v>
      </c>
      <c r="F2" t="str">
        <f>RigheOfferte[[#This Row],[Descrizione]]</f>
        <v>Mounting bracket valve group thermoblock</v>
      </c>
      <c r="G2">
        <f>RigheOfferte[[#This Row],[Q.ta'']]</f>
        <v>1000</v>
      </c>
      <c r="H2" t="str">
        <f>RigheOfferte[[#This Row],[Lavorazione]]</f>
        <v>L1</v>
      </c>
      <c r="I2" t="str">
        <f>RigheOfferte[[#This Row],[Colore]]</f>
        <v>P90005XLOP</v>
      </c>
      <c r="J2">
        <f>RigheOfferte[[#This Row],[Velocità]]</f>
        <v>2</v>
      </c>
      <c r="K2">
        <f>RigheOfferte[[#This Row],[Superf.pz Mq]]</f>
        <v>5.7000000000000002E-2</v>
      </c>
      <c r="L2">
        <f>RigheOfferte[[#This Row],[passo]]</f>
        <v>0.8</v>
      </c>
      <c r="M2">
        <f>RigheOfferte[[#This Row],[nr.pezzi Telaio]]</f>
        <v>16</v>
      </c>
      <c r="N2">
        <f>RigheOfferte[[#This Row],[nr.pezzi ora-unita]]</f>
        <v>2400</v>
      </c>
      <c r="O2">
        <f>Tabella1[[#This Row],[superificie]]*Resa</f>
        <v>8.9148000000000005E-3</v>
      </c>
      <c r="P2">
        <f>Tabella1[[#This Row],[KgPezzo]]*Tabella1[[#This Row],[q.ta offerta]]</f>
        <v>8.9147999999999996</v>
      </c>
      <c r="Q2">
        <f>RigheOfferte[[#This Row],[QtaProtez]]</f>
        <v>0</v>
      </c>
      <c r="R2">
        <f>RigheOfferte[[#This Row],[Tipo Protezione]]</f>
        <v>0</v>
      </c>
    </row>
    <row r="3" spans="1:18">
      <c r="A3">
        <f>RigheOfferte[[#This Row],[Nprev]]</f>
        <v>202602</v>
      </c>
      <c r="B3">
        <f>RigheOfferte[[#This Row],[Nriga]]</f>
        <v>1</v>
      </c>
      <c r="C3" t="str">
        <f>RigheOfferte[[#This Row],[Cliente]]</f>
        <v>IMMERGAS</v>
      </c>
      <c r="D3" t="str">
        <f>RigheOfferte[[#This Row],[sub_cliente]]</f>
        <v>IMMERGAS</v>
      </c>
      <c r="E3">
        <f>RigheOfferte[[#This Row],[cod.Art.]]</f>
        <v>3037280</v>
      </c>
      <c r="F3" t="str">
        <f>RigheOfferte[[#This Row],[Descrizione]]</f>
        <v>GR. FIANCO MANTELLO SX V. ZEUS SUP</v>
      </c>
      <c r="G3">
        <f>RigheOfferte[[#This Row],[Q.ta'']]</f>
        <v>2000</v>
      </c>
      <c r="H3" t="str">
        <f>RigheOfferte[[#This Row],[Lavorazione]]</f>
        <v>L1</v>
      </c>
      <c r="I3" t="str">
        <f>RigheOfferte[[#This Row],[Colore]]</f>
        <v>PS068</v>
      </c>
      <c r="J3">
        <f>RigheOfferte[[#This Row],[Velocità]]</f>
        <v>2</v>
      </c>
      <c r="K3">
        <f>RigheOfferte[[#This Row],[Superf.pz Mq]]</f>
        <v>0.72099999999999997</v>
      </c>
      <c r="L3">
        <f>RigheOfferte[[#This Row],[passo]]</f>
        <v>1.2</v>
      </c>
      <c r="M3">
        <f>RigheOfferte[[#This Row],[nr.pezzi Telaio]]</f>
        <v>5</v>
      </c>
      <c r="N3">
        <f>RigheOfferte[[#This Row],[nr.pezzi ora-unita]]</f>
        <v>500</v>
      </c>
      <c r="O3">
        <f>Tabella1[[#This Row],[superificie]]*Resa</f>
        <v>0.1127644</v>
      </c>
      <c r="P3">
        <f>Tabella1[[#This Row],[KgPezzo]]*Tabella1[[#This Row],[q.ta offerta]]</f>
        <v>225.52879999999999</v>
      </c>
      <c r="Q3">
        <f>RigheOfferte[[#This Row],[QtaProtez]]</f>
        <v>0</v>
      </c>
      <c r="R3">
        <f>RigheOfferte[[#This Row],[Tipo Protezione]]</f>
        <v>0</v>
      </c>
    </row>
    <row r="4" spans="1:18">
      <c r="A4">
        <f>RigheOfferte[[#This Row],[Nprev]]</f>
        <v>202602</v>
      </c>
      <c r="B4">
        <f>RigheOfferte[[#This Row],[Nriga]]</f>
        <v>2</v>
      </c>
      <c r="C4" t="str">
        <f>RigheOfferte[[#This Row],[Cliente]]</f>
        <v>IMMERGAS</v>
      </c>
      <c r="D4" t="str">
        <f>RigheOfferte[[#This Row],[sub_cliente]]</f>
        <v>IMMERGAS</v>
      </c>
      <c r="E4">
        <f>RigheOfferte[[#This Row],[cod.Art.]]</f>
        <v>3037280</v>
      </c>
      <c r="F4" t="str">
        <f>RigheOfferte[[#This Row],[Descrizione]]</f>
        <v>GR. FIANCO MANTELLO SX V. ZEUS SUP</v>
      </c>
      <c r="G4">
        <f>RigheOfferte[[#This Row],[Q.ta'']]</f>
        <v>2000</v>
      </c>
      <c r="H4" t="str">
        <f>RigheOfferte[[#This Row],[Lavorazione]]</f>
        <v>MON</v>
      </c>
      <c r="I4">
        <f>RigheOfferte[[#This Row],[Colore]]</f>
        <v>0</v>
      </c>
      <c r="J4">
        <f>RigheOfferte[[#This Row],[Velocità]]</f>
        <v>0</v>
      </c>
      <c r="K4">
        <f>RigheOfferte[[#This Row],[Superf.pz Mq]]</f>
        <v>0</v>
      </c>
      <c r="L4">
        <f>RigheOfferte[[#This Row],[passo]]</f>
        <v>0</v>
      </c>
      <c r="M4">
        <f>RigheOfferte[[#This Row],[nr.pezzi Telaio]]</f>
        <v>0</v>
      </c>
      <c r="N4">
        <f>RigheOfferte[[#This Row],[nr.pezzi ora-unita]]</f>
        <v>0</v>
      </c>
      <c r="O4">
        <f>Tabella1[[#This Row],[superificie]]*Resa</f>
        <v>0</v>
      </c>
      <c r="P4">
        <f>Tabella1[[#This Row],[KgPezzo]]*Tabella1[[#This Row],[q.ta offerta]]</f>
        <v>0</v>
      </c>
      <c r="Q4">
        <f>RigheOfferte[[#This Row],[QtaProtez]]</f>
        <v>0</v>
      </c>
      <c r="R4">
        <f>RigheOfferte[[#This Row],[Tipo Protezione]]</f>
        <v>0</v>
      </c>
    </row>
    <row r="5" spans="1:18">
      <c r="A5">
        <f>RigheOfferte[[#This Row],[Nprev]]</f>
        <v>202602</v>
      </c>
      <c r="B5">
        <f>RigheOfferte[[#This Row],[Nriga]]</f>
        <v>3</v>
      </c>
      <c r="C5" t="str">
        <f>RigheOfferte[[#This Row],[Cliente]]</f>
        <v>IMMERGAS</v>
      </c>
      <c r="D5" t="str">
        <f>RigheOfferte[[#This Row],[sub_cliente]]</f>
        <v>IMMERGAS</v>
      </c>
      <c r="E5">
        <f>RigheOfferte[[#This Row],[cod.Art.]]</f>
        <v>3037280</v>
      </c>
      <c r="F5" t="str">
        <f>RigheOfferte[[#This Row],[Descrizione]]</f>
        <v>GR. FIANCO MANTELLO SX V. ZEUS SUP</v>
      </c>
      <c r="G5">
        <f>RigheOfferte[[#This Row],[Q.ta'']]</f>
        <v>2000</v>
      </c>
      <c r="H5" t="str">
        <f>RigheOfferte[[#This Row],[Lavorazione]]</f>
        <v>IMB</v>
      </c>
      <c r="I5">
        <f>RigheOfferte[[#This Row],[Colore]]</f>
        <v>0</v>
      </c>
      <c r="J5">
        <f>RigheOfferte[[#This Row],[Velocità]]</f>
        <v>0</v>
      </c>
      <c r="K5">
        <f>RigheOfferte[[#This Row],[Superf.pz Mq]]</f>
        <v>0</v>
      </c>
      <c r="L5">
        <f>RigheOfferte[[#This Row],[passo]]</f>
        <v>0</v>
      </c>
      <c r="M5">
        <f>RigheOfferte[[#This Row],[nr.pezzi Telaio]]</f>
        <v>0</v>
      </c>
      <c r="N5">
        <f>RigheOfferte[[#This Row],[nr.pezzi ora-unita]]</f>
        <v>0</v>
      </c>
      <c r="O5">
        <f>Tabella1[[#This Row],[superificie]]*Resa</f>
        <v>0</v>
      </c>
      <c r="P5">
        <f>Tabella1[[#This Row],[KgPezzo]]*Tabella1[[#This Row],[q.ta offerta]]</f>
        <v>0</v>
      </c>
      <c r="Q5">
        <f>RigheOfferte[[#This Row],[QtaProtez]]</f>
        <v>0</v>
      </c>
      <c r="R5">
        <f>RigheOfferte[[#This Row],[Tipo Protezione]]</f>
        <v>0</v>
      </c>
    </row>
    <row r="6" spans="1:18">
      <c r="A6">
        <f>RigheOfferte[[#This Row],[Nprev]]</f>
        <v>0</v>
      </c>
      <c r="B6">
        <f>RigheOfferte[[#This Row],[Nriga]]</f>
        <v>0</v>
      </c>
      <c r="C6">
        <f>RigheOfferte[[#This Row],[Cliente]]</f>
        <v>0</v>
      </c>
      <c r="D6">
        <f>RigheOfferte[[#This Row],[sub_cliente]]</f>
        <v>0</v>
      </c>
      <c r="E6">
        <f>RigheOfferte[[#This Row],[cod.Art.]]</f>
        <v>0</v>
      </c>
      <c r="F6">
        <f>RigheOfferte[[#This Row],[Descrizione]]</f>
        <v>0</v>
      </c>
      <c r="G6">
        <f>RigheOfferte[[#This Row],[Q.ta'']]</f>
        <v>0</v>
      </c>
      <c r="H6">
        <f>RigheOfferte[[#This Row],[Lavorazione]]</f>
        <v>0</v>
      </c>
      <c r="I6">
        <f>RigheOfferte[[#This Row],[Colore]]</f>
        <v>0</v>
      </c>
      <c r="J6">
        <f>RigheOfferte[[#This Row],[Velocità]]</f>
        <v>0</v>
      </c>
      <c r="K6">
        <f>RigheOfferte[[#This Row],[Superf.pz Mq]]</f>
        <v>0</v>
      </c>
      <c r="L6">
        <f>RigheOfferte[[#This Row],[passo]]</f>
        <v>0</v>
      </c>
      <c r="M6">
        <f>RigheOfferte[[#This Row],[nr.pezzi Telaio]]</f>
        <v>0</v>
      </c>
      <c r="N6">
        <f>RigheOfferte[[#This Row],[nr.pezzi ora-unita]]</f>
        <v>0</v>
      </c>
      <c r="O6">
        <f>Tabella1[[#This Row],[superificie]]*Resa</f>
        <v>0</v>
      </c>
      <c r="P6">
        <f>Tabella1[[#This Row],[KgPezzo]]*Tabella1[[#This Row],[q.ta offerta]]</f>
        <v>0</v>
      </c>
      <c r="Q6">
        <f>RigheOfferte[[#This Row],[QtaProtez]]</f>
        <v>0</v>
      </c>
      <c r="R6">
        <f>RigheOfferte[[#This Row],[Tipo Protezione]]</f>
        <v>0</v>
      </c>
    </row>
    <row r="7" spans="1:18">
      <c r="A7">
        <f>RigheOfferte[[#This Row],[Nprev]]</f>
        <v>0</v>
      </c>
      <c r="B7">
        <f>RigheOfferte[[#This Row],[Nriga]]</f>
        <v>0</v>
      </c>
      <c r="C7">
        <f>RigheOfferte[[#This Row],[Cliente]]</f>
        <v>0</v>
      </c>
      <c r="D7">
        <f>RigheOfferte[[#This Row],[sub_cliente]]</f>
        <v>0</v>
      </c>
      <c r="E7">
        <f>RigheOfferte[[#This Row],[cod.Art.]]</f>
        <v>0</v>
      </c>
      <c r="F7">
        <f>RigheOfferte[[#This Row],[Descrizione]]</f>
        <v>0</v>
      </c>
      <c r="G7">
        <f>RigheOfferte[[#This Row],[Q.ta'']]</f>
        <v>0</v>
      </c>
      <c r="H7">
        <f>RigheOfferte[[#This Row],[Lavorazione]]</f>
        <v>0</v>
      </c>
      <c r="I7">
        <f>RigheOfferte[[#This Row],[Colore]]</f>
        <v>0</v>
      </c>
      <c r="J7">
        <f>RigheOfferte[[#This Row],[Velocità]]</f>
        <v>0</v>
      </c>
      <c r="K7">
        <f>RigheOfferte[[#This Row],[Superf.pz Mq]]</f>
        <v>0</v>
      </c>
      <c r="L7">
        <f>RigheOfferte[[#This Row],[passo]]</f>
        <v>0</v>
      </c>
      <c r="M7">
        <f>RigheOfferte[[#This Row],[nr.pezzi Telaio]]</f>
        <v>0</v>
      </c>
      <c r="N7">
        <f>RigheOfferte[[#This Row],[nr.pezzi ora-unita]]</f>
        <v>0</v>
      </c>
      <c r="O7">
        <f>Tabella1[[#This Row],[superificie]]*Resa</f>
        <v>0</v>
      </c>
      <c r="P7">
        <f>Tabella1[[#This Row],[KgPezzo]]*Tabella1[[#This Row],[q.ta offerta]]</f>
        <v>0</v>
      </c>
      <c r="Q7">
        <f>RigheOfferte[[#This Row],[QtaProtez]]</f>
        <v>0</v>
      </c>
      <c r="R7">
        <f>RigheOfferte[[#This Row],[Tipo Protezione]]</f>
        <v>0</v>
      </c>
    </row>
    <row r="8" spans="1:18">
      <c r="A8">
        <f>RigheOfferte[[#This Row],[Nprev]]</f>
        <v>0</v>
      </c>
      <c r="B8">
        <f>RigheOfferte[[#This Row],[Nriga]]</f>
        <v>0</v>
      </c>
      <c r="C8">
        <f>RigheOfferte[[#This Row],[Cliente]]</f>
        <v>0</v>
      </c>
      <c r="D8">
        <f>RigheOfferte[[#This Row],[sub_cliente]]</f>
        <v>0</v>
      </c>
      <c r="E8">
        <f>RigheOfferte[[#This Row],[cod.Art.]]</f>
        <v>0</v>
      </c>
      <c r="F8">
        <f>RigheOfferte[[#This Row],[Descrizione]]</f>
        <v>0</v>
      </c>
      <c r="G8">
        <f>RigheOfferte[[#This Row],[Q.ta'']]</f>
        <v>0</v>
      </c>
      <c r="H8">
        <f>RigheOfferte[[#This Row],[Lavorazione]]</f>
        <v>0</v>
      </c>
      <c r="I8">
        <f>RigheOfferte[[#This Row],[Colore]]</f>
        <v>0</v>
      </c>
      <c r="J8">
        <f>RigheOfferte[[#This Row],[Velocità]]</f>
        <v>0</v>
      </c>
      <c r="K8">
        <f>RigheOfferte[[#This Row],[Superf.pz Mq]]</f>
        <v>0</v>
      </c>
      <c r="L8">
        <f>RigheOfferte[[#This Row],[passo]]</f>
        <v>0</v>
      </c>
      <c r="M8">
        <f>RigheOfferte[[#This Row],[nr.pezzi Telaio]]</f>
        <v>0</v>
      </c>
      <c r="N8">
        <f>RigheOfferte[[#This Row],[nr.pezzi ora-unita]]</f>
        <v>0</v>
      </c>
      <c r="O8">
        <f>Tabella1[[#This Row],[superificie]]*Resa</f>
        <v>0</v>
      </c>
      <c r="P8">
        <f>Tabella1[[#This Row],[KgPezzo]]*Tabella1[[#This Row],[q.ta offerta]]</f>
        <v>0</v>
      </c>
      <c r="Q8">
        <f>RigheOfferte[[#This Row],[QtaProtez]]</f>
        <v>0</v>
      </c>
      <c r="R8">
        <f>RigheOfferte[[#This Row],[Tipo Protezione]]</f>
        <v>0</v>
      </c>
    </row>
    <row r="9" spans="1:18">
      <c r="A9">
        <f>RigheOfferte[[#This Row],[Nprev]]</f>
        <v>0</v>
      </c>
      <c r="B9">
        <f>RigheOfferte[[#This Row],[Nriga]]</f>
        <v>0</v>
      </c>
      <c r="C9">
        <f>RigheOfferte[[#This Row],[Cliente]]</f>
        <v>0</v>
      </c>
      <c r="D9">
        <f>RigheOfferte[[#This Row],[sub_cliente]]</f>
        <v>0</v>
      </c>
      <c r="E9">
        <f>RigheOfferte[[#This Row],[cod.Art.]]</f>
        <v>0</v>
      </c>
      <c r="F9">
        <f>RigheOfferte[[#This Row],[Descrizione]]</f>
        <v>0</v>
      </c>
      <c r="G9">
        <f>RigheOfferte[[#This Row],[Q.ta'']]</f>
        <v>0</v>
      </c>
      <c r="H9">
        <f>RigheOfferte[[#This Row],[Lavorazione]]</f>
        <v>0</v>
      </c>
      <c r="I9">
        <f>RigheOfferte[[#This Row],[Colore]]</f>
        <v>0</v>
      </c>
      <c r="J9">
        <f>RigheOfferte[[#This Row],[Velocità]]</f>
        <v>0</v>
      </c>
      <c r="K9">
        <f>RigheOfferte[[#This Row],[Superf.pz Mq]]</f>
        <v>0</v>
      </c>
      <c r="L9">
        <f>RigheOfferte[[#This Row],[passo]]</f>
        <v>0</v>
      </c>
      <c r="M9">
        <f>RigheOfferte[[#This Row],[nr.pezzi Telaio]]</f>
        <v>0</v>
      </c>
      <c r="N9">
        <f>RigheOfferte[[#This Row],[nr.pezzi ora-unita]]</f>
        <v>0</v>
      </c>
      <c r="O9">
        <f>Tabella1[[#This Row],[superificie]]*Resa</f>
        <v>0</v>
      </c>
      <c r="P9">
        <f>Tabella1[[#This Row],[KgPezzo]]*Tabella1[[#This Row],[q.ta offerta]]</f>
        <v>0</v>
      </c>
      <c r="Q9">
        <f>RigheOfferte[[#This Row],[QtaProtez]]</f>
        <v>0</v>
      </c>
      <c r="R9">
        <f>RigheOfferte[[#This Row],[Tipo Protezione]]</f>
        <v>0</v>
      </c>
    </row>
    <row r="10" spans="1:18">
      <c r="A10">
        <f>RigheOfferte[[#This Row],[Nprev]]</f>
        <v>0</v>
      </c>
      <c r="B10">
        <f>RigheOfferte[[#This Row],[Nriga]]</f>
        <v>0</v>
      </c>
      <c r="C10">
        <f>RigheOfferte[[#This Row],[Cliente]]</f>
        <v>0</v>
      </c>
      <c r="D10">
        <f>RigheOfferte[[#This Row],[sub_cliente]]</f>
        <v>0</v>
      </c>
      <c r="E10">
        <f>RigheOfferte[[#This Row],[cod.Art.]]</f>
        <v>0</v>
      </c>
      <c r="F10">
        <f>RigheOfferte[[#This Row],[Descrizione]]</f>
        <v>0</v>
      </c>
      <c r="G10">
        <f>RigheOfferte[[#This Row],[Q.ta'']]</f>
        <v>0</v>
      </c>
      <c r="H10">
        <f>RigheOfferte[[#This Row],[Lavorazione]]</f>
        <v>0</v>
      </c>
      <c r="I10">
        <f>RigheOfferte[[#This Row],[Colore]]</f>
        <v>0</v>
      </c>
      <c r="J10">
        <f>RigheOfferte[[#This Row],[Velocità]]</f>
        <v>0</v>
      </c>
      <c r="K10">
        <f>RigheOfferte[[#This Row],[Superf.pz Mq]]</f>
        <v>0</v>
      </c>
      <c r="L10">
        <f>RigheOfferte[[#This Row],[passo]]</f>
        <v>0</v>
      </c>
      <c r="M10">
        <f>RigheOfferte[[#This Row],[nr.pezzi Telaio]]</f>
        <v>0</v>
      </c>
      <c r="N10">
        <f>RigheOfferte[[#This Row],[nr.pezzi ora-unita]]</f>
        <v>0</v>
      </c>
      <c r="O10">
        <f>Tabella1[[#This Row],[superificie]]*Resa</f>
        <v>0</v>
      </c>
      <c r="P10">
        <f>Tabella1[[#This Row],[KgPezzo]]*Tabella1[[#This Row],[q.ta offerta]]</f>
        <v>0</v>
      </c>
      <c r="Q10">
        <f>RigheOfferte[[#This Row],[QtaProtez]]</f>
        <v>0</v>
      </c>
      <c r="R10">
        <f>RigheOfferte[[#This Row],[Tipo Protezione]]</f>
        <v>0</v>
      </c>
    </row>
    <row r="11" spans="1:18">
      <c r="A11">
        <f>RigheOfferte[[#This Row],[Nprev]]</f>
        <v>0</v>
      </c>
      <c r="B11">
        <f>RigheOfferte[[#This Row],[Nriga]]</f>
        <v>0</v>
      </c>
      <c r="C11">
        <f>RigheOfferte[[#This Row],[Cliente]]</f>
        <v>0</v>
      </c>
      <c r="D11">
        <f>RigheOfferte[[#This Row],[sub_cliente]]</f>
        <v>0</v>
      </c>
      <c r="E11">
        <f>RigheOfferte[[#This Row],[cod.Art.]]</f>
        <v>0</v>
      </c>
      <c r="F11">
        <f>RigheOfferte[[#This Row],[Descrizione]]</f>
        <v>0</v>
      </c>
      <c r="G11">
        <f>RigheOfferte[[#This Row],[Q.ta'']]</f>
        <v>0</v>
      </c>
      <c r="H11">
        <f>RigheOfferte[[#This Row],[Lavorazione]]</f>
        <v>0</v>
      </c>
      <c r="I11">
        <f>RigheOfferte[[#This Row],[Colore]]</f>
        <v>0</v>
      </c>
      <c r="J11">
        <f>RigheOfferte[[#This Row],[Velocità]]</f>
        <v>0</v>
      </c>
      <c r="K11">
        <f>RigheOfferte[[#This Row],[Superf.pz Mq]]</f>
        <v>0</v>
      </c>
      <c r="L11">
        <f>RigheOfferte[[#This Row],[passo]]</f>
        <v>0</v>
      </c>
      <c r="M11">
        <f>RigheOfferte[[#This Row],[nr.pezzi Telaio]]</f>
        <v>0</v>
      </c>
      <c r="N11">
        <f>RigheOfferte[[#This Row],[nr.pezzi ora-unita]]</f>
        <v>0</v>
      </c>
      <c r="O11">
        <f>Tabella1[[#This Row],[superificie]]*Resa</f>
        <v>0</v>
      </c>
      <c r="P11">
        <f>Tabella1[[#This Row],[KgPezzo]]*Tabella1[[#This Row],[q.ta offerta]]</f>
        <v>0</v>
      </c>
      <c r="Q11">
        <f>RigheOfferte[[#This Row],[QtaProtez]]</f>
        <v>0</v>
      </c>
      <c r="R11">
        <f>RigheOfferte[[#This Row],[Tipo Protezione]]</f>
        <v>0</v>
      </c>
    </row>
    <row r="12" spans="1:18">
      <c r="A12">
        <f>RigheOfferte[[#This Row],[Nprev]]</f>
        <v>0</v>
      </c>
      <c r="B12">
        <f>RigheOfferte[[#This Row],[Nriga]]</f>
        <v>0</v>
      </c>
      <c r="C12">
        <f>RigheOfferte[[#This Row],[Cliente]]</f>
        <v>0</v>
      </c>
      <c r="D12">
        <f>RigheOfferte[[#This Row],[sub_cliente]]</f>
        <v>0</v>
      </c>
      <c r="E12">
        <f>RigheOfferte[[#This Row],[cod.Art.]]</f>
        <v>0</v>
      </c>
      <c r="F12">
        <f>RigheOfferte[[#This Row],[Descrizione]]</f>
        <v>0</v>
      </c>
      <c r="G12">
        <f>RigheOfferte[[#This Row],[Q.ta'']]</f>
        <v>0</v>
      </c>
      <c r="H12">
        <f>RigheOfferte[[#This Row],[Lavorazione]]</f>
        <v>0</v>
      </c>
      <c r="I12">
        <f>RigheOfferte[[#This Row],[Colore]]</f>
        <v>0</v>
      </c>
      <c r="J12">
        <f>RigheOfferte[[#This Row],[Velocità]]</f>
        <v>0</v>
      </c>
      <c r="K12">
        <f>RigheOfferte[[#This Row],[Superf.pz Mq]]</f>
        <v>0</v>
      </c>
      <c r="L12">
        <f>RigheOfferte[[#This Row],[passo]]</f>
        <v>0</v>
      </c>
      <c r="M12">
        <f>RigheOfferte[[#This Row],[nr.pezzi Telaio]]</f>
        <v>0</v>
      </c>
      <c r="N12">
        <f>RigheOfferte[[#This Row],[nr.pezzi ora-unita]]</f>
        <v>0</v>
      </c>
      <c r="O12">
        <f>Tabella1[[#This Row],[superificie]]*Resa</f>
        <v>0</v>
      </c>
      <c r="P12">
        <f>Tabella1[[#This Row],[KgPezzo]]*Tabella1[[#This Row],[q.ta offerta]]</f>
        <v>0</v>
      </c>
      <c r="Q12">
        <f>RigheOfferte[[#This Row],[QtaProtez]]</f>
        <v>0</v>
      </c>
      <c r="R12">
        <f>RigheOfferte[[#This Row],[Tipo Protezione]]</f>
        <v>0</v>
      </c>
    </row>
    <row r="13" spans="1:18">
      <c r="A13">
        <f>RigheOfferte[[#This Row],[Nprev]]</f>
        <v>0</v>
      </c>
      <c r="B13">
        <f>RigheOfferte[[#This Row],[Nriga]]</f>
        <v>0</v>
      </c>
      <c r="C13">
        <f>RigheOfferte[[#This Row],[Cliente]]</f>
        <v>0</v>
      </c>
      <c r="D13">
        <f>RigheOfferte[[#This Row],[sub_cliente]]</f>
        <v>0</v>
      </c>
      <c r="E13">
        <f>RigheOfferte[[#This Row],[cod.Art.]]</f>
        <v>0</v>
      </c>
      <c r="F13">
        <f>RigheOfferte[[#This Row],[Descrizione]]</f>
        <v>0</v>
      </c>
      <c r="G13">
        <f>RigheOfferte[[#This Row],[Q.ta'']]</f>
        <v>0</v>
      </c>
      <c r="H13">
        <f>RigheOfferte[[#This Row],[Lavorazione]]</f>
        <v>0</v>
      </c>
      <c r="I13">
        <f>RigheOfferte[[#This Row],[Colore]]</f>
        <v>0</v>
      </c>
      <c r="J13">
        <f>RigheOfferte[[#This Row],[Velocità]]</f>
        <v>0</v>
      </c>
      <c r="K13">
        <f>RigheOfferte[[#This Row],[Superf.pz Mq]]</f>
        <v>0</v>
      </c>
      <c r="L13">
        <f>RigheOfferte[[#This Row],[passo]]</f>
        <v>0</v>
      </c>
      <c r="M13">
        <f>RigheOfferte[[#This Row],[nr.pezzi Telaio]]</f>
        <v>0</v>
      </c>
      <c r="N13">
        <f>RigheOfferte[[#This Row],[nr.pezzi ora-unita]]</f>
        <v>0</v>
      </c>
      <c r="O13">
        <f>Tabella1[[#This Row],[superificie]]*Resa</f>
        <v>0</v>
      </c>
      <c r="P13">
        <f>Tabella1[[#This Row],[KgPezzo]]*Tabella1[[#This Row],[q.ta offerta]]</f>
        <v>0</v>
      </c>
      <c r="Q13">
        <f>RigheOfferte[[#This Row],[QtaProtez]]</f>
        <v>0</v>
      </c>
      <c r="R13">
        <f>RigheOfferte[[#This Row],[Tipo Protezione]]</f>
        <v>0</v>
      </c>
    </row>
    <row r="14" spans="1:18">
      <c r="A14">
        <f>RigheOfferte[[#This Row],[Nprev]]</f>
        <v>0</v>
      </c>
      <c r="B14">
        <f>RigheOfferte[[#This Row],[Nriga]]</f>
        <v>0</v>
      </c>
      <c r="C14">
        <f>RigheOfferte[[#This Row],[Cliente]]</f>
        <v>0</v>
      </c>
      <c r="D14">
        <f>RigheOfferte[[#This Row],[sub_cliente]]</f>
        <v>0</v>
      </c>
      <c r="E14">
        <f>RigheOfferte[[#This Row],[cod.Art.]]</f>
        <v>0</v>
      </c>
      <c r="F14">
        <f>RigheOfferte[[#This Row],[Descrizione]]</f>
        <v>0</v>
      </c>
      <c r="G14">
        <f>RigheOfferte[[#This Row],[Q.ta'']]</f>
        <v>0</v>
      </c>
      <c r="H14">
        <f>RigheOfferte[[#This Row],[Lavorazione]]</f>
        <v>0</v>
      </c>
      <c r="I14">
        <f>RigheOfferte[[#This Row],[Colore]]</f>
        <v>0</v>
      </c>
      <c r="J14">
        <f>RigheOfferte[[#This Row],[Velocità]]</f>
        <v>0</v>
      </c>
      <c r="K14">
        <f>RigheOfferte[[#This Row],[Superf.pz Mq]]</f>
        <v>0</v>
      </c>
      <c r="L14">
        <f>RigheOfferte[[#This Row],[passo]]</f>
        <v>0</v>
      </c>
      <c r="M14">
        <f>RigheOfferte[[#This Row],[nr.pezzi Telaio]]</f>
        <v>0</v>
      </c>
      <c r="N14">
        <f>RigheOfferte[[#This Row],[nr.pezzi ora-unita]]</f>
        <v>0</v>
      </c>
      <c r="O14">
        <f>Tabella1[[#This Row],[superificie]]*Resa</f>
        <v>0</v>
      </c>
      <c r="P14">
        <f>Tabella1[[#This Row],[KgPezzo]]*Tabella1[[#This Row],[q.ta offerta]]</f>
        <v>0</v>
      </c>
      <c r="Q14">
        <f>RigheOfferte[[#This Row],[QtaProtez]]</f>
        <v>0</v>
      </c>
      <c r="R14">
        <f>RigheOfferte[[#This Row],[Tipo Protezione]]</f>
        <v>0</v>
      </c>
    </row>
    <row r="15" spans="1:18">
      <c r="A15">
        <f>RigheOfferte[[#This Row],[Nprev]]</f>
        <v>0</v>
      </c>
      <c r="B15">
        <f>RigheOfferte[[#This Row],[Nriga]]</f>
        <v>0</v>
      </c>
      <c r="C15">
        <f>RigheOfferte[[#This Row],[Cliente]]</f>
        <v>0</v>
      </c>
      <c r="D15">
        <f>RigheOfferte[[#This Row],[sub_cliente]]</f>
        <v>0</v>
      </c>
      <c r="E15">
        <f>RigheOfferte[[#This Row],[cod.Art.]]</f>
        <v>0</v>
      </c>
      <c r="F15">
        <f>RigheOfferte[[#This Row],[Descrizione]]</f>
        <v>0</v>
      </c>
      <c r="G15">
        <f>RigheOfferte[[#This Row],[Q.ta'']]</f>
        <v>0</v>
      </c>
      <c r="H15">
        <f>RigheOfferte[[#This Row],[Lavorazione]]</f>
        <v>0</v>
      </c>
      <c r="I15">
        <f>RigheOfferte[[#This Row],[Colore]]</f>
        <v>0</v>
      </c>
      <c r="J15">
        <f>RigheOfferte[[#This Row],[Velocità]]</f>
        <v>0</v>
      </c>
      <c r="K15">
        <f>RigheOfferte[[#This Row],[Superf.pz Mq]]</f>
        <v>0</v>
      </c>
      <c r="L15">
        <f>RigheOfferte[[#This Row],[passo]]</f>
        <v>0</v>
      </c>
      <c r="M15">
        <f>RigheOfferte[[#This Row],[nr.pezzi Telaio]]</f>
        <v>0</v>
      </c>
      <c r="N15">
        <f>RigheOfferte[[#This Row],[nr.pezzi ora-unita]]</f>
        <v>0</v>
      </c>
      <c r="O15">
        <f>Tabella1[[#This Row],[superificie]]*Resa</f>
        <v>0</v>
      </c>
      <c r="P15">
        <f>Tabella1[[#This Row],[KgPezzo]]*Tabella1[[#This Row],[q.ta offerta]]</f>
        <v>0</v>
      </c>
      <c r="Q15">
        <f>RigheOfferte[[#This Row],[QtaProtez]]</f>
        <v>0</v>
      </c>
      <c r="R15">
        <f>RigheOfferte[[#This Row],[Tipo Protezione]]</f>
        <v>0</v>
      </c>
    </row>
    <row r="16" spans="1:18">
      <c r="A16">
        <f>RigheOfferte[[#This Row],[Nprev]]</f>
        <v>0</v>
      </c>
      <c r="B16">
        <f>RigheOfferte[[#This Row],[Nriga]]</f>
        <v>0</v>
      </c>
      <c r="C16">
        <f>RigheOfferte[[#This Row],[Cliente]]</f>
        <v>0</v>
      </c>
      <c r="D16">
        <f>RigheOfferte[[#This Row],[sub_cliente]]</f>
        <v>0</v>
      </c>
      <c r="E16">
        <f>RigheOfferte[[#This Row],[cod.Art.]]</f>
        <v>0</v>
      </c>
      <c r="F16">
        <f>RigheOfferte[[#This Row],[Descrizione]]</f>
        <v>0</v>
      </c>
      <c r="G16">
        <f>RigheOfferte[[#This Row],[Q.ta'']]</f>
        <v>0</v>
      </c>
      <c r="H16">
        <f>RigheOfferte[[#This Row],[Lavorazione]]</f>
        <v>0</v>
      </c>
      <c r="I16">
        <f>RigheOfferte[[#This Row],[Colore]]</f>
        <v>0</v>
      </c>
      <c r="J16">
        <f>RigheOfferte[[#This Row],[Velocità]]</f>
        <v>0</v>
      </c>
      <c r="K16">
        <f>RigheOfferte[[#This Row],[Superf.pz Mq]]</f>
        <v>0</v>
      </c>
      <c r="L16">
        <f>RigheOfferte[[#This Row],[passo]]</f>
        <v>0</v>
      </c>
      <c r="M16">
        <f>RigheOfferte[[#This Row],[nr.pezzi Telaio]]</f>
        <v>0</v>
      </c>
      <c r="N16">
        <f>RigheOfferte[[#This Row],[nr.pezzi ora-unita]]</f>
        <v>0</v>
      </c>
      <c r="O16">
        <f>Tabella1[[#This Row],[superificie]]*Resa</f>
        <v>0</v>
      </c>
      <c r="P16">
        <f>Tabella1[[#This Row],[KgPezzo]]*Tabella1[[#This Row],[q.ta offerta]]</f>
        <v>0</v>
      </c>
      <c r="Q16">
        <f>RigheOfferte[[#This Row],[QtaProtez]]</f>
        <v>0</v>
      </c>
      <c r="R16">
        <f>RigheOfferte[[#This Row],[Tipo Protezione]]</f>
        <v>0</v>
      </c>
    </row>
    <row r="17" spans="1:18">
      <c r="A17">
        <f>RigheOfferte[[#This Row],[Nprev]]</f>
        <v>0</v>
      </c>
      <c r="B17">
        <f>RigheOfferte[[#This Row],[Nriga]]</f>
        <v>0</v>
      </c>
      <c r="C17">
        <f>RigheOfferte[[#This Row],[Cliente]]</f>
        <v>0</v>
      </c>
      <c r="D17">
        <f>RigheOfferte[[#This Row],[sub_cliente]]</f>
        <v>0</v>
      </c>
      <c r="E17">
        <f>RigheOfferte[[#This Row],[cod.Art.]]</f>
        <v>0</v>
      </c>
      <c r="F17">
        <f>RigheOfferte[[#This Row],[Descrizione]]</f>
        <v>0</v>
      </c>
      <c r="G17">
        <f>RigheOfferte[[#This Row],[Q.ta'']]</f>
        <v>0</v>
      </c>
      <c r="H17">
        <f>RigheOfferte[[#This Row],[Lavorazione]]</f>
        <v>0</v>
      </c>
      <c r="I17">
        <f>RigheOfferte[[#This Row],[Colore]]</f>
        <v>0</v>
      </c>
      <c r="J17">
        <f>RigheOfferte[[#This Row],[Velocità]]</f>
        <v>0</v>
      </c>
      <c r="K17">
        <f>RigheOfferte[[#This Row],[Superf.pz Mq]]</f>
        <v>0</v>
      </c>
      <c r="L17">
        <f>RigheOfferte[[#This Row],[passo]]</f>
        <v>0</v>
      </c>
      <c r="M17">
        <f>RigheOfferte[[#This Row],[nr.pezzi Telaio]]</f>
        <v>0</v>
      </c>
      <c r="N17">
        <f>RigheOfferte[[#This Row],[nr.pezzi ora-unita]]</f>
        <v>0</v>
      </c>
      <c r="O17">
        <f>Tabella1[[#This Row],[superificie]]*Resa</f>
        <v>0</v>
      </c>
      <c r="P17">
        <f>Tabella1[[#This Row],[KgPezzo]]*Tabella1[[#This Row],[q.ta offerta]]</f>
        <v>0</v>
      </c>
      <c r="Q17">
        <f>RigheOfferte[[#This Row],[QtaProtez]]</f>
        <v>0</v>
      </c>
      <c r="R17">
        <f>RigheOfferte[[#This Row],[Tipo Protezione]]</f>
        <v>0</v>
      </c>
    </row>
    <row r="18" spans="1:18">
      <c r="A18">
        <f>RigheOfferte[[#This Row],[Nprev]]</f>
        <v>0</v>
      </c>
      <c r="B18">
        <f>RigheOfferte[[#This Row],[Nriga]]</f>
        <v>0</v>
      </c>
      <c r="C18">
        <f>RigheOfferte[[#This Row],[Cliente]]</f>
        <v>0</v>
      </c>
      <c r="D18">
        <f>RigheOfferte[[#This Row],[sub_cliente]]</f>
        <v>0</v>
      </c>
      <c r="E18">
        <f>RigheOfferte[[#This Row],[cod.Art.]]</f>
        <v>0</v>
      </c>
      <c r="F18">
        <f>RigheOfferte[[#This Row],[Descrizione]]</f>
        <v>0</v>
      </c>
      <c r="G18">
        <f>RigheOfferte[[#This Row],[Q.ta'']]</f>
        <v>0</v>
      </c>
      <c r="H18">
        <f>RigheOfferte[[#This Row],[Lavorazione]]</f>
        <v>0</v>
      </c>
      <c r="I18">
        <f>RigheOfferte[[#This Row],[Colore]]</f>
        <v>0</v>
      </c>
      <c r="J18">
        <f>RigheOfferte[[#This Row],[Velocità]]</f>
        <v>0</v>
      </c>
      <c r="K18">
        <f>RigheOfferte[[#This Row],[Superf.pz Mq]]</f>
        <v>0</v>
      </c>
      <c r="L18">
        <f>RigheOfferte[[#This Row],[passo]]</f>
        <v>0</v>
      </c>
      <c r="M18">
        <f>RigheOfferte[[#This Row],[nr.pezzi Telaio]]</f>
        <v>0</v>
      </c>
      <c r="N18">
        <f>RigheOfferte[[#This Row],[nr.pezzi ora-unita]]</f>
        <v>0</v>
      </c>
      <c r="O18">
        <f>Tabella1[[#This Row],[superificie]]*Resa</f>
        <v>0</v>
      </c>
      <c r="P18">
        <f>Tabella1[[#This Row],[KgPezzo]]*Tabella1[[#This Row],[q.ta offerta]]</f>
        <v>0</v>
      </c>
      <c r="Q18">
        <f>RigheOfferte[[#This Row],[QtaProtez]]</f>
        <v>0</v>
      </c>
      <c r="R18">
        <f>RigheOfferte[[#This Row],[Tipo Protezione]]</f>
        <v>0</v>
      </c>
    </row>
    <row r="19" spans="1:18">
      <c r="A19">
        <f>RigheOfferte[[#This Row],[Nprev]]</f>
        <v>0</v>
      </c>
      <c r="B19">
        <f>RigheOfferte[[#This Row],[Nriga]]</f>
        <v>0</v>
      </c>
      <c r="C19">
        <f>RigheOfferte[[#This Row],[Cliente]]</f>
        <v>0</v>
      </c>
      <c r="D19">
        <f>RigheOfferte[[#This Row],[sub_cliente]]</f>
        <v>0</v>
      </c>
      <c r="E19">
        <f>RigheOfferte[[#This Row],[cod.Art.]]</f>
        <v>0</v>
      </c>
      <c r="F19">
        <f>RigheOfferte[[#This Row],[Descrizione]]</f>
        <v>0</v>
      </c>
      <c r="G19">
        <f>RigheOfferte[[#This Row],[Q.ta'']]</f>
        <v>0</v>
      </c>
      <c r="H19">
        <f>RigheOfferte[[#This Row],[Lavorazione]]</f>
        <v>0</v>
      </c>
      <c r="I19">
        <f>RigheOfferte[[#This Row],[Colore]]</f>
        <v>0</v>
      </c>
      <c r="J19">
        <f>RigheOfferte[[#This Row],[Velocità]]</f>
        <v>0</v>
      </c>
      <c r="K19">
        <f>RigheOfferte[[#This Row],[Superf.pz Mq]]</f>
        <v>0</v>
      </c>
      <c r="L19">
        <f>RigheOfferte[[#This Row],[passo]]</f>
        <v>0</v>
      </c>
      <c r="M19">
        <f>RigheOfferte[[#This Row],[nr.pezzi Telaio]]</f>
        <v>0</v>
      </c>
      <c r="N19">
        <f>RigheOfferte[[#This Row],[nr.pezzi ora-unita]]</f>
        <v>0</v>
      </c>
      <c r="O19">
        <f>Tabella1[[#This Row],[superificie]]*Resa</f>
        <v>0</v>
      </c>
      <c r="P19">
        <f>Tabella1[[#This Row],[KgPezzo]]*Tabella1[[#This Row],[q.ta offerta]]</f>
        <v>0</v>
      </c>
      <c r="Q19">
        <f>RigheOfferte[[#This Row],[QtaProtez]]</f>
        <v>0</v>
      </c>
      <c r="R19">
        <f>RigheOfferte[[#This Row],[Tipo Protezione]]</f>
        <v>0</v>
      </c>
    </row>
    <row r="20" spans="1:18">
      <c r="A20">
        <f>RigheOfferte[[#This Row],[Nprev]]</f>
        <v>0</v>
      </c>
      <c r="B20">
        <f>RigheOfferte[[#This Row],[Nriga]]</f>
        <v>0</v>
      </c>
      <c r="C20">
        <f>RigheOfferte[[#This Row],[Cliente]]</f>
        <v>0</v>
      </c>
      <c r="D20">
        <f>RigheOfferte[[#This Row],[sub_cliente]]</f>
        <v>0</v>
      </c>
      <c r="E20">
        <f>RigheOfferte[[#This Row],[cod.Art.]]</f>
        <v>0</v>
      </c>
      <c r="F20">
        <f>RigheOfferte[[#This Row],[Descrizione]]</f>
        <v>0</v>
      </c>
      <c r="G20">
        <f>RigheOfferte[[#This Row],[Q.ta'']]</f>
        <v>0</v>
      </c>
      <c r="H20">
        <f>RigheOfferte[[#This Row],[Lavorazione]]</f>
        <v>0</v>
      </c>
      <c r="I20">
        <f>RigheOfferte[[#This Row],[Colore]]</f>
        <v>0</v>
      </c>
      <c r="J20">
        <f>RigheOfferte[[#This Row],[Velocità]]</f>
        <v>0</v>
      </c>
      <c r="K20">
        <f>RigheOfferte[[#This Row],[Superf.pz Mq]]</f>
        <v>0</v>
      </c>
      <c r="L20">
        <f>RigheOfferte[[#This Row],[passo]]</f>
        <v>0</v>
      </c>
      <c r="M20">
        <f>RigheOfferte[[#This Row],[nr.pezzi Telaio]]</f>
        <v>0</v>
      </c>
      <c r="N20">
        <f>RigheOfferte[[#This Row],[nr.pezzi ora-unita]]</f>
        <v>0</v>
      </c>
      <c r="O20">
        <f>Tabella1[[#This Row],[superificie]]*Resa</f>
        <v>0</v>
      </c>
      <c r="P20">
        <f>Tabella1[[#This Row],[KgPezzo]]*Tabella1[[#This Row],[q.ta offerta]]</f>
        <v>0</v>
      </c>
      <c r="Q20">
        <f>RigheOfferte[[#This Row],[QtaProtez]]</f>
        <v>0</v>
      </c>
      <c r="R20">
        <f>RigheOfferte[[#This Row],[Tipo Protezione]]</f>
        <v>0</v>
      </c>
    </row>
    <row r="21" spans="1:18">
      <c r="A21">
        <f>RigheOfferte[[#This Row],[Nprev]]</f>
        <v>0</v>
      </c>
      <c r="B21">
        <f>RigheOfferte[[#This Row],[Nriga]]</f>
        <v>0</v>
      </c>
      <c r="C21">
        <f>RigheOfferte[[#This Row],[Cliente]]</f>
        <v>0</v>
      </c>
      <c r="D21">
        <f>RigheOfferte[[#This Row],[sub_cliente]]</f>
        <v>0</v>
      </c>
      <c r="E21">
        <f>RigheOfferte[[#This Row],[cod.Art.]]</f>
        <v>0</v>
      </c>
      <c r="F21">
        <f>RigheOfferte[[#This Row],[Descrizione]]</f>
        <v>0</v>
      </c>
      <c r="G21">
        <f>RigheOfferte[[#This Row],[Q.ta'']]</f>
        <v>0</v>
      </c>
      <c r="H21">
        <f>RigheOfferte[[#This Row],[Lavorazione]]</f>
        <v>0</v>
      </c>
      <c r="I21">
        <f>RigheOfferte[[#This Row],[Colore]]</f>
        <v>0</v>
      </c>
      <c r="J21">
        <f>RigheOfferte[[#This Row],[Velocità]]</f>
        <v>0</v>
      </c>
      <c r="K21">
        <f>RigheOfferte[[#This Row],[Superf.pz Mq]]</f>
        <v>0</v>
      </c>
      <c r="L21">
        <f>RigheOfferte[[#This Row],[passo]]</f>
        <v>0</v>
      </c>
      <c r="M21">
        <f>RigheOfferte[[#This Row],[nr.pezzi Telaio]]</f>
        <v>0</v>
      </c>
      <c r="N21">
        <f>RigheOfferte[[#This Row],[nr.pezzi ora-unita]]</f>
        <v>0</v>
      </c>
      <c r="O21">
        <f>Tabella1[[#This Row],[superificie]]*Resa</f>
        <v>0</v>
      </c>
      <c r="P21">
        <f>Tabella1[[#This Row],[KgPezzo]]*Tabella1[[#This Row],[q.ta offerta]]</f>
        <v>0</v>
      </c>
      <c r="Q21">
        <f>RigheOfferte[[#This Row],[QtaProtez]]</f>
        <v>0</v>
      </c>
      <c r="R21">
        <f>RigheOfferte[[#This Row],[Tipo Protezione]]</f>
        <v>0</v>
      </c>
    </row>
    <row r="22" spans="1:18">
      <c r="A22">
        <f>RigheOfferte[[#This Row],[Nprev]]</f>
        <v>0</v>
      </c>
      <c r="B22">
        <f>RigheOfferte[[#This Row],[Nriga]]</f>
        <v>0</v>
      </c>
      <c r="C22">
        <f>RigheOfferte[[#This Row],[Cliente]]</f>
        <v>0</v>
      </c>
      <c r="D22">
        <f>RigheOfferte[[#This Row],[sub_cliente]]</f>
        <v>0</v>
      </c>
      <c r="E22">
        <f>RigheOfferte[[#This Row],[cod.Art.]]</f>
        <v>0</v>
      </c>
      <c r="F22">
        <f>RigheOfferte[[#This Row],[Descrizione]]</f>
        <v>0</v>
      </c>
      <c r="G22">
        <f>RigheOfferte[[#This Row],[Q.ta'']]</f>
        <v>0</v>
      </c>
      <c r="H22">
        <f>RigheOfferte[[#This Row],[Lavorazione]]</f>
        <v>0</v>
      </c>
      <c r="I22">
        <f>RigheOfferte[[#This Row],[Colore]]</f>
        <v>0</v>
      </c>
      <c r="J22">
        <f>RigheOfferte[[#This Row],[Velocità]]</f>
        <v>0</v>
      </c>
      <c r="K22">
        <f>RigheOfferte[[#This Row],[Superf.pz Mq]]</f>
        <v>0</v>
      </c>
      <c r="L22">
        <f>RigheOfferte[[#This Row],[passo]]</f>
        <v>0</v>
      </c>
      <c r="M22">
        <f>RigheOfferte[[#This Row],[nr.pezzi Telaio]]</f>
        <v>0</v>
      </c>
      <c r="N22">
        <f>RigheOfferte[[#This Row],[nr.pezzi ora-unita]]</f>
        <v>0</v>
      </c>
      <c r="O22">
        <f>Tabella1[[#This Row],[superificie]]*Resa</f>
        <v>0</v>
      </c>
      <c r="P22">
        <f>Tabella1[[#This Row],[KgPezzo]]*Tabella1[[#This Row],[q.ta offerta]]</f>
        <v>0</v>
      </c>
      <c r="Q22">
        <f>RigheOfferte[[#This Row],[QtaProtez]]</f>
        <v>0</v>
      </c>
      <c r="R22">
        <f>RigheOfferte[[#This Row],[Tipo Protezione]]</f>
        <v>0</v>
      </c>
    </row>
    <row r="23" spans="1:18">
      <c r="A23">
        <f>RigheOfferte[[#This Row],[Nprev]]</f>
        <v>0</v>
      </c>
      <c r="B23">
        <f>RigheOfferte[[#This Row],[Nriga]]</f>
        <v>0</v>
      </c>
      <c r="C23">
        <f>RigheOfferte[[#This Row],[Cliente]]</f>
        <v>0</v>
      </c>
      <c r="D23">
        <f>RigheOfferte[[#This Row],[sub_cliente]]</f>
        <v>0</v>
      </c>
      <c r="E23">
        <f>RigheOfferte[[#This Row],[cod.Art.]]</f>
        <v>0</v>
      </c>
      <c r="F23">
        <f>RigheOfferte[[#This Row],[Descrizione]]</f>
        <v>0</v>
      </c>
      <c r="G23">
        <f>RigheOfferte[[#This Row],[Q.ta'']]</f>
        <v>0</v>
      </c>
      <c r="H23">
        <f>RigheOfferte[[#This Row],[Lavorazione]]</f>
        <v>0</v>
      </c>
      <c r="I23">
        <f>RigheOfferte[[#This Row],[Colore]]</f>
        <v>0</v>
      </c>
      <c r="J23">
        <f>RigheOfferte[[#This Row],[Velocità]]</f>
        <v>0</v>
      </c>
      <c r="K23">
        <f>RigheOfferte[[#This Row],[Superf.pz Mq]]</f>
        <v>0</v>
      </c>
      <c r="L23">
        <f>RigheOfferte[[#This Row],[passo]]</f>
        <v>0</v>
      </c>
      <c r="M23">
        <f>RigheOfferte[[#This Row],[nr.pezzi Telaio]]</f>
        <v>0</v>
      </c>
      <c r="N23">
        <f>RigheOfferte[[#This Row],[nr.pezzi ora-unita]]</f>
        <v>0</v>
      </c>
      <c r="O23">
        <f>Tabella1[[#This Row],[superificie]]*Resa</f>
        <v>0</v>
      </c>
      <c r="P23">
        <f>Tabella1[[#This Row],[KgPezzo]]*Tabella1[[#This Row],[q.ta offerta]]</f>
        <v>0</v>
      </c>
      <c r="Q23">
        <f>RigheOfferte[[#This Row],[QtaProtez]]</f>
        <v>0</v>
      </c>
      <c r="R23">
        <f>RigheOfferte[[#This Row],[Tipo Protezione]]</f>
        <v>0</v>
      </c>
    </row>
    <row r="24" spans="1:18">
      <c r="A24">
        <f>RigheOfferte[[#This Row],[Nprev]]</f>
        <v>0</v>
      </c>
      <c r="B24">
        <f>RigheOfferte[[#This Row],[Nriga]]</f>
        <v>0</v>
      </c>
      <c r="C24">
        <f>RigheOfferte[[#This Row],[Cliente]]</f>
        <v>0</v>
      </c>
      <c r="D24">
        <f>RigheOfferte[[#This Row],[sub_cliente]]</f>
        <v>0</v>
      </c>
      <c r="E24">
        <f>RigheOfferte[[#This Row],[cod.Art.]]</f>
        <v>0</v>
      </c>
      <c r="F24">
        <f>RigheOfferte[[#This Row],[Descrizione]]</f>
        <v>0</v>
      </c>
      <c r="G24">
        <f>RigheOfferte[[#This Row],[Q.ta'']]</f>
        <v>0</v>
      </c>
      <c r="H24">
        <f>RigheOfferte[[#This Row],[Lavorazione]]</f>
        <v>0</v>
      </c>
      <c r="I24">
        <f>RigheOfferte[[#This Row],[Colore]]</f>
        <v>0</v>
      </c>
      <c r="J24">
        <f>RigheOfferte[[#This Row],[Velocità]]</f>
        <v>0</v>
      </c>
      <c r="K24">
        <f>RigheOfferte[[#This Row],[Superf.pz Mq]]</f>
        <v>0</v>
      </c>
      <c r="L24">
        <f>RigheOfferte[[#This Row],[passo]]</f>
        <v>0</v>
      </c>
      <c r="M24">
        <f>RigheOfferte[[#This Row],[nr.pezzi Telaio]]</f>
        <v>0</v>
      </c>
      <c r="N24">
        <f>RigheOfferte[[#This Row],[nr.pezzi ora-unita]]</f>
        <v>0</v>
      </c>
      <c r="O24">
        <f>Tabella1[[#This Row],[superificie]]*Resa</f>
        <v>0</v>
      </c>
      <c r="P24">
        <f>Tabella1[[#This Row],[KgPezzo]]*Tabella1[[#This Row],[q.ta offerta]]</f>
        <v>0</v>
      </c>
      <c r="Q24">
        <f>RigheOfferte[[#This Row],[QtaProtez]]</f>
        <v>0</v>
      </c>
      <c r="R24">
        <f>RigheOfferte[[#This Row],[Tipo Protezione]]</f>
        <v>0</v>
      </c>
    </row>
    <row r="25" spans="1:18">
      <c r="A25">
        <f>RigheOfferte[[#This Row],[Nprev]]</f>
        <v>0</v>
      </c>
      <c r="B25">
        <f>RigheOfferte[[#This Row],[Nriga]]</f>
        <v>0</v>
      </c>
      <c r="C25">
        <f>RigheOfferte[[#This Row],[Cliente]]</f>
        <v>0</v>
      </c>
      <c r="D25">
        <f>RigheOfferte[[#This Row],[sub_cliente]]</f>
        <v>0</v>
      </c>
      <c r="E25">
        <f>RigheOfferte[[#This Row],[cod.Art.]]</f>
        <v>0</v>
      </c>
      <c r="F25">
        <f>RigheOfferte[[#This Row],[Descrizione]]</f>
        <v>0</v>
      </c>
      <c r="G25">
        <f>RigheOfferte[[#This Row],[Q.ta'']]</f>
        <v>0</v>
      </c>
      <c r="H25">
        <f>RigheOfferte[[#This Row],[Lavorazione]]</f>
        <v>0</v>
      </c>
      <c r="I25">
        <f>RigheOfferte[[#This Row],[Colore]]</f>
        <v>0</v>
      </c>
      <c r="J25">
        <f>RigheOfferte[[#This Row],[Velocità]]</f>
        <v>0</v>
      </c>
      <c r="K25">
        <f>RigheOfferte[[#This Row],[Superf.pz Mq]]</f>
        <v>0</v>
      </c>
      <c r="L25">
        <f>RigheOfferte[[#This Row],[passo]]</f>
        <v>0</v>
      </c>
      <c r="M25">
        <f>RigheOfferte[[#This Row],[nr.pezzi Telaio]]</f>
        <v>0</v>
      </c>
      <c r="N25">
        <f>RigheOfferte[[#This Row],[nr.pezzi ora-unita]]</f>
        <v>0</v>
      </c>
      <c r="O25">
        <f>Tabella1[[#This Row],[superificie]]*Resa</f>
        <v>0</v>
      </c>
      <c r="P25">
        <f>Tabella1[[#This Row],[KgPezzo]]*Tabella1[[#This Row],[q.ta offerta]]</f>
        <v>0</v>
      </c>
      <c r="Q25">
        <f>RigheOfferte[[#This Row],[QtaProtez]]</f>
        <v>0</v>
      </c>
      <c r="R25">
        <f>RigheOfferte[[#This Row],[Tipo Protezione]]</f>
        <v>0</v>
      </c>
    </row>
    <row r="26" spans="1:18">
      <c r="A26">
        <f>RigheOfferte[[#This Row],[Nprev]]</f>
        <v>0</v>
      </c>
      <c r="B26">
        <f>RigheOfferte[[#This Row],[Nriga]]</f>
        <v>0</v>
      </c>
      <c r="C26">
        <f>RigheOfferte[[#This Row],[Cliente]]</f>
        <v>0</v>
      </c>
      <c r="D26">
        <f>RigheOfferte[[#This Row],[sub_cliente]]</f>
        <v>0</v>
      </c>
      <c r="E26">
        <f>RigheOfferte[[#This Row],[cod.Art.]]</f>
        <v>0</v>
      </c>
      <c r="F26">
        <f>RigheOfferte[[#This Row],[Descrizione]]</f>
        <v>0</v>
      </c>
      <c r="G26">
        <f>RigheOfferte[[#This Row],[Q.ta'']]</f>
        <v>0</v>
      </c>
      <c r="H26">
        <f>RigheOfferte[[#This Row],[Lavorazione]]</f>
        <v>0</v>
      </c>
      <c r="I26">
        <f>RigheOfferte[[#This Row],[Colore]]</f>
        <v>0</v>
      </c>
      <c r="J26">
        <f>RigheOfferte[[#This Row],[Velocità]]</f>
        <v>0</v>
      </c>
      <c r="K26">
        <f>RigheOfferte[[#This Row],[Superf.pz Mq]]</f>
        <v>0</v>
      </c>
      <c r="L26">
        <f>RigheOfferte[[#This Row],[passo]]</f>
        <v>0</v>
      </c>
      <c r="M26">
        <f>RigheOfferte[[#This Row],[nr.pezzi Telaio]]</f>
        <v>0</v>
      </c>
      <c r="N26">
        <f>RigheOfferte[[#This Row],[nr.pezzi ora-unita]]</f>
        <v>0</v>
      </c>
      <c r="O26">
        <f>Tabella1[[#This Row],[superificie]]*Resa</f>
        <v>0</v>
      </c>
      <c r="P26">
        <f>Tabella1[[#This Row],[KgPezzo]]*Tabella1[[#This Row],[q.ta offerta]]</f>
        <v>0</v>
      </c>
      <c r="Q26">
        <f>RigheOfferte[[#This Row],[QtaProtez]]</f>
        <v>0</v>
      </c>
      <c r="R26">
        <f>RigheOfferte[[#This Row],[Tipo Protezione]]</f>
        <v>0</v>
      </c>
    </row>
    <row r="27" spans="1:18">
      <c r="A27">
        <f>RigheOfferte[[#This Row],[Nprev]]</f>
        <v>0</v>
      </c>
      <c r="B27">
        <f>RigheOfferte[[#This Row],[Nriga]]</f>
        <v>0</v>
      </c>
      <c r="C27">
        <f>RigheOfferte[[#This Row],[Cliente]]</f>
        <v>0</v>
      </c>
      <c r="D27">
        <f>RigheOfferte[[#This Row],[sub_cliente]]</f>
        <v>0</v>
      </c>
      <c r="E27">
        <f>RigheOfferte[[#This Row],[cod.Art.]]</f>
        <v>0</v>
      </c>
      <c r="F27">
        <f>RigheOfferte[[#This Row],[Descrizione]]</f>
        <v>0</v>
      </c>
      <c r="G27">
        <f>RigheOfferte[[#This Row],[Q.ta'']]</f>
        <v>0</v>
      </c>
      <c r="H27">
        <f>RigheOfferte[[#This Row],[Lavorazione]]</f>
        <v>0</v>
      </c>
      <c r="I27">
        <f>RigheOfferte[[#This Row],[Colore]]</f>
        <v>0</v>
      </c>
      <c r="J27">
        <f>RigheOfferte[[#This Row],[Velocità]]</f>
        <v>0</v>
      </c>
      <c r="K27">
        <f>RigheOfferte[[#This Row],[Superf.pz Mq]]</f>
        <v>0</v>
      </c>
      <c r="L27">
        <f>RigheOfferte[[#This Row],[passo]]</f>
        <v>0</v>
      </c>
      <c r="M27">
        <f>RigheOfferte[[#This Row],[nr.pezzi Telaio]]</f>
        <v>0</v>
      </c>
      <c r="N27">
        <f>RigheOfferte[[#This Row],[nr.pezzi ora-unita]]</f>
        <v>0</v>
      </c>
      <c r="O27">
        <f>Tabella1[[#This Row],[superificie]]*Resa</f>
        <v>0</v>
      </c>
      <c r="P27">
        <f>Tabella1[[#This Row],[KgPezzo]]*Tabella1[[#This Row],[q.ta offerta]]</f>
        <v>0</v>
      </c>
      <c r="Q27">
        <f>RigheOfferte[[#This Row],[QtaProtez]]</f>
        <v>0</v>
      </c>
      <c r="R27">
        <f>RigheOfferte[[#This Row],[Tipo Protezione]]</f>
        <v>0</v>
      </c>
    </row>
    <row r="28" spans="1:18">
      <c r="A28">
        <f>RigheOfferte[[#This Row],[Nprev]]</f>
        <v>0</v>
      </c>
      <c r="B28">
        <f>RigheOfferte[[#This Row],[Nriga]]</f>
        <v>0</v>
      </c>
      <c r="C28">
        <f>RigheOfferte[[#This Row],[Cliente]]</f>
        <v>0</v>
      </c>
      <c r="D28">
        <f>RigheOfferte[[#This Row],[sub_cliente]]</f>
        <v>0</v>
      </c>
      <c r="E28">
        <f>RigheOfferte[[#This Row],[cod.Art.]]</f>
        <v>0</v>
      </c>
      <c r="F28">
        <f>RigheOfferte[[#This Row],[Descrizione]]</f>
        <v>0</v>
      </c>
      <c r="G28">
        <f>RigheOfferte[[#This Row],[Q.ta'']]</f>
        <v>0</v>
      </c>
      <c r="H28">
        <f>RigheOfferte[[#This Row],[Lavorazione]]</f>
        <v>0</v>
      </c>
      <c r="I28">
        <f>RigheOfferte[[#This Row],[Colore]]</f>
        <v>0</v>
      </c>
      <c r="J28">
        <f>RigheOfferte[[#This Row],[Velocità]]</f>
        <v>0</v>
      </c>
      <c r="K28">
        <f>RigheOfferte[[#This Row],[Superf.pz Mq]]</f>
        <v>0</v>
      </c>
      <c r="L28">
        <f>RigheOfferte[[#This Row],[passo]]</f>
        <v>0</v>
      </c>
      <c r="M28">
        <f>RigheOfferte[[#This Row],[nr.pezzi Telaio]]</f>
        <v>0</v>
      </c>
      <c r="N28">
        <f>RigheOfferte[[#This Row],[nr.pezzi ora-unita]]</f>
        <v>0</v>
      </c>
      <c r="O28">
        <f>Tabella1[[#This Row],[superificie]]*Resa</f>
        <v>0</v>
      </c>
      <c r="P28">
        <f>Tabella1[[#This Row],[KgPezzo]]*Tabella1[[#This Row],[q.ta offerta]]</f>
        <v>0</v>
      </c>
      <c r="Q28">
        <f>RigheOfferte[[#This Row],[QtaProtez]]</f>
        <v>0</v>
      </c>
      <c r="R28">
        <f>RigheOfferte[[#This Row],[Tipo Protezione]]</f>
        <v>0</v>
      </c>
    </row>
    <row r="29" spans="1:18">
      <c r="A29">
        <f>RigheOfferte[[#This Row],[Nprev]]</f>
        <v>0</v>
      </c>
      <c r="B29">
        <f>RigheOfferte[[#This Row],[Nriga]]</f>
        <v>0</v>
      </c>
      <c r="C29">
        <f>RigheOfferte[[#This Row],[Cliente]]</f>
        <v>0</v>
      </c>
      <c r="D29">
        <f>RigheOfferte[[#This Row],[sub_cliente]]</f>
        <v>0</v>
      </c>
      <c r="E29">
        <f>RigheOfferte[[#This Row],[cod.Art.]]</f>
        <v>0</v>
      </c>
      <c r="F29">
        <f>RigheOfferte[[#This Row],[Descrizione]]</f>
        <v>0</v>
      </c>
      <c r="G29">
        <f>RigheOfferte[[#This Row],[Q.ta'']]</f>
        <v>0</v>
      </c>
      <c r="H29">
        <f>RigheOfferte[[#This Row],[Lavorazione]]</f>
        <v>0</v>
      </c>
      <c r="I29">
        <f>RigheOfferte[[#This Row],[Colore]]</f>
        <v>0</v>
      </c>
      <c r="J29">
        <f>RigheOfferte[[#This Row],[Velocità]]</f>
        <v>0</v>
      </c>
      <c r="K29">
        <f>RigheOfferte[[#This Row],[Superf.pz Mq]]</f>
        <v>0</v>
      </c>
      <c r="L29">
        <f>RigheOfferte[[#This Row],[passo]]</f>
        <v>0</v>
      </c>
      <c r="M29">
        <f>RigheOfferte[[#This Row],[nr.pezzi Telaio]]</f>
        <v>0</v>
      </c>
      <c r="N29">
        <f>RigheOfferte[[#This Row],[nr.pezzi ora-unita]]</f>
        <v>0</v>
      </c>
      <c r="O29">
        <f>Tabella1[[#This Row],[superificie]]*Resa</f>
        <v>0</v>
      </c>
      <c r="P29">
        <f>Tabella1[[#This Row],[KgPezzo]]*Tabella1[[#This Row],[q.ta offerta]]</f>
        <v>0</v>
      </c>
      <c r="Q29">
        <f>RigheOfferte[[#This Row],[QtaProtez]]</f>
        <v>0</v>
      </c>
      <c r="R29">
        <f>RigheOfferte[[#This Row],[Tipo Protezione]]</f>
        <v>0</v>
      </c>
    </row>
    <row r="30" spans="1:18">
      <c r="A30">
        <f>RigheOfferte[[#This Row],[Nprev]]</f>
        <v>0</v>
      </c>
      <c r="B30">
        <f>RigheOfferte[[#This Row],[Nriga]]</f>
        <v>0</v>
      </c>
      <c r="C30">
        <f>RigheOfferte[[#This Row],[Cliente]]</f>
        <v>0</v>
      </c>
      <c r="D30">
        <f>RigheOfferte[[#This Row],[sub_cliente]]</f>
        <v>0</v>
      </c>
      <c r="E30">
        <f>RigheOfferte[[#This Row],[cod.Art.]]</f>
        <v>0</v>
      </c>
      <c r="F30">
        <f>RigheOfferte[[#This Row],[Descrizione]]</f>
        <v>0</v>
      </c>
      <c r="G30">
        <f>RigheOfferte[[#This Row],[Q.ta'']]</f>
        <v>0</v>
      </c>
      <c r="H30">
        <f>RigheOfferte[[#This Row],[Lavorazione]]</f>
        <v>0</v>
      </c>
      <c r="I30">
        <f>RigheOfferte[[#This Row],[Colore]]</f>
        <v>0</v>
      </c>
      <c r="J30">
        <f>RigheOfferte[[#This Row],[Velocità]]</f>
        <v>0</v>
      </c>
      <c r="K30">
        <f>RigheOfferte[[#This Row],[Superf.pz Mq]]</f>
        <v>0</v>
      </c>
      <c r="L30">
        <f>RigheOfferte[[#This Row],[passo]]</f>
        <v>0</v>
      </c>
      <c r="M30">
        <f>RigheOfferte[[#This Row],[nr.pezzi Telaio]]</f>
        <v>0</v>
      </c>
      <c r="N30">
        <f>RigheOfferte[[#This Row],[nr.pezzi ora-unita]]</f>
        <v>0</v>
      </c>
      <c r="O30">
        <f>Tabella1[[#This Row],[superificie]]*Resa</f>
        <v>0</v>
      </c>
      <c r="P30">
        <f>Tabella1[[#This Row],[KgPezzo]]*Tabella1[[#This Row],[q.ta offerta]]</f>
        <v>0</v>
      </c>
      <c r="Q30">
        <f>RigheOfferte[[#This Row],[QtaProtez]]</f>
        <v>0</v>
      </c>
      <c r="R30">
        <f>RigheOfferte[[#This Row],[Tipo Protezione]]</f>
        <v>0</v>
      </c>
    </row>
    <row r="31" spans="1:18">
      <c r="A31">
        <f>RigheOfferte[[#This Row],[Nprev]]</f>
        <v>0</v>
      </c>
      <c r="B31">
        <f>RigheOfferte[[#This Row],[Nriga]]</f>
        <v>0</v>
      </c>
      <c r="C31">
        <f>RigheOfferte[[#This Row],[Cliente]]</f>
        <v>0</v>
      </c>
      <c r="D31">
        <f>RigheOfferte[[#This Row],[sub_cliente]]</f>
        <v>0</v>
      </c>
      <c r="E31">
        <f>RigheOfferte[[#This Row],[cod.Art.]]</f>
        <v>0</v>
      </c>
      <c r="F31">
        <f>RigheOfferte[[#This Row],[Descrizione]]</f>
        <v>0</v>
      </c>
      <c r="G31">
        <f>RigheOfferte[[#This Row],[Q.ta'']]</f>
        <v>0</v>
      </c>
      <c r="H31">
        <f>RigheOfferte[[#This Row],[Lavorazione]]</f>
        <v>0</v>
      </c>
      <c r="I31">
        <f>RigheOfferte[[#This Row],[Colore]]</f>
        <v>0</v>
      </c>
      <c r="J31">
        <f>RigheOfferte[[#This Row],[Velocità]]</f>
        <v>0</v>
      </c>
      <c r="K31">
        <f>RigheOfferte[[#This Row],[Superf.pz Mq]]</f>
        <v>0</v>
      </c>
      <c r="L31">
        <f>RigheOfferte[[#This Row],[passo]]</f>
        <v>0</v>
      </c>
      <c r="M31">
        <f>RigheOfferte[[#This Row],[nr.pezzi Telaio]]</f>
        <v>0</v>
      </c>
      <c r="N31">
        <f>RigheOfferte[[#This Row],[nr.pezzi ora-unita]]</f>
        <v>0</v>
      </c>
      <c r="O31">
        <f>Tabella1[[#This Row],[superificie]]*Resa</f>
        <v>0</v>
      </c>
      <c r="P31">
        <f>Tabella1[[#This Row],[KgPezzo]]*Tabella1[[#This Row],[q.ta offerta]]</f>
        <v>0</v>
      </c>
      <c r="Q31">
        <f>RigheOfferte[[#This Row],[QtaProtez]]</f>
        <v>0</v>
      </c>
      <c r="R31">
        <f>RigheOfferte[[#This Row],[Tipo Protezione]]</f>
        <v>0</v>
      </c>
    </row>
    <row r="32" spans="1:18">
      <c r="A32">
        <f>RigheOfferte[[#This Row],[Nprev]]</f>
        <v>0</v>
      </c>
      <c r="B32">
        <f>RigheOfferte[[#This Row],[Nriga]]</f>
        <v>0</v>
      </c>
      <c r="C32">
        <f>RigheOfferte[[#This Row],[Cliente]]</f>
        <v>0</v>
      </c>
      <c r="D32">
        <f>RigheOfferte[[#This Row],[sub_cliente]]</f>
        <v>0</v>
      </c>
      <c r="E32">
        <f>RigheOfferte[[#This Row],[cod.Art.]]</f>
        <v>0</v>
      </c>
      <c r="F32">
        <f>RigheOfferte[[#This Row],[Descrizione]]</f>
        <v>0</v>
      </c>
      <c r="G32">
        <f>RigheOfferte[[#This Row],[Q.ta'']]</f>
        <v>0</v>
      </c>
      <c r="H32">
        <f>RigheOfferte[[#This Row],[Lavorazione]]</f>
        <v>0</v>
      </c>
      <c r="I32">
        <f>RigheOfferte[[#This Row],[Colore]]</f>
        <v>0</v>
      </c>
      <c r="J32">
        <f>RigheOfferte[[#This Row],[Velocità]]</f>
        <v>0</v>
      </c>
      <c r="K32">
        <f>RigheOfferte[[#This Row],[Superf.pz Mq]]</f>
        <v>0</v>
      </c>
      <c r="L32">
        <f>RigheOfferte[[#This Row],[passo]]</f>
        <v>0</v>
      </c>
      <c r="M32">
        <f>RigheOfferte[[#This Row],[nr.pezzi Telaio]]</f>
        <v>0</v>
      </c>
      <c r="N32">
        <f>RigheOfferte[[#This Row],[nr.pezzi ora-unita]]</f>
        <v>0</v>
      </c>
      <c r="O32">
        <f>Tabella1[[#This Row],[superificie]]*Resa</f>
        <v>0</v>
      </c>
      <c r="P32">
        <f>Tabella1[[#This Row],[KgPezzo]]*Tabella1[[#This Row],[q.ta offerta]]</f>
        <v>0</v>
      </c>
      <c r="Q32">
        <f>RigheOfferte[[#This Row],[QtaProtez]]</f>
        <v>0</v>
      </c>
      <c r="R32">
        <f>RigheOfferte[[#This Row],[Tipo Protezione]]</f>
        <v>0</v>
      </c>
    </row>
    <row r="33" spans="1:18">
      <c r="A33">
        <f>RigheOfferte[[#This Row],[Nprev]]</f>
        <v>0</v>
      </c>
      <c r="B33">
        <f>RigheOfferte[[#This Row],[Nriga]]</f>
        <v>0</v>
      </c>
      <c r="C33">
        <f>RigheOfferte[[#This Row],[Cliente]]</f>
        <v>0</v>
      </c>
      <c r="D33">
        <f>RigheOfferte[[#This Row],[sub_cliente]]</f>
        <v>0</v>
      </c>
      <c r="E33">
        <f>RigheOfferte[[#This Row],[cod.Art.]]</f>
        <v>0</v>
      </c>
      <c r="F33">
        <f>RigheOfferte[[#This Row],[Descrizione]]</f>
        <v>0</v>
      </c>
      <c r="G33">
        <f>RigheOfferte[[#This Row],[Q.ta'']]</f>
        <v>0</v>
      </c>
      <c r="H33">
        <f>RigheOfferte[[#This Row],[Lavorazione]]</f>
        <v>0</v>
      </c>
      <c r="I33">
        <f>RigheOfferte[[#This Row],[Colore]]</f>
        <v>0</v>
      </c>
      <c r="J33">
        <f>RigheOfferte[[#This Row],[Velocità]]</f>
        <v>0</v>
      </c>
      <c r="K33">
        <f>RigheOfferte[[#This Row],[Superf.pz Mq]]</f>
        <v>0</v>
      </c>
      <c r="L33">
        <f>RigheOfferte[[#This Row],[passo]]</f>
        <v>0</v>
      </c>
      <c r="M33">
        <f>RigheOfferte[[#This Row],[nr.pezzi Telaio]]</f>
        <v>0</v>
      </c>
      <c r="N33">
        <f>RigheOfferte[[#This Row],[nr.pezzi ora-unita]]</f>
        <v>0</v>
      </c>
      <c r="O33">
        <f>Tabella1[[#This Row],[superificie]]*Resa</f>
        <v>0</v>
      </c>
      <c r="P33">
        <f>Tabella1[[#This Row],[KgPezzo]]*Tabella1[[#This Row],[q.ta offerta]]</f>
        <v>0</v>
      </c>
      <c r="Q33">
        <f>RigheOfferte[[#This Row],[QtaProtez]]</f>
        <v>0</v>
      </c>
      <c r="R33">
        <f>RigheOfferte[[#This Row],[Tipo Protezione]]</f>
        <v>0</v>
      </c>
    </row>
    <row r="34" spans="1:18">
      <c r="A34">
        <f>RigheOfferte[[#This Row],[Nprev]]</f>
        <v>0</v>
      </c>
      <c r="B34">
        <f>RigheOfferte[[#This Row],[Nriga]]</f>
        <v>0</v>
      </c>
      <c r="C34">
        <f>RigheOfferte[[#This Row],[Cliente]]</f>
        <v>0</v>
      </c>
      <c r="D34">
        <f>RigheOfferte[[#This Row],[sub_cliente]]</f>
        <v>0</v>
      </c>
      <c r="E34">
        <f>RigheOfferte[[#This Row],[cod.Art.]]</f>
        <v>0</v>
      </c>
      <c r="F34">
        <f>RigheOfferte[[#This Row],[Descrizione]]</f>
        <v>0</v>
      </c>
      <c r="G34">
        <f>RigheOfferte[[#This Row],[Q.ta'']]</f>
        <v>0</v>
      </c>
      <c r="H34">
        <f>RigheOfferte[[#This Row],[Lavorazione]]</f>
        <v>0</v>
      </c>
      <c r="I34">
        <f>RigheOfferte[[#This Row],[Colore]]</f>
        <v>0</v>
      </c>
      <c r="J34">
        <f>RigheOfferte[[#This Row],[Velocità]]</f>
        <v>0</v>
      </c>
      <c r="K34">
        <f>RigheOfferte[[#This Row],[Superf.pz Mq]]</f>
        <v>0</v>
      </c>
      <c r="L34">
        <f>RigheOfferte[[#This Row],[passo]]</f>
        <v>0</v>
      </c>
      <c r="M34">
        <f>RigheOfferte[[#This Row],[nr.pezzi Telaio]]</f>
        <v>0</v>
      </c>
      <c r="N34">
        <f>RigheOfferte[[#This Row],[nr.pezzi ora-unita]]</f>
        <v>0</v>
      </c>
      <c r="O34">
        <f>Tabella1[[#This Row],[superificie]]*Resa</f>
        <v>0</v>
      </c>
      <c r="P34">
        <f>Tabella1[[#This Row],[KgPezzo]]*Tabella1[[#This Row],[q.ta offerta]]</f>
        <v>0</v>
      </c>
      <c r="Q34">
        <f>RigheOfferte[[#This Row],[QtaProtez]]</f>
        <v>0</v>
      </c>
      <c r="R34">
        <f>RigheOfferte[[#This Row],[Tipo Protezione]]</f>
        <v>0</v>
      </c>
    </row>
    <row r="35" spans="1:18">
      <c r="A35">
        <f>RigheOfferte[[#This Row],[Nprev]]</f>
        <v>0</v>
      </c>
      <c r="B35">
        <f>RigheOfferte[[#This Row],[Nriga]]</f>
        <v>0</v>
      </c>
      <c r="C35">
        <f>RigheOfferte[[#This Row],[Cliente]]</f>
        <v>0</v>
      </c>
      <c r="D35">
        <f>RigheOfferte[[#This Row],[sub_cliente]]</f>
        <v>0</v>
      </c>
      <c r="E35">
        <f>RigheOfferte[[#This Row],[cod.Art.]]</f>
        <v>0</v>
      </c>
      <c r="F35">
        <f>RigheOfferte[[#This Row],[Descrizione]]</f>
        <v>0</v>
      </c>
      <c r="G35">
        <f>RigheOfferte[[#This Row],[Q.ta'']]</f>
        <v>0</v>
      </c>
      <c r="H35">
        <f>RigheOfferte[[#This Row],[Lavorazione]]</f>
        <v>0</v>
      </c>
      <c r="I35">
        <f>RigheOfferte[[#This Row],[Colore]]</f>
        <v>0</v>
      </c>
      <c r="J35">
        <f>RigheOfferte[[#This Row],[Velocità]]</f>
        <v>0</v>
      </c>
      <c r="K35">
        <f>RigheOfferte[[#This Row],[Superf.pz Mq]]</f>
        <v>0</v>
      </c>
      <c r="L35">
        <f>RigheOfferte[[#This Row],[passo]]</f>
        <v>0</v>
      </c>
      <c r="M35">
        <f>RigheOfferte[[#This Row],[nr.pezzi Telaio]]</f>
        <v>0</v>
      </c>
      <c r="N35">
        <f>RigheOfferte[[#This Row],[nr.pezzi ora-unita]]</f>
        <v>0</v>
      </c>
      <c r="O35">
        <f>Tabella1[[#This Row],[superificie]]*Resa</f>
        <v>0</v>
      </c>
      <c r="P35">
        <f>Tabella1[[#This Row],[KgPezzo]]*Tabella1[[#This Row],[q.ta offerta]]</f>
        <v>0</v>
      </c>
      <c r="Q35">
        <f>RigheOfferte[[#This Row],[QtaProtez]]</f>
        <v>0</v>
      </c>
      <c r="R35">
        <f>RigheOfferte[[#This Row],[Tipo Protezione]]</f>
        <v>0</v>
      </c>
    </row>
    <row r="36" spans="1:18">
      <c r="A36">
        <f>RigheOfferte[[#This Row],[Nprev]]</f>
        <v>0</v>
      </c>
      <c r="B36">
        <f>RigheOfferte[[#This Row],[Nriga]]</f>
        <v>0</v>
      </c>
      <c r="C36">
        <f>RigheOfferte[[#This Row],[Cliente]]</f>
        <v>0</v>
      </c>
      <c r="D36">
        <f>RigheOfferte[[#This Row],[sub_cliente]]</f>
        <v>0</v>
      </c>
      <c r="E36">
        <f>RigheOfferte[[#This Row],[cod.Art.]]</f>
        <v>0</v>
      </c>
      <c r="F36">
        <f>RigheOfferte[[#This Row],[Descrizione]]</f>
        <v>0</v>
      </c>
      <c r="G36">
        <f>RigheOfferte[[#This Row],[Q.ta'']]</f>
        <v>0</v>
      </c>
      <c r="H36">
        <f>RigheOfferte[[#This Row],[Lavorazione]]</f>
        <v>0</v>
      </c>
      <c r="I36">
        <f>RigheOfferte[[#This Row],[Colore]]</f>
        <v>0</v>
      </c>
      <c r="J36">
        <f>RigheOfferte[[#This Row],[Velocità]]</f>
        <v>0</v>
      </c>
      <c r="K36">
        <f>RigheOfferte[[#This Row],[Superf.pz Mq]]</f>
        <v>0</v>
      </c>
      <c r="L36">
        <f>RigheOfferte[[#This Row],[passo]]</f>
        <v>0</v>
      </c>
      <c r="M36">
        <f>RigheOfferte[[#This Row],[nr.pezzi Telaio]]</f>
        <v>0</v>
      </c>
      <c r="N36">
        <f>RigheOfferte[[#This Row],[nr.pezzi ora-unita]]</f>
        <v>0</v>
      </c>
      <c r="O36">
        <f>Tabella1[[#This Row],[superificie]]*Resa</f>
        <v>0</v>
      </c>
      <c r="P36">
        <f>Tabella1[[#This Row],[KgPezzo]]*Tabella1[[#This Row],[q.ta offerta]]</f>
        <v>0</v>
      </c>
      <c r="Q36">
        <f>RigheOfferte[[#This Row],[QtaProtez]]</f>
        <v>0</v>
      </c>
      <c r="R36">
        <f>RigheOfferte[[#This Row],[Tipo Protezione]]</f>
        <v>0</v>
      </c>
    </row>
    <row r="37" spans="1:18">
      <c r="A37">
        <f>RigheOfferte[[#This Row],[Nprev]]</f>
        <v>0</v>
      </c>
      <c r="B37">
        <f>RigheOfferte[[#This Row],[Nriga]]</f>
        <v>0</v>
      </c>
      <c r="C37">
        <f>RigheOfferte[[#This Row],[Cliente]]</f>
        <v>0</v>
      </c>
      <c r="D37">
        <f>RigheOfferte[[#This Row],[sub_cliente]]</f>
        <v>0</v>
      </c>
      <c r="E37">
        <f>RigheOfferte[[#This Row],[cod.Art.]]</f>
        <v>0</v>
      </c>
      <c r="F37">
        <f>RigheOfferte[[#This Row],[Descrizione]]</f>
        <v>0</v>
      </c>
      <c r="G37">
        <f>RigheOfferte[[#This Row],[Q.ta'']]</f>
        <v>0</v>
      </c>
      <c r="H37">
        <f>RigheOfferte[[#This Row],[Lavorazione]]</f>
        <v>0</v>
      </c>
      <c r="I37">
        <f>RigheOfferte[[#This Row],[Colore]]</f>
        <v>0</v>
      </c>
      <c r="J37">
        <f>RigheOfferte[[#This Row],[Velocità]]</f>
        <v>0</v>
      </c>
      <c r="K37">
        <f>RigheOfferte[[#This Row],[Superf.pz Mq]]</f>
        <v>0</v>
      </c>
      <c r="L37">
        <f>RigheOfferte[[#This Row],[passo]]</f>
        <v>0</v>
      </c>
      <c r="M37">
        <f>RigheOfferte[[#This Row],[nr.pezzi Telaio]]</f>
        <v>0</v>
      </c>
      <c r="N37">
        <f>RigheOfferte[[#This Row],[nr.pezzi ora-unita]]</f>
        <v>0</v>
      </c>
      <c r="O37">
        <f>Tabella1[[#This Row],[superificie]]*Resa</f>
        <v>0</v>
      </c>
      <c r="P37">
        <f>Tabella1[[#This Row],[KgPezzo]]*Tabella1[[#This Row],[q.ta offerta]]</f>
        <v>0</v>
      </c>
      <c r="Q37">
        <f>RigheOfferte[[#This Row],[QtaProtez]]</f>
        <v>0</v>
      </c>
      <c r="R37">
        <f>RigheOfferte[[#This Row],[Tipo Protezione]]</f>
        <v>0</v>
      </c>
    </row>
    <row r="38" spans="1:18">
      <c r="A38">
        <f>RigheOfferte[[#This Row],[Nprev]]</f>
        <v>0</v>
      </c>
      <c r="B38">
        <f>RigheOfferte[[#This Row],[Nriga]]</f>
        <v>0</v>
      </c>
      <c r="C38">
        <f>RigheOfferte[[#This Row],[Cliente]]</f>
        <v>0</v>
      </c>
      <c r="D38">
        <f>RigheOfferte[[#This Row],[sub_cliente]]</f>
        <v>0</v>
      </c>
      <c r="E38">
        <f>RigheOfferte[[#This Row],[cod.Art.]]</f>
        <v>0</v>
      </c>
      <c r="F38">
        <f>RigheOfferte[[#This Row],[Descrizione]]</f>
        <v>0</v>
      </c>
      <c r="G38">
        <f>RigheOfferte[[#This Row],[Q.ta'']]</f>
        <v>0</v>
      </c>
      <c r="H38">
        <f>RigheOfferte[[#This Row],[Lavorazione]]</f>
        <v>0</v>
      </c>
      <c r="I38">
        <f>RigheOfferte[[#This Row],[Colore]]</f>
        <v>0</v>
      </c>
      <c r="J38">
        <f>RigheOfferte[[#This Row],[Velocità]]</f>
        <v>0</v>
      </c>
      <c r="K38">
        <f>RigheOfferte[[#This Row],[Superf.pz Mq]]</f>
        <v>0</v>
      </c>
      <c r="L38">
        <f>RigheOfferte[[#This Row],[passo]]</f>
        <v>0</v>
      </c>
      <c r="M38">
        <f>RigheOfferte[[#This Row],[nr.pezzi Telaio]]</f>
        <v>0</v>
      </c>
      <c r="N38">
        <f>RigheOfferte[[#This Row],[nr.pezzi ora-unita]]</f>
        <v>0</v>
      </c>
      <c r="O38">
        <f>Tabella1[[#This Row],[superificie]]*Resa</f>
        <v>0</v>
      </c>
      <c r="P38">
        <f>Tabella1[[#This Row],[KgPezzo]]*Tabella1[[#This Row],[q.ta offerta]]</f>
        <v>0</v>
      </c>
      <c r="Q38">
        <f>RigheOfferte[[#This Row],[QtaProtez]]</f>
        <v>0</v>
      </c>
      <c r="R38">
        <f>RigheOfferte[[#This Row],[Tipo Protezione]]</f>
        <v>0</v>
      </c>
    </row>
    <row r="39" spans="1:18">
      <c r="A39">
        <f>RigheOfferte[[#This Row],[Nprev]]</f>
        <v>0</v>
      </c>
      <c r="B39">
        <f>RigheOfferte[[#This Row],[Nriga]]</f>
        <v>0</v>
      </c>
      <c r="C39">
        <f>RigheOfferte[[#This Row],[Cliente]]</f>
        <v>0</v>
      </c>
      <c r="D39">
        <f>RigheOfferte[[#This Row],[sub_cliente]]</f>
        <v>0</v>
      </c>
      <c r="E39">
        <f>RigheOfferte[[#This Row],[cod.Art.]]</f>
        <v>0</v>
      </c>
      <c r="F39">
        <f>RigheOfferte[[#This Row],[Descrizione]]</f>
        <v>0</v>
      </c>
      <c r="G39">
        <f>RigheOfferte[[#This Row],[Q.ta'']]</f>
        <v>0</v>
      </c>
      <c r="H39">
        <f>RigheOfferte[[#This Row],[Lavorazione]]</f>
        <v>0</v>
      </c>
      <c r="I39">
        <f>RigheOfferte[[#This Row],[Colore]]</f>
        <v>0</v>
      </c>
      <c r="J39">
        <f>RigheOfferte[[#This Row],[Velocità]]</f>
        <v>0</v>
      </c>
      <c r="K39">
        <f>RigheOfferte[[#This Row],[Superf.pz Mq]]</f>
        <v>0</v>
      </c>
      <c r="L39">
        <f>RigheOfferte[[#This Row],[passo]]</f>
        <v>0</v>
      </c>
      <c r="M39">
        <f>RigheOfferte[[#This Row],[nr.pezzi Telaio]]</f>
        <v>0</v>
      </c>
      <c r="N39">
        <f>RigheOfferte[[#This Row],[nr.pezzi ora-unita]]</f>
        <v>0</v>
      </c>
      <c r="O39">
        <f>Tabella1[[#This Row],[superificie]]*Resa</f>
        <v>0</v>
      </c>
      <c r="P39">
        <f>Tabella1[[#This Row],[KgPezzo]]*Tabella1[[#This Row],[q.ta offerta]]</f>
        <v>0</v>
      </c>
      <c r="Q39">
        <f>RigheOfferte[[#This Row],[QtaProtez]]</f>
        <v>0</v>
      </c>
      <c r="R39">
        <f>RigheOfferte[[#This Row],[Tipo Protezione]]</f>
        <v>0</v>
      </c>
    </row>
    <row r="40" spans="1:18">
      <c r="A40">
        <f>RigheOfferte[[#This Row],[Nprev]]</f>
        <v>0</v>
      </c>
      <c r="B40">
        <f>RigheOfferte[[#This Row],[Nriga]]</f>
        <v>0</v>
      </c>
      <c r="C40">
        <f>RigheOfferte[[#This Row],[Cliente]]</f>
        <v>0</v>
      </c>
      <c r="D40">
        <f>RigheOfferte[[#This Row],[sub_cliente]]</f>
        <v>0</v>
      </c>
      <c r="E40">
        <f>RigheOfferte[[#This Row],[cod.Art.]]</f>
        <v>0</v>
      </c>
      <c r="F40">
        <f>RigheOfferte[[#This Row],[Descrizione]]</f>
        <v>0</v>
      </c>
      <c r="G40">
        <f>RigheOfferte[[#This Row],[Q.ta'']]</f>
        <v>0</v>
      </c>
      <c r="H40">
        <f>RigheOfferte[[#This Row],[Lavorazione]]</f>
        <v>0</v>
      </c>
      <c r="I40">
        <f>RigheOfferte[[#This Row],[Colore]]</f>
        <v>0</v>
      </c>
      <c r="J40">
        <f>RigheOfferte[[#This Row],[Velocità]]</f>
        <v>0</v>
      </c>
      <c r="K40">
        <f>RigheOfferte[[#This Row],[Superf.pz Mq]]</f>
        <v>0</v>
      </c>
      <c r="L40">
        <f>RigheOfferte[[#This Row],[passo]]</f>
        <v>0</v>
      </c>
      <c r="M40">
        <f>RigheOfferte[[#This Row],[nr.pezzi Telaio]]</f>
        <v>0</v>
      </c>
      <c r="N40">
        <f>RigheOfferte[[#This Row],[nr.pezzi ora-unita]]</f>
        <v>0</v>
      </c>
      <c r="O40">
        <f>Tabella1[[#This Row],[superificie]]*Resa</f>
        <v>0</v>
      </c>
      <c r="P40">
        <f>Tabella1[[#This Row],[KgPezzo]]*Tabella1[[#This Row],[q.ta offerta]]</f>
        <v>0</v>
      </c>
      <c r="Q40">
        <f>RigheOfferte[[#This Row],[QtaProtez]]</f>
        <v>0</v>
      </c>
      <c r="R40">
        <f>RigheOfferte[[#This Row],[Tipo Protezione]]</f>
        <v>0</v>
      </c>
    </row>
    <row r="41" spans="1:18">
      <c r="A41">
        <f>RigheOfferte[[#This Row],[Nprev]]</f>
        <v>0</v>
      </c>
      <c r="B41">
        <f>RigheOfferte[[#This Row],[Nriga]]</f>
        <v>0</v>
      </c>
      <c r="C41">
        <f>RigheOfferte[[#This Row],[Cliente]]</f>
        <v>0</v>
      </c>
      <c r="D41">
        <f>RigheOfferte[[#This Row],[sub_cliente]]</f>
        <v>0</v>
      </c>
      <c r="E41">
        <f>RigheOfferte[[#This Row],[cod.Art.]]</f>
        <v>0</v>
      </c>
      <c r="F41">
        <f>RigheOfferte[[#This Row],[Descrizione]]</f>
        <v>0</v>
      </c>
      <c r="G41">
        <f>RigheOfferte[[#This Row],[Q.ta'']]</f>
        <v>0</v>
      </c>
      <c r="H41">
        <f>RigheOfferte[[#This Row],[Lavorazione]]</f>
        <v>0</v>
      </c>
      <c r="I41">
        <f>RigheOfferte[[#This Row],[Colore]]</f>
        <v>0</v>
      </c>
      <c r="J41">
        <f>RigheOfferte[[#This Row],[Velocità]]</f>
        <v>0</v>
      </c>
      <c r="K41">
        <f>RigheOfferte[[#This Row],[Superf.pz Mq]]</f>
        <v>0</v>
      </c>
      <c r="L41">
        <f>RigheOfferte[[#This Row],[passo]]</f>
        <v>0</v>
      </c>
      <c r="M41">
        <f>RigheOfferte[[#This Row],[nr.pezzi Telaio]]</f>
        <v>0</v>
      </c>
      <c r="N41">
        <f>RigheOfferte[[#This Row],[nr.pezzi ora-unita]]</f>
        <v>0</v>
      </c>
      <c r="O41">
        <f>Tabella1[[#This Row],[superificie]]*Resa</f>
        <v>0</v>
      </c>
      <c r="P41">
        <f>Tabella1[[#This Row],[KgPezzo]]*Tabella1[[#This Row],[q.ta offerta]]</f>
        <v>0</v>
      </c>
      <c r="Q41">
        <f>RigheOfferte[[#This Row],[QtaProtez]]</f>
        <v>0</v>
      </c>
      <c r="R41">
        <f>RigheOfferte[[#This Row],[Tipo Protezione]]</f>
        <v>0</v>
      </c>
    </row>
    <row r="42" spans="1:18">
      <c r="A42">
        <f>RigheOfferte[[#This Row],[Nprev]]</f>
        <v>0</v>
      </c>
      <c r="B42">
        <f>RigheOfferte[[#This Row],[Nriga]]</f>
        <v>0</v>
      </c>
      <c r="C42">
        <f>RigheOfferte[[#This Row],[Cliente]]</f>
        <v>0</v>
      </c>
      <c r="D42">
        <f>RigheOfferte[[#This Row],[sub_cliente]]</f>
        <v>0</v>
      </c>
      <c r="E42">
        <f>RigheOfferte[[#This Row],[cod.Art.]]</f>
        <v>0</v>
      </c>
      <c r="F42">
        <f>RigheOfferte[[#This Row],[Descrizione]]</f>
        <v>0</v>
      </c>
      <c r="G42">
        <f>RigheOfferte[[#This Row],[Q.ta'']]</f>
        <v>0</v>
      </c>
      <c r="H42">
        <f>RigheOfferte[[#This Row],[Lavorazione]]</f>
        <v>0</v>
      </c>
      <c r="I42">
        <f>RigheOfferte[[#This Row],[Colore]]</f>
        <v>0</v>
      </c>
      <c r="J42">
        <f>RigheOfferte[[#This Row],[Velocità]]</f>
        <v>0</v>
      </c>
      <c r="K42">
        <f>RigheOfferte[[#This Row],[Superf.pz Mq]]</f>
        <v>0</v>
      </c>
      <c r="L42">
        <f>RigheOfferte[[#This Row],[passo]]</f>
        <v>0</v>
      </c>
      <c r="M42">
        <f>RigheOfferte[[#This Row],[nr.pezzi Telaio]]</f>
        <v>0</v>
      </c>
      <c r="N42">
        <f>RigheOfferte[[#This Row],[nr.pezzi ora-unita]]</f>
        <v>0</v>
      </c>
      <c r="O42">
        <f>Tabella1[[#This Row],[superificie]]*Resa</f>
        <v>0</v>
      </c>
      <c r="P42">
        <f>Tabella1[[#This Row],[KgPezzo]]*Tabella1[[#This Row],[q.ta offerta]]</f>
        <v>0</v>
      </c>
      <c r="Q42">
        <f>RigheOfferte[[#This Row],[QtaProtez]]</f>
        <v>0</v>
      </c>
      <c r="R42">
        <f>RigheOfferte[[#This Row],[Tipo Protezione]]</f>
        <v>0</v>
      </c>
    </row>
    <row r="43" spans="1:18">
      <c r="A43">
        <f>RigheOfferte[[#This Row],[Nprev]]</f>
        <v>0</v>
      </c>
      <c r="B43">
        <f>RigheOfferte[[#This Row],[Nriga]]</f>
        <v>0</v>
      </c>
      <c r="C43">
        <f>RigheOfferte[[#This Row],[Cliente]]</f>
        <v>0</v>
      </c>
      <c r="D43">
        <f>RigheOfferte[[#This Row],[sub_cliente]]</f>
        <v>0</v>
      </c>
      <c r="E43">
        <f>RigheOfferte[[#This Row],[cod.Art.]]</f>
        <v>0</v>
      </c>
      <c r="F43">
        <f>RigheOfferte[[#This Row],[Descrizione]]</f>
        <v>0</v>
      </c>
      <c r="G43">
        <f>RigheOfferte[[#This Row],[Q.ta'']]</f>
        <v>0</v>
      </c>
      <c r="H43">
        <f>RigheOfferte[[#This Row],[Lavorazione]]</f>
        <v>0</v>
      </c>
      <c r="I43">
        <f>RigheOfferte[[#This Row],[Colore]]</f>
        <v>0</v>
      </c>
      <c r="J43">
        <f>RigheOfferte[[#This Row],[Velocità]]</f>
        <v>0</v>
      </c>
      <c r="K43">
        <f>RigheOfferte[[#This Row],[Superf.pz Mq]]</f>
        <v>0</v>
      </c>
      <c r="L43">
        <f>RigheOfferte[[#This Row],[passo]]</f>
        <v>0</v>
      </c>
      <c r="M43">
        <f>RigheOfferte[[#This Row],[nr.pezzi Telaio]]</f>
        <v>0</v>
      </c>
      <c r="N43">
        <f>RigheOfferte[[#This Row],[nr.pezzi ora-unita]]</f>
        <v>0</v>
      </c>
      <c r="O43">
        <f>Tabella1[[#This Row],[superificie]]*Resa</f>
        <v>0</v>
      </c>
      <c r="P43">
        <f>Tabella1[[#This Row],[KgPezzo]]*Tabella1[[#This Row],[q.ta offerta]]</f>
        <v>0</v>
      </c>
      <c r="Q43">
        <f>RigheOfferte[[#This Row],[QtaProtez]]</f>
        <v>0</v>
      </c>
      <c r="R43">
        <f>RigheOfferte[[#This Row],[Tipo Protezione]]</f>
        <v>0</v>
      </c>
    </row>
    <row r="44" spans="1:18">
      <c r="A44">
        <f>RigheOfferte[[#This Row],[Nprev]]</f>
        <v>0</v>
      </c>
      <c r="B44">
        <f>RigheOfferte[[#This Row],[Nriga]]</f>
        <v>0</v>
      </c>
      <c r="C44">
        <f>RigheOfferte[[#This Row],[Cliente]]</f>
        <v>0</v>
      </c>
      <c r="D44">
        <f>RigheOfferte[[#This Row],[sub_cliente]]</f>
        <v>0</v>
      </c>
      <c r="E44">
        <f>RigheOfferte[[#This Row],[cod.Art.]]</f>
        <v>0</v>
      </c>
      <c r="F44">
        <f>RigheOfferte[[#This Row],[Descrizione]]</f>
        <v>0</v>
      </c>
      <c r="G44">
        <f>RigheOfferte[[#This Row],[Q.ta'']]</f>
        <v>0</v>
      </c>
      <c r="H44">
        <f>RigheOfferte[[#This Row],[Lavorazione]]</f>
        <v>0</v>
      </c>
      <c r="I44">
        <f>RigheOfferte[[#This Row],[Colore]]</f>
        <v>0</v>
      </c>
      <c r="J44">
        <f>RigheOfferte[[#This Row],[Velocità]]</f>
        <v>0</v>
      </c>
      <c r="K44">
        <f>RigheOfferte[[#This Row],[Superf.pz Mq]]</f>
        <v>0</v>
      </c>
      <c r="L44">
        <f>RigheOfferte[[#This Row],[passo]]</f>
        <v>0</v>
      </c>
      <c r="M44">
        <f>RigheOfferte[[#This Row],[nr.pezzi Telaio]]</f>
        <v>0</v>
      </c>
      <c r="N44">
        <f>RigheOfferte[[#This Row],[nr.pezzi ora-unita]]</f>
        <v>0</v>
      </c>
      <c r="O44">
        <f>Tabella1[[#This Row],[superificie]]*Resa</f>
        <v>0</v>
      </c>
      <c r="P44">
        <f>Tabella1[[#This Row],[KgPezzo]]*Tabella1[[#This Row],[q.ta offerta]]</f>
        <v>0</v>
      </c>
      <c r="Q44">
        <f>RigheOfferte[[#This Row],[QtaProtez]]</f>
        <v>0</v>
      </c>
      <c r="R44">
        <f>RigheOfferte[[#This Row],[Tipo Protezione]]</f>
        <v>0</v>
      </c>
    </row>
    <row r="45" spans="1:18">
      <c r="A45">
        <f>RigheOfferte[[#This Row],[Nprev]]</f>
        <v>0</v>
      </c>
      <c r="B45">
        <f>RigheOfferte[[#This Row],[Nriga]]</f>
        <v>0</v>
      </c>
      <c r="C45">
        <f>RigheOfferte[[#This Row],[Cliente]]</f>
        <v>0</v>
      </c>
      <c r="D45">
        <f>RigheOfferte[[#This Row],[sub_cliente]]</f>
        <v>0</v>
      </c>
      <c r="E45">
        <f>RigheOfferte[[#This Row],[cod.Art.]]</f>
        <v>0</v>
      </c>
      <c r="F45">
        <f>RigheOfferte[[#This Row],[Descrizione]]</f>
        <v>0</v>
      </c>
      <c r="G45">
        <f>RigheOfferte[[#This Row],[Q.ta'']]</f>
        <v>0</v>
      </c>
      <c r="H45">
        <f>RigheOfferte[[#This Row],[Lavorazione]]</f>
        <v>0</v>
      </c>
      <c r="I45">
        <f>RigheOfferte[[#This Row],[Colore]]</f>
        <v>0</v>
      </c>
      <c r="J45">
        <f>RigheOfferte[[#This Row],[Velocità]]</f>
        <v>0</v>
      </c>
      <c r="K45">
        <f>RigheOfferte[[#This Row],[Superf.pz Mq]]</f>
        <v>0</v>
      </c>
      <c r="L45">
        <f>RigheOfferte[[#This Row],[passo]]</f>
        <v>0</v>
      </c>
      <c r="M45">
        <f>RigheOfferte[[#This Row],[nr.pezzi Telaio]]</f>
        <v>0</v>
      </c>
      <c r="N45">
        <f>RigheOfferte[[#This Row],[nr.pezzi ora-unita]]</f>
        <v>0</v>
      </c>
      <c r="O45">
        <f>Tabella1[[#This Row],[superificie]]*Resa</f>
        <v>0</v>
      </c>
      <c r="P45">
        <f>Tabella1[[#This Row],[KgPezzo]]*Tabella1[[#This Row],[q.ta offerta]]</f>
        <v>0</v>
      </c>
      <c r="Q45">
        <f>RigheOfferte[[#This Row],[QtaProtez]]</f>
        <v>0</v>
      </c>
      <c r="R45">
        <f>RigheOfferte[[#This Row],[Tipo Protezione]]</f>
        <v>0</v>
      </c>
    </row>
    <row r="46" spans="1:18">
      <c r="A46">
        <f>RigheOfferte[[#This Row],[Nprev]]</f>
        <v>0</v>
      </c>
      <c r="B46">
        <f>RigheOfferte[[#This Row],[Nriga]]</f>
        <v>0</v>
      </c>
      <c r="C46">
        <f>RigheOfferte[[#This Row],[Cliente]]</f>
        <v>0</v>
      </c>
      <c r="D46">
        <f>RigheOfferte[[#This Row],[sub_cliente]]</f>
        <v>0</v>
      </c>
      <c r="E46">
        <f>RigheOfferte[[#This Row],[cod.Art.]]</f>
        <v>0</v>
      </c>
      <c r="F46">
        <f>RigheOfferte[[#This Row],[Descrizione]]</f>
        <v>0</v>
      </c>
      <c r="G46">
        <f>RigheOfferte[[#This Row],[Q.ta'']]</f>
        <v>0</v>
      </c>
      <c r="H46">
        <f>RigheOfferte[[#This Row],[Lavorazione]]</f>
        <v>0</v>
      </c>
      <c r="I46">
        <f>RigheOfferte[[#This Row],[Colore]]</f>
        <v>0</v>
      </c>
      <c r="J46">
        <f>RigheOfferte[[#This Row],[Velocità]]</f>
        <v>0</v>
      </c>
      <c r="K46">
        <f>RigheOfferte[[#This Row],[Superf.pz Mq]]</f>
        <v>0</v>
      </c>
      <c r="L46">
        <f>RigheOfferte[[#This Row],[passo]]</f>
        <v>0</v>
      </c>
      <c r="M46">
        <f>RigheOfferte[[#This Row],[nr.pezzi Telaio]]</f>
        <v>0</v>
      </c>
      <c r="N46">
        <f>RigheOfferte[[#This Row],[nr.pezzi ora-unita]]</f>
        <v>0</v>
      </c>
      <c r="O46">
        <f>Tabella1[[#This Row],[superificie]]*Resa</f>
        <v>0</v>
      </c>
      <c r="P46">
        <f>Tabella1[[#This Row],[KgPezzo]]*Tabella1[[#This Row],[q.ta offerta]]</f>
        <v>0</v>
      </c>
      <c r="Q46">
        <f>RigheOfferte[[#This Row],[QtaProtez]]</f>
        <v>0</v>
      </c>
      <c r="R46">
        <f>RigheOfferte[[#This Row],[Tipo Protezione]]</f>
        <v>0</v>
      </c>
    </row>
    <row r="47" spans="1:18">
      <c r="A47">
        <f>RigheOfferte[[#This Row],[Nprev]]</f>
        <v>0</v>
      </c>
      <c r="B47">
        <f>RigheOfferte[[#This Row],[Nriga]]</f>
        <v>0</v>
      </c>
      <c r="C47">
        <f>RigheOfferte[[#This Row],[Cliente]]</f>
        <v>0</v>
      </c>
      <c r="D47">
        <f>RigheOfferte[[#This Row],[sub_cliente]]</f>
        <v>0</v>
      </c>
      <c r="E47">
        <f>RigheOfferte[[#This Row],[cod.Art.]]</f>
        <v>0</v>
      </c>
      <c r="F47">
        <f>RigheOfferte[[#This Row],[Descrizione]]</f>
        <v>0</v>
      </c>
      <c r="G47">
        <f>RigheOfferte[[#This Row],[Q.ta'']]</f>
        <v>0</v>
      </c>
      <c r="H47">
        <f>RigheOfferte[[#This Row],[Lavorazione]]</f>
        <v>0</v>
      </c>
      <c r="I47">
        <f>RigheOfferte[[#This Row],[Colore]]</f>
        <v>0</v>
      </c>
      <c r="J47">
        <f>RigheOfferte[[#This Row],[Velocità]]</f>
        <v>0</v>
      </c>
      <c r="K47">
        <f>RigheOfferte[[#This Row],[Superf.pz Mq]]</f>
        <v>0</v>
      </c>
      <c r="L47">
        <f>RigheOfferte[[#This Row],[passo]]</f>
        <v>0</v>
      </c>
      <c r="M47">
        <f>RigheOfferte[[#This Row],[nr.pezzi Telaio]]</f>
        <v>0</v>
      </c>
      <c r="N47">
        <f>RigheOfferte[[#This Row],[nr.pezzi ora-unita]]</f>
        <v>0</v>
      </c>
      <c r="O47">
        <f>Tabella1[[#This Row],[superificie]]*Resa</f>
        <v>0</v>
      </c>
      <c r="P47">
        <f>Tabella1[[#This Row],[KgPezzo]]*Tabella1[[#This Row],[q.ta offerta]]</f>
        <v>0</v>
      </c>
      <c r="Q47">
        <f>RigheOfferte[[#This Row],[QtaProtez]]</f>
        <v>0</v>
      </c>
      <c r="R47">
        <f>RigheOfferte[[#This Row],[Tipo Protezione]]</f>
        <v>0</v>
      </c>
    </row>
    <row r="48" spans="1:18">
      <c r="A48">
        <f>RigheOfferte[[#This Row],[Nprev]]</f>
        <v>0</v>
      </c>
      <c r="B48">
        <f>RigheOfferte[[#This Row],[Nriga]]</f>
        <v>0</v>
      </c>
      <c r="C48">
        <f>RigheOfferte[[#This Row],[Cliente]]</f>
        <v>0</v>
      </c>
      <c r="D48">
        <f>RigheOfferte[[#This Row],[sub_cliente]]</f>
        <v>0</v>
      </c>
      <c r="E48">
        <f>RigheOfferte[[#This Row],[cod.Art.]]</f>
        <v>0</v>
      </c>
      <c r="F48">
        <f>RigheOfferte[[#This Row],[Descrizione]]</f>
        <v>0</v>
      </c>
      <c r="G48">
        <f>RigheOfferte[[#This Row],[Q.ta'']]</f>
        <v>0</v>
      </c>
      <c r="H48">
        <f>RigheOfferte[[#This Row],[Lavorazione]]</f>
        <v>0</v>
      </c>
      <c r="I48">
        <f>RigheOfferte[[#This Row],[Colore]]</f>
        <v>0</v>
      </c>
      <c r="J48">
        <f>RigheOfferte[[#This Row],[Velocità]]</f>
        <v>0</v>
      </c>
      <c r="K48">
        <f>RigheOfferte[[#This Row],[Superf.pz Mq]]</f>
        <v>0</v>
      </c>
      <c r="L48">
        <f>RigheOfferte[[#This Row],[passo]]</f>
        <v>0</v>
      </c>
      <c r="M48">
        <f>RigheOfferte[[#This Row],[nr.pezzi Telaio]]</f>
        <v>0</v>
      </c>
      <c r="N48">
        <f>RigheOfferte[[#This Row],[nr.pezzi ora-unita]]</f>
        <v>0</v>
      </c>
      <c r="O48">
        <f>Tabella1[[#This Row],[superificie]]*Resa</f>
        <v>0</v>
      </c>
      <c r="P48">
        <f>Tabella1[[#This Row],[KgPezzo]]*Tabella1[[#This Row],[q.ta offerta]]</f>
        <v>0</v>
      </c>
      <c r="Q48">
        <f>RigheOfferte[[#This Row],[QtaProtez]]</f>
        <v>0</v>
      </c>
      <c r="R48">
        <f>RigheOfferte[[#This Row],[Tipo Protezione]]</f>
        <v>0</v>
      </c>
    </row>
    <row r="49" spans="1:18">
      <c r="A49">
        <f>RigheOfferte[[#This Row],[Nprev]]</f>
        <v>0</v>
      </c>
      <c r="B49">
        <f>RigheOfferte[[#This Row],[Nriga]]</f>
        <v>0</v>
      </c>
      <c r="C49">
        <f>RigheOfferte[[#This Row],[Cliente]]</f>
        <v>0</v>
      </c>
      <c r="D49">
        <f>RigheOfferte[[#This Row],[sub_cliente]]</f>
        <v>0</v>
      </c>
      <c r="E49">
        <f>RigheOfferte[[#This Row],[cod.Art.]]</f>
        <v>0</v>
      </c>
      <c r="F49">
        <f>RigheOfferte[[#This Row],[Descrizione]]</f>
        <v>0</v>
      </c>
      <c r="G49">
        <f>RigheOfferte[[#This Row],[Q.ta'']]</f>
        <v>0</v>
      </c>
      <c r="H49">
        <f>RigheOfferte[[#This Row],[Lavorazione]]</f>
        <v>0</v>
      </c>
      <c r="I49">
        <f>RigheOfferte[[#This Row],[Colore]]</f>
        <v>0</v>
      </c>
      <c r="J49">
        <f>RigheOfferte[[#This Row],[Velocità]]</f>
        <v>0</v>
      </c>
      <c r="K49">
        <f>RigheOfferte[[#This Row],[Superf.pz Mq]]</f>
        <v>0</v>
      </c>
      <c r="L49">
        <f>RigheOfferte[[#This Row],[passo]]</f>
        <v>0</v>
      </c>
      <c r="M49">
        <f>RigheOfferte[[#This Row],[nr.pezzi Telaio]]</f>
        <v>0</v>
      </c>
      <c r="N49">
        <f>RigheOfferte[[#This Row],[nr.pezzi ora-unita]]</f>
        <v>0</v>
      </c>
      <c r="O49">
        <f>Tabella1[[#This Row],[superificie]]*Resa</f>
        <v>0</v>
      </c>
      <c r="P49">
        <f>Tabella1[[#This Row],[KgPezzo]]*Tabella1[[#This Row],[q.ta offerta]]</f>
        <v>0</v>
      </c>
      <c r="Q49">
        <f>RigheOfferte[[#This Row],[QtaProtez]]</f>
        <v>0</v>
      </c>
      <c r="R49">
        <f>RigheOfferte[[#This Row],[Tipo Protezione]]</f>
        <v>0</v>
      </c>
    </row>
    <row r="50" spans="1:18">
      <c r="A50">
        <f>RigheOfferte[[#This Row],[Nprev]]</f>
        <v>0</v>
      </c>
      <c r="B50">
        <f>RigheOfferte[[#This Row],[Nriga]]</f>
        <v>0</v>
      </c>
      <c r="C50">
        <f>RigheOfferte[[#This Row],[Cliente]]</f>
        <v>0</v>
      </c>
      <c r="D50">
        <f>RigheOfferte[[#This Row],[sub_cliente]]</f>
        <v>0</v>
      </c>
      <c r="E50">
        <f>RigheOfferte[[#This Row],[cod.Art.]]</f>
        <v>0</v>
      </c>
      <c r="F50">
        <f>RigheOfferte[[#This Row],[Descrizione]]</f>
        <v>0</v>
      </c>
      <c r="G50">
        <f>RigheOfferte[[#This Row],[Q.ta'']]</f>
        <v>0</v>
      </c>
      <c r="H50">
        <f>RigheOfferte[[#This Row],[Lavorazione]]</f>
        <v>0</v>
      </c>
      <c r="I50">
        <f>RigheOfferte[[#This Row],[Colore]]</f>
        <v>0</v>
      </c>
      <c r="J50">
        <f>RigheOfferte[[#This Row],[Velocità]]</f>
        <v>0</v>
      </c>
      <c r="K50">
        <f>RigheOfferte[[#This Row],[Superf.pz Mq]]</f>
        <v>0</v>
      </c>
      <c r="L50">
        <f>RigheOfferte[[#This Row],[passo]]</f>
        <v>0</v>
      </c>
      <c r="M50">
        <f>RigheOfferte[[#This Row],[nr.pezzi Telaio]]</f>
        <v>0</v>
      </c>
      <c r="N50">
        <f>RigheOfferte[[#This Row],[nr.pezzi ora-unita]]</f>
        <v>0</v>
      </c>
      <c r="O50">
        <f>Tabella1[[#This Row],[superificie]]*Resa</f>
        <v>0</v>
      </c>
      <c r="P50">
        <f>Tabella1[[#This Row],[KgPezzo]]*Tabella1[[#This Row],[q.ta offerta]]</f>
        <v>0</v>
      </c>
      <c r="Q50">
        <f>RigheOfferte[[#This Row],[QtaProtez]]</f>
        <v>0</v>
      </c>
      <c r="R50">
        <f>RigheOfferte[[#This Row],[Tipo Protezione]]</f>
        <v>0</v>
      </c>
    </row>
    <row r="51" spans="1:18">
      <c r="A51">
        <f>RigheOfferte[[#This Row],[Nprev]]</f>
        <v>0</v>
      </c>
      <c r="B51">
        <f>RigheOfferte[[#This Row],[Nriga]]</f>
        <v>0</v>
      </c>
      <c r="C51">
        <f>RigheOfferte[[#This Row],[Cliente]]</f>
        <v>0</v>
      </c>
      <c r="D51">
        <f>RigheOfferte[[#This Row],[sub_cliente]]</f>
        <v>0</v>
      </c>
      <c r="E51">
        <f>RigheOfferte[[#This Row],[cod.Art.]]</f>
        <v>0</v>
      </c>
      <c r="F51">
        <f>RigheOfferte[[#This Row],[Descrizione]]</f>
        <v>0</v>
      </c>
      <c r="G51">
        <f>RigheOfferte[[#This Row],[Q.ta'']]</f>
        <v>0</v>
      </c>
      <c r="H51">
        <f>RigheOfferte[[#This Row],[Lavorazione]]</f>
        <v>0</v>
      </c>
      <c r="I51">
        <f>RigheOfferte[[#This Row],[Colore]]</f>
        <v>0</v>
      </c>
      <c r="J51">
        <f>RigheOfferte[[#This Row],[Velocità]]</f>
        <v>0</v>
      </c>
      <c r="K51">
        <f>RigheOfferte[[#This Row],[Superf.pz Mq]]</f>
        <v>0</v>
      </c>
      <c r="L51">
        <f>RigheOfferte[[#This Row],[passo]]</f>
        <v>0</v>
      </c>
      <c r="M51">
        <f>RigheOfferte[[#This Row],[nr.pezzi Telaio]]</f>
        <v>0</v>
      </c>
      <c r="N51">
        <f>RigheOfferte[[#This Row],[nr.pezzi ora-unita]]</f>
        <v>0</v>
      </c>
      <c r="O51">
        <f>Tabella1[[#This Row],[superificie]]*Resa</f>
        <v>0</v>
      </c>
      <c r="P51">
        <f>Tabella1[[#This Row],[KgPezzo]]*Tabella1[[#This Row],[q.ta offerta]]</f>
        <v>0</v>
      </c>
      <c r="Q51">
        <f>RigheOfferte[[#This Row],[QtaProtez]]</f>
        <v>0</v>
      </c>
      <c r="R51">
        <f>RigheOfferte[[#This Row],[Tipo Protezione]]</f>
        <v>0</v>
      </c>
    </row>
    <row r="52" spans="1:18">
      <c r="A52">
        <f>RigheOfferte[[#This Row],[Nprev]]</f>
        <v>0</v>
      </c>
      <c r="B52">
        <f>RigheOfferte[[#This Row],[Nriga]]</f>
        <v>0</v>
      </c>
      <c r="C52">
        <f>RigheOfferte[[#This Row],[Cliente]]</f>
        <v>0</v>
      </c>
      <c r="D52">
        <f>RigheOfferte[[#This Row],[sub_cliente]]</f>
        <v>0</v>
      </c>
      <c r="E52">
        <f>RigheOfferte[[#This Row],[cod.Art.]]</f>
        <v>0</v>
      </c>
      <c r="F52">
        <f>RigheOfferte[[#This Row],[Descrizione]]</f>
        <v>0</v>
      </c>
      <c r="G52">
        <f>RigheOfferte[[#This Row],[Q.ta'']]</f>
        <v>0</v>
      </c>
      <c r="H52">
        <f>RigheOfferte[[#This Row],[Lavorazione]]</f>
        <v>0</v>
      </c>
      <c r="I52">
        <f>RigheOfferte[[#This Row],[Colore]]</f>
        <v>0</v>
      </c>
      <c r="J52">
        <f>RigheOfferte[[#This Row],[Velocità]]</f>
        <v>0</v>
      </c>
      <c r="K52">
        <f>RigheOfferte[[#This Row],[Superf.pz Mq]]</f>
        <v>0</v>
      </c>
      <c r="L52">
        <f>RigheOfferte[[#This Row],[passo]]</f>
        <v>0</v>
      </c>
      <c r="M52">
        <f>RigheOfferte[[#This Row],[nr.pezzi Telaio]]</f>
        <v>0</v>
      </c>
      <c r="N52">
        <f>RigheOfferte[[#This Row],[nr.pezzi ora-unita]]</f>
        <v>0</v>
      </c>
      <c r="O52">
        <f>Tabella1[[#This Row],[superificie]]*Resa</f>
        <v>0</v>
      </c>
      <c r="P52">
        <f>Tabella1[[#This Row],[KgPezzo]]*Tabella1[[#This Row],[q.ta offerta]]</f>
        <v>0</v>
      </c>
      <c r="Q52">
        <f>RigheOfferte[[#This Row],[QtaProtez]]</f>
        <v>0</v>
      </c>
      <c r="R52">
        <f>RigheOfferte[[#This Row],[Tipo Protezione]]</f>
        <v>0</v>
      </c>
    </row>
    <row r="53" spans="1:18">
      <c r="A53">
        <f>RigheOfferte[[#This Row],[Nprev]]</f>
        <v>0</v>
      </c>
      <c r="B53">
        <f>RigheOfferte[[#This Row],[Nriga]]</f>
        <v>0</v>
      </c>
      <c r="C53">
        <f>RigheOfferte[[#This Row],[Cliente]]</f>
        <v>0</v>
      </c>
      <c r="D53">
        <f>RigheOfferte[[#This Row],[sub_cliente]]</f>
        <v>0</v>
      </c>
      <c r="E53">
        <f>RigheOfferte[[#This Row],[cod.Art.]]</f>
        <v>0</v>
      </c>
      <c r="F53">
        <f>RigheOfferte[[#This Row],[Descrizione]]</f>
        <v>0</v>
      </c>
      <c r="G53">
        <f>RigheOfferte[[#This Row],[Q.ta'']]</f>
        <v>0</v>
      </c>
      <c r="H53">
        <f>RigheOfferte[[#This Row],[Lavorazione]]</f>
        <v>0</v>
      </c>
      <c r="I53">
        <f>RigheOfferte[[#This Row],[Colore]]</f>
        <v>0</v>
      </c>
      <c r="J53">
        <f>RigheOfferte[[#This Row],[Velocità]]</f>
        <v>0</v>
      </c>
      <c r="K53">
        <f>RigheOfferte[[#This Row],[Superf.pz Mq]]</f>
        <v>0</v>
      </c>
      <c r="L53">
        <f>RigheOfferte[[#This Row],[passo]]</f>
        <v>0</v>
      </c>
      <c r="M53">
        <f>RigheOfferte[[#This Row],[nr.pezzi Telaio]]</f>
        <v>0</v>
      </c>
      <c r="N53">
        <f>RigheOfferte[[#This Row],[nr.pezzi ora-unita]]</f>
        <v>0</v>
      </c>
      <c r="O53">
        <f>Tabella1[[#This Row],[superificie]]*Resa</f>
        <v>0</v>
      </c>
      <c r="P53">
        <f>Tabella1[[#This Row],[KgPezzo]]*Tabella1[[#This Row],[q.ta offerta]]</f>
        <v>0</v>
      </c>
      <c r="Q53">
        <f>RigheOfferte[[#This Row],[QtaProtez]]</f>
        <v>0</v>
      </c>
      <c r="R53">
        <f>RigheOfferte[[#This Row],[Tipo Protezione]]</f>
        <v>0</v>
      </c>
    </row>
    <row r="54" spans="1:18">
      <c r="A54">
        <f>RigheOfferte[[#This Row],[Nprev]]</f>
        <v>0</v>
      </c>
      <c r="B54">
        <f>RigheOfferte[[#This Row],[Nriga]]</f>
        <v>0</v>
      </c>
      <c r="C54">
        <f>RigheOfferte[[#This Row],[Cliente]]</f>
        <v>0</v>
      </c>
      <c r="D54">
        <f>RigheOfferte[[#This Row],[sub_cliente]]</f>
        <v>0</v>
      </c>
      <c r="E54">
        <f>RigheOfferte[[#This Row],[cod.Art.]]</f>
        <v>0</v>
      </c>
      <c r="F54">
        <f>RigheOfferte[[#This Row],[Descrizione]]</f>
        <v>0</v>
      </c>
      <c r="G54">
        <f>RigheOfferte[[#This Row],[Q.ta'']]</f>
        <v>0</v>
      </c>
      <c r="H54">
        <f>RigheOfferte[[#This Row],[Lavorazione]]</f>
        <v>0</v>
      </c>
      <c r="I54">
        <f>RigheOfferte[[#This Row],[Colore]]</f>
        <v>0</v>
      </c>
      <c r="J54">
        <f>RigheOfferte[[#This Row],[Velocità]]</f>
        <v>0</v>
      </c>
      <c r="K54">
        <f>RigheOfferte[[#This Row],[Superf.pz Mq]]</f>
        <v>0</v>
      </c>
      <c r="L54">
        <f>RigheOfferte[[#This Row],[passo]]</f>
        <v>0</v>
      </c>
      <c r="M54">
        <f>RigheOfferte[[#This Row],[nr.pezzi Telaio]]</f>
        <v>0</v>
      </c>
      <c r="N54">
        <f>RigheOfferte[[#This Row],[nr.pezzi ora-unita]]</f>
        <v>0</v>
      </c>
      <c r="O54">
        <f>Tabella1[[#This Row],[superificie]]*Resa</f>
        <v>0</v>
      </c>
      <c r="P54">
        <f>Tabella1[[#This Row],[KgPezzo]]*Tabella1[[#This Row],[q.ta offerta]]</f>
        <v>0</v>
      </c>
      <c r="Q54">
        <f>RigheOfferte[[#This Row],[QtaProtez]]</f>
        <v>0</v>
      </c>
      <c r="R54">
        <f>RigheOfferte[[#This Row],[Tipo Protezione]]</f>
        <v>0</v>
      </c>
    </row>
    <row r="55" spans="1:18">
      <c r="A55">
        <f>RigheOfferte[[#This Row],[Nprev]]</f>
        <v>0</v>
      </c>
      <c r="B55">
        <f>RigheOfferte[[#This Row],[Nriga]]</f>
        <v>0</v>
      </c>
      <c r="C55">
        <f>RigheOfferte[[#This Row],[Cliente]]</f>
        <v>0</v>
      </c>
      <c r="D55">
        <f>RigheOfferte[[#This Row],[sub_cliente]]</f>
        <v>0</v>
      </c>
      <c r="E55">
        <f>RigheOfferte[[#This Row],[cod.Art.]]</f>
        <v>0</v>
      </c>
      <c r="F55">
        <f>RigheOfferte[[#This Row],[Descrizione]]</f>
        <v>0</v>
      </c>
      <c r="G55">
        <f>RigheOfferte[[#This Row],[Q.ta'']]</f>
        <v>0</v>
      </c>
      <c r="H55">
        <f>RigheOfferte[[#This Row],[Lavorazione]]</f>
        <v>0</v>
      </c>
      <c r="I55">
        <f>RigheOfferte[[#This Row],[Colore]]</f>
        <v>0</v>
      </c>
      <c r="J55">
        <f>RigheOfferte[[#This Row],[Velocità]]</f>
        <v>0</v>
      </c>
      <c r="K55">
        <f>RigheOfferte[[#This Row],[Superf.pz Mq]]</f>
        <v>0</v>
      </c>
      <c r="L55">
        <f>RigheOfferte[[#This Row],[passo]]</f>
        <v>0</v>
      </c>
      <c r="M55">
        <f>RigheOfferte[[#This Row],[nr.pezzi Telaio]]</f>
        <v>0</v>
      </c>
      <c r="N55">
        <f>RigheOfferte[[#This Row],[nr.pezzi ora-unita]]</f>
        <v>0</v>
      </c>
      <c r="O55">
        <f>Tabella1[[#This Row],[superificie]]*Resa</f>
        <v>0</v>
      </c>
      <c r="P55">
        <f>Tabella1[[#This Row],[KgPezzo]]*Tabella1[[#This Row],[q.ta offerta]]</f>
        <v>0</v>
      </c>
      <c r="Q55">
        <f>RigheOfferte[[#This Row],[QtaProtez]]</f>
        <v>0</v>
      </c>
      <c r="R55">
        <f>RigheOfferte[[#This Row],[Tipo Protezione]]</f>
        <v>0</v>
      </c>
    </row>
    <row r="56" spans="1:18">
      <c r="A56">
        <f>RigheOfferte[[#This Row],[Nprev]]</f>
        <v>0</v>
      </c>
      <c r="B56">
        <f>RigheOfferte[[#This Row],[Nriga]]</f>
        <v>0</v>
      </c>
      <c r="C56">
        <f>RigheOfferte[[#This Row],[Cliente]]</f>
        <v>0</v>
      </c>
      <c r="D56">
        <f>RigheOfferte[[#This Row],[sub_cliente]]</f>
        <v>0</v>
      </c>
      <c r="E56">
        <f>RigheOfferte[[#This Row],[cod.Art.]]</f>
        <v>0</v>
      </c>
      <c r="F56">
        <f>RigheOfferte[[#This Row],[Descrizione]]</f>
        <v>0</v>
      </c>
      <c r="G56">
        <f>RigheOfferte[[#This Row],[Q.ta'']]</f>
        <v>0</v>
      </c>
      <c r="H56">
        <f>RigheOfferte[[#This Row],[Lavorazione]]</f>
        <v>0</v>
      </c>
      <c r="I56">
        <f>RigheOfferte[[#This Row],[Colore]]</f>
        <v>0</v>
      </c>
      <c r="J56">
        <f>RigheOfferte[[#This Row],[Velocità]]</f>
        <v>0</v>
      </c>
      <c r="K56">
        <f>RigheOfferte[[#This Row],[Superf.pz Mq]]</f>
        <v>0</v>
      </c>
      <c r="L56">
        <f>RigheOfferte[[#This Row],[passo]]</f>
        <v>0</v>
      </c>
      <c r="M56">
        <f>RigheOfferte[[#This Row],[nr.pezzi Telaio]]</f>
        <v>0</v>
      </c>
      <c r="N56">
        <f>RigheOfferte[[#This Row],[nr.pezzi ora-unita]]</f>
        <v>0</v>
      </c>
      <c r="O56">
        <f>Tabella1[[#This Row],[superificie]]*Resa</f>
        <v>0</v>
      </c>
      <c r="P56">
        <f>Tabella1[[#This Row],[KgPezzo]]*Tabella1[[#This Row],[q.ta offerta]]</f>
        <v>0</v>
      </c>
      <c r="Q56">
        <f>RigheOfferte[[#This Row],[QtaProtez]]</f>
        <v>0</v>
      </c>
      <c r="R56">
        <f>RigheOfferte[[#This Row],[Tipo Protezione]]</f>
        <v>0</v>
      </c>
    </row>
    <row r="57" spans="1:18">
      <c r="A57">
        <f>RigheOfferte[[#This Row],[Nprev]]</f>
        <v>0</v>
      </c>
      <c r="B57">
        <f>RigheOfferte[[#This Row],[Nriga]]</f>
        <v>0</v>
      </c>
      <c r="C57">
        <f>RigheOfferte[[#This Row],[Cliente]]</f>
        <v>0</v>
      </c>
      <c r="D57">
        <f>RigheOfferte[[#This Row],[sub_cliente]]</f>
        <v>0</v>
      </c>
      <c r="E57">
        <f>RigheOfferte[[#This Row],[cod.Art.]]</f>
        <v>0</v>
      </c>
      <c r="F57">
        <f>RigheOfferte[[#This Row],[Descrizione]]</f>
        <v>0</v>
      </c>
      <c r="G57">
        <f>RigheOfferte[[#This Row],[Q.ta'']]</f>
        <v>0</v>
      </c>
      <c r="H57">
        <f>RigheOfferte[[#This Row],[Lavorazione]]</f>
        <v>0</v>
      </c>
      <c r="I57">
        <f>RigheOfferte[[#This Row],[Colore]]</f>
        <v>0</v>
      </c>
      <c r="J57">
        <f>RigheOfferte[[#This Row],[Velocità]]</f>
        <v>0</v>
      </c>
      <c r="K57">
        <f>RigheOfferte[[#This Row],[Superf.pz Mq]]</f>
        <v>0</v>
      </c>
      <c r="L57">
        <f>RigheOfferte[[#This Row],[passo]]</f>
        <v>0</v>
      </c>
      <c r="M57">
        <f>RigheOfferte[[#This Row],[nr.pezzi Telaio]]</f>
        <v>0</v>
      </c>
      <c r="N57">
        <f>RigheOfferte[[#This Row],[nr.pezzi ora-unita]]</f>
        <v>0</v>
      </c>
      <c r="O57">
        <f>Tabella1[[#This Row],[superificie]]*Resa</f>
        <v>0</v>
      </c>
      <c r="P57">
        <f>Tabella1[[#This Row],[KgPezzo]]*Tabella1[[#This Row],[q.ta offerta]]</f>
        <v>0</v>
      </c>
      <c r="Q57">
        <f>RigheOfferte[[#This Row],[QtaProtez]]</f>
        <v>0</v>
      </c>
      <c r="R57">
        <f>RigheOfferte[[#This Row],[Tipo Protezione]]</f>
        <v>0</v>
      </c>
    </row>
    <row r="58" spans="1:18">
      <c r="A58">
        <f>RigheOfferte[[#This Row],[Nprev]]</f>
        <v>0</v>
      </c>
      <c r="B58">
        <f>RigheOfferte[[#This Row],[Nriga]]</f>
        <v>0</v>
      </c>
      <c r="C58">
        <f>RigheOfferte[[#This Row],[Cliente]]</f>
        <v>0</v>
      </c>
      <c r="D58">
        <f>RigheOfferte[[#This Row],[sub_cliente]]</f>
        <v>0</v>
      </c>
      <c r="E58">
        <f>RigheOfferte[[#This Row],[cod.Art.]]</f>
        <v>0</v>
      </c>
      <c r="F58">
        <f>RigheOfferte[[#This Row],[Descrizione]]</f>
        <v>0</v>
      </c>
      <c r="G58">
        <f>RigheOfferte[[#This Row],[Q.ta'']]</f>
        <v>0</v>
      </c>
      <c r="H58">
        <f>RigheOfferte[[#This Row],[Lavorazione]]</f>
        <v>0</v>
      </c>
      <c r="I58">
        <f>RigheOfferte[[#This Row],[Colore]]</f>
        <v>0</v>
      </c>
      <c r="J58">
        <f>RigheOfferte[[#This Row],[Velocità]]</f>
        <v>0</v>
      </c>
      <c r="K58">
        <f>RigheOfferte[[#This Row],[Superf.pz Mq]]</f>
        <v>0</v>
      </c>
      <c r="L58">
        <f>RigheOfferte[[#This Row],[passo]]</f>
        <v>0</v>
      </c>
      <c r="M58">
        <f>RigheOfferte[[#This Row],[nr.pezzi Telaio]]</f>
        <v>0</v>
      </c>
      <c r="N58">
        <f>RigheOfferte[[#This Row],[nr.pezzi ora-unita]]</f>
        <v>0</v>
      </c>
      <c r="O58">
        <f>Tabella1[[#This Row],[superificie]]*Resa</f>
        <v>0</v>
      </c>
      <c r="P58">
        <f>Tabella1[[#This Row],[KgPezzo]]*Tabella1[[#This Row],[q.ta offerta]]</f>
        <v>0</v>
      </c>
      <c r="Q58">
        <f>RigheOfferte[[#This Row],[QtaProtez]]</f>
        <v>0</v>
      </c>
      <c r="R58">
        <f>RigheOfferte[[#This Row],[Tipo Protezione]]</f>
        <v>0</v>
      </c>
    </row>
    <row r="59" spans="1:18">
      <c r="A59">
        <f>RigheOfferte[[#This Row],[Nprev]]</f>
        <v>0</v>
      </c>
      <c r="B59">
        <f>RigheOfferte[[#This Row],[Nriga]]</f>
        <v>0</v>
      </c>
      <c r="C59">
        <f>RigheOfferte[[#This Row],[Cliente]]</f>
        <v>0</v>
      </c>
      <c r="D59">
        <f>RigheOfferte[[#This Row],[sub_cliente]]</f>
        <v>0</v>
      </c>
      <c r="E59">
        <f>RigheOfferte[[#This Row],[cod.Art.]]</f>
        <v>0</v>
      </c>
      <c r="F59">
        <f>RigheOfferte[[#This Row],[Descrizione]]</f>
        <v>0</v>
      </c>
      <c r="G59">
        <f>RigheOfferte[[#This Row],[Q.ta'']]</f>
        <v>0</v>
      </c>
      <c r="H59">
        <f>RigheOfferte[[#This Row],[Lavorazione]]</f>
        <v>0</v>
      </c>
      <c r="I59">
        <f>RigheOfferte[[#This Row],[Colore]]</f>
        <v>0</v>
      </c>
      <c r="J59">
        <f>RigheOfferte[[#This Row],[Velocità]]</f>
        <v>0</v>
      </c>
      <c r="K59">
        <f>RigheOfferte[[#This Row],[Superf.pz Mq]]</f>
        <v>0</v>
      </c>
      <c r="L59">
        <f>RigheOfferte[[#This Row],[passo]]</f>
        <v>0</v>
      </c>
      <c r="M59">
        <f>RigheOfferte[[#This Row],[nr.pezzi Telaio]]</f>
        <v>0</v>
      </c>
      <c r="N59">
        <f>RigheOfferte[[#This Row],[nr.pezzi ora-unita]]</f>
        <v>0</v>
      </c>
      <c r="O59">
        <f>Tabella1[[#This Row],[superificie]]*Resa</f>
        <v>0</v>
      </c>
      <c r="P59">
        <f>Tabella1[[#This Row],[KgPezzo]]*Tabella1[[#This Row],[q.ta offerta]]</f>
        <v>0</v>
      </c>
      <c r="Q59">
        <f>RigheOfferte[[#This Row],[QtaProtez]]</f>
        <v>0</v>
      </c>
      <c r="R59">
        <f>RigheOfferte[[#This Row],[Tipo Protezione]]</f>
        <v>0</v>
      </c>
    </row>
    <row r="60" spans="1:18">
      <c r="A60">
        <f>RigheOfferte[[#This Row],[Nprev]]</f>
        <v>0</v>
      </c>
      <c r="B60">
        <f>RigheOfferte[[#This Row],[Nriga]]</f>
        <v>0</v>
      </c>
      <c r="C60">
        <f>RigheOfferte[[#This Row],[Cliente]]</f>
        <v>0</v>
      </c>
      <c r="D60">
        <f>RigheOfferte[[#This Row],[sub_cliente]]</f>
        <v>0</v>
      </c>
      <c r="E60">
        <f>RigheOfferte[[#This Row],[cod.Art.]]</f>
        <v>0</v>
      </c>
      <c r="F60">
        <f>RigheOfferte[[#This Row],[Descrizione]]</f>
        <v>0</v>
      </c>
      <c r="G60">
        <f>RigheOfferte[[#This Row],[Q.ta'']]</f>
        <v>0</v>
      </c>
      <c r="H60">
        <f>RigheOfferte[[#This Row],[Lavorazione]]</f>
        <v>0</v>
      </c>
      <c r="I60">
        <f>RigheOfferte[[#This Row],[Colore]]</f>
        <v>0</v>
      </c>
      <c r="J60">
        <f>RigheOfferte[[#This Row],[Velocità]]</f>
        <v>0</v>
      </c>
      <c r="K60">
        <f>RigheOfferte[[#This Row],[Superf.pz Mq]]</f>
        <v>0</v>
      </c>
      <c r="L60">
        <f>RigheOfferte[[#This Row],[passo]]</f>
        <v>0</v>
      </c>
      <c r="M60">
        <f>RigheOfferte[[#This Row],[nr.pezzi Telaio]]</f>
        <v>0</v>
      </c>
      <c r="N60">
        <f>RigheOfferte[[#This Row],[nr.pezzi ora-unita]]</f>
        <v>0</v>
      </c>
      <c r="O60">
        <f>Tabella1[[#This Row],[superificie]]*Resa</f>
        <v>0</v>
      </c>
      <c r="P60">
        <f>Tabella1[[#This Row],[KgPezzo]]*Tabella1[[#This Row],[q.ta offerta]]</f>
        <v>0</v>
      </c>
      <c r="Q60">
        <f>RigheOfferte[[#This Row],[QtaProtez]]</f>
        <v>0</v>
      </c>
      <c r="R60">
        <f>RigheOfferte[[#This Row],[Tipo Protezione]]</f>
        <v>0</v>
      </c>
    </row>
    <row r="61" spans="1:18">
      <c r="A61">
        <f>RigheOfferte[[#This Row],[Nprev]]</f>
        <v>0</v>
      </c>
      <c r="B61">
        <f>RigheOfferte[[#This Row],[Nriga]]</f>
        <v>0</v>
      </c>
      <c r="C61">
        <f>RigheOfferte[[#This Row],[Cliente]]</f>
        <v>0</v>
      </c>
      <c r="D61">
        <f>RigheOfferte[[#This Row],[sub_cliente]]</f>
        <v>0</v>
      </c>
      <c r="E61">
        <f>RigheOfferte[[#This Row],[cod.Art.]]</f>
        <v>0</v>
      </c>
      <c r="F61">
        <f>RigheOfferte[[#This Row],[Descrizione]]</f>
        <v>0</v>
      </c>
      <c r="G61">
        <f>RigheOfferte[[#This Row],[Q.ta'']]</f>
        <v>0</v>
      </c>
      <c r="H61">
        <f>RigheOfferte[[#This Row],[Lavorazione]]</f>
        <v>0</v>
      </c>
      <c r="I61">
        <f>RigheOfferte[[#This Row],[Colore]]</f>
        <v>0</v>
      </c>
      <c r="J61">
        <f>RigheOfferte[[#This Row],[Velocità]]</f>
        <v>0</v>
      </c>
      <c r="K61">
        <f>RigheOfferte[[#This Row],[Superf.pz Mq]]</f>
        <v>0</v>
      </c>
      <c r="L61">
        <f>RigheOfferte[[#This Row],[passo]]</f>
        <v>0</v>
      </c>
      <c r="M61">
        <f>RigheOfferte[[#This Row],[nr.pezzi Telaio]]</f>
        <v>0</v>
      </c>
      <c r="N61">
        <f>RigheOfferte[[#This Row],[nr.pezzi ora-unita]]</f>
        <v>0</v>
      </c>
      <c r="O61">
        <f>Tabella1[[#This Row],[superificie]]*Resa</f>
        <v>0</v>
      </c>
      <c r="P61">
        <f>Tabella1[[#This Row],[KgPezzo]]*Tabella1[[#This Row],[q.ta offerta]]</f>
        <v>0</v>
      </c>
      <c r="Q61">
        <f>RigheOfferte[[#This Row],[QtaProtez]]</f>
        <v>0</v>
      </c>
      <c r="R61">
        <f>RigheOfferte[[#This Row],[Tipo Protezione]]</f>
        <v>0</v>
      </c>
    </row>
    <row r="62" spans="1:18">
      <c r="A62">
        <f>RigheOfferte[[#This Row],[Nprev]]</f>
        <v>0</v>
      </c>
      <c r="B62">
        <f>RigheOfferte[[#This Row],[Nriga]]</f>
        <v>0</v>
      </c>
      <c r="C62">
        <f>RigheOfferte[[#This Row],[Cliente]]</f>
        <v>0</v>
      </c>
      <c r="D62">
        <f>RigheOfferte[[#This Row],[sub_cliente]]</f>
        <v>0</v>
      </c>
      <c r="E62">
        <f>RigheOfferte[[#This Row],[cod.Art.]]</f>
        <v>0</v>
      </c>
      <c r="F62">
        <f>RigheOfferte[[#This Row],[Descrizione]]</f>
        <v>0</v>
      </c>
      <c r="G62">
        <f>RigheOfferte[[#This Row],[Q.ta'']]</f>
        <v>0</v>
      </c>
      <c r="H62">
        <f>RigheOfferte[[#This Row],[Lavorazione]]</f>
        <v>0</v>
      </c>
      <c r="I62">
        <f>RigheOfferte[[#This Row],[Colore]]</f>
        <v>0</v>
      </c>
      <c r="J62">
        <f>RigheOfferte[[#This Row],[Velocità]]</f>
        <v>0</v>
      </c>
      <c r="K62">
        <f>RigheOfferte[[#This Row],[Superf.pz Mq]]</f>
        <v>0</v>
      </c>
      <c r="L62">
        <f>RigheOfferte[[#This Row],[passo]]</f>
        <v>0</v>
      </c>
      <c r="M62">
        <f>RigheOfferte[[#This Row],[nr.pezzi Telaio]]</f>
        <v>0</v>
      </c>
      <c r="N62">
        <f>RigheOfferte[[#This Row],[nr.pezzi ora-unita]]</f>
        <v>0</v>
      </c>
      <c r="O62">
        <f>Tabella1[[#This Row],[superificie]]*Resa</f>
        <v>0</v>
      </c>
      <c r="P62">
        <f>Tabella1[[#This Row],[KgPezzo]]*Tabella1[[#This Row],[q.ta offerta]]</f>
        <v>0</v>
      </c>
      <c r="Q62">
        <f>RigheOfferte[[#This Row],[QtaProtez]]</f>
        <v>0</v>
      </c>
      <c r="R62">
        <f>RigheOfferte[[#This Row],[Tipo Protezione]]</f>
        <v>0</v>
      </c>
    </row>
    <row r="63" spans="1:18">
      <c r="A63">
        <f>RigheOfferte[[#This Row],[Nprev]]</f>
        <v>0</v>
      </c>
      <c r="B63">
        <f>RigheOfferte[[#This Row],[Nriga]]</f>
        <v>0</v>
      </c>
      <c r="C63">
        <f>RigheOfferte[[#This Row],[Cliente]]</f>
        <v>0</v>
      </c>
      <c r="D63">
        <f>RigheOfferte[[#This Row],[sub_cliente]]</f>
        <v>0</v>
      </c>
      <c r="E63">
        <f>RigheOfferte[[#This Row],[cod.Art.]]</f>
        <v>0</v>
      </c>
      <c r="F63">
        <f>RigheOfferte[[#This Row],[Descrizione]]</f>
        <v>0</v>
      </c>
      <c r="G63">
        <f>RigheOfferte[[#This Row],[Q.ta'']]</f>
        <v>0</v>
      </c>
      <c r="H63">
        <f>RigheOfferte[[#This Row],[Lavorazione]]</f>
        <v>0</v>
      </c>
      <c r="I63">
        <f>RigheOfferte[[#This Row],[Colore]]</f>
        <v>0</v>
      </c>
      <c r="J63">
        <f>RigheOfferte[[#This Row],[Velocità]]</f>
        <v>0</v>
      </c>
      <c r="K63">
        <f>RigheOfferte[[#This Row],[Superf.pz Mq]]</f>
        <v>0</v>
      </c>
      <c r="L63">
        <f>RigheOfferte[[#This Row],[passo]]</f>
        <v>0</v>
      </c>
      <c r="M63">
        <f>RigheOfferte[[#This Row],[nr.pezzi Telaio]]</f>
        <v>0</v>
      </c>
      <c r="N63">
        <f>RigheOfferte[[#This Row],[nr.pezzi ora-unita]]</f>
        <v>0</v>
      </c>
      <c r="O63">
        <f>Tabella1[[#This Row],[superificie]]*Resa</f>
        <v>0</v>
      </c>
      <c r="P63">
        <f>Tabella1[[#This Row],[KgPezzo]]*Tabella1[[#This Row],[q.ta offerta]]</f>
        <v>0</v>
      </c>
      <c r="Q63">
        <f>RigheOfferte[[#This Row],[QtaProtez]]</f>
        <v>0</v>
      </c>
      <c r="R63">
        <f>RigheOfferte[[#This Row],[Tipo Protezione]]</f>
        <v>0</v>
      </c>
    </row>
    <row r="64" spans="1:18">
      <c r="A64">
        <f>RigheOfferte[[#This Row],[Nprev]]</f>
        <v>0</v>
      </c>
      <c r="B64">
        <f>RigheOfferte[[#This Row],[Nriga]]</f>
        <v>0</v>
      </c>
      <c r="C64">
        <f>RigheOfferte[[#This Row],[Cliente]]</f>
        <v>0</v>
      </c>
      <c r="D64">
        <f>RigheOfferte[[#This Row],[sub_cliente]]</f>
        <v>0</v>
      </c>
      <c r="E64">
        <f>RigheOfferte[[#This Row],[cod.Art.]]</f>
        <v>0</v>
      </c>
      <c r="F64">
        <f>RigheOfferte[[#This Row],[Descrizione]]</f>
        <v>0</v>
      </c>
      <c r="G64">
        <f>RigheOfferte[[#This Row],[Q.ta'']]</f>
        <v>0</v>
      </c>
      <c r="H64">
        <f>RigheOfferte[[#This Row],[Lavorazione]]</f>
        <v>0</v>
      </c>
      <c r="I64">
        <f>RigheOfferte[[#This Row],[Colore]]</f>
        <v>0</v>
      </c>
      <c r="J64">
        <f>RigheOfferte[[#This Row],[Velocità]]</f>
        <v>0</v>
      </c>
      <c r="K64">
        <f>RigheOfferte[[#This Row],[Superf.pz Mq]]</f>
        <v>0</v>
      </c>
      <c r="L64">
        <f>RigheOfferte[[#This Row],[passo]]</f>
        <v>0</v>
      </c>
      <c r="M64">
        <f>RigheOfferte[[#This Row],[nr.pezzi Telaio]]</f>
        <v>0</v>
      </c>
      <c r="N64">
        <f>RigheOfferte[[#This Row],[nr.pezzi ora-unita]]</f>
        <v>0</v>
      </c>
      <c r="O64">
        <f>Tabella1[[#This Row],[superificie]]*Resa</f>
        <v>0</v>
      </c>
      <c r="P64">
        <f>Tabella1[[#This Row],[KgPezzo]]*Tabella1[[#This Row],[q.ta offerta]]</f>
        <v>0</v>
      </c>
      <c r="Q64">
        <f>RigheOfferte[[#This Row],[QtaProtez]]</f>
        <v>0</v>
      </c>
      <c r="R64">
        <f>RigheOfferte[[#This Row],[Tipo Protezione]]</f>
        <v>0</v>
      </c>
    </row>
    <row r="65" spans="1:18">
      <c r="A65">
        <f>RigheOfferte[[#This Row],[Nprev]]</f>
        <v>0</v>
      </c>
      <c r="B65">
        <f>RigheOfferte[[#This Row],[Nriga]]</f>
        <v>0</v>
      </c>
      <c r="C65">
        <f>RigheOfferte[[#This Row],[Cliente]]</f>
        <v>0</v>
      </c>
      <c r="D65">
        <f>RigheOfferte[[#This Row],[sub_cliente]]</f>
        <v>0</v>
      </c>
      <c r="E65">
        <f>RigheOfferte[[#This Row],[cod.Art.]]</f>
        <v>0</v>
      </c>
      <c r="F65">
        <f>RigheOfferte[[#This Row],[Descrizione]]</f>
        <v>0</v>
      </c>
      <c r="G65">
        <f>RigheOfferte[[#This Row],[Q.ta'']]</f>
        <v>0</v>
      </c>
      <c r="H65">
        <f>RigheOfferte[[#This Row],[Lavorazione]]</f>
        <v>0</v>
      </c>
      <c r="I65">
        <f>RigheOfferte[[#This Row],[Colore]]</f>
        <v>0</v>
      </c>
      <c r="J65">
        <f>RigheOfferte[[#This Row],[Velocità]]</f>
        <v>0</v>
      </c>
      <c r="K65">
        <f>RigheOfferte[[#This Row],[Superf.pz Mq]]</f>
        <v>0</v>
      </c>
      <c r="L65">
        <f>RigheOfferte[[#This Row],[passo]]</f>
        <v>0</v>
      </c>
      <c r="M65">
        <f>RigheOfferte[[#This Row],[nr.pezzi Telaio]]</f>
        <v>0</v>
      </c>
      <c r="N65">
        <f>RigheOfferte[[#This Row],[nr.pezzi ora-unita]]</f>
        <v>0</v>
      </c>
      <c r="O65">
        <f>Tabella1[[#This Row],[superificie]]*Resa</f>
        <v>0</v>
      </c>
      <c r="P65">
        <f>Tabella1[[#This Row],[KgPezzo]]*Tabella1[[#This Row],[q.ta offerta]]</f>
        <v>0</v>
      </c>
      <c r="Q65">
        <f>RigheOfferte[[#This Row],[QtaProtez]]</f>
        <v>0</v>
      </c>
      <c r="R65">
        <f>RigheOfferte[[#This Row],[Tipo Protezione]]</f>
        <v>0</v>
      </c>
    </row>
    <row r="66" spans="1:18">
      <c r="A66">
        <f>RigheOfferte[[#This Row],[Nprev]]</f>
        <v>0</v>
      </c>
      <c r="B66">
        <f>RigheOfferte[[#This Row],[Nriga]]</f>
        <v>0</v>
      </c>
      <c r="C66">
        <f>RigheOfferte[[#This Row],[Cliente]]</f>
        <v>0</v>
      </c>
      <c r="D66">
        <f>RigheOfferte[[#This Row],[sub_cliente]]</f>
        <v>0</v>
      </c>
      <c r="E66">
        <f>RigheOfferte[[#This Row],[cod.Art.]]</f>
        <v>0</v>
      </c>
      <c r="F66">
        <f>RigheOfferte[[#This Row],[Descrizione]]</f>
        <v>0</v>
      </c>
      <c r="G66">
        <f>RigheOfferte[[#This Row],[Q.ta'']]</f>
        <v>0</v>
      </c>
      <c r="H66">
        <f>RigheOfferte[[#This Row],[Lavorazione]]</f>
        <v>0</v>
      </c>
      <c r="I66">
        <f>RigheOfferte[[#This Row],[Colore]]</f>
        <v>0</v>
      </c>
      <c r="J66">
        <f>RigheOfferte[[#This Row],[Velocità]]</f>
        <v>0</v>
      </c>
      <c r="K66">
        <f>RigheOfferte[[#This Row],[Superf.pz Mq]]</f>
        <v>0</v>
      </c>
      <c r="L66">
        <f>RigheOfferte[[#This Row],[passo]]</f>
        <v>0</v>
      </c>
      <c r="M66">
        <f>RigheOfferte[[#This Row],[nr.pezzi Telaio]]</f>
        <v>0</v>
      </c>
      <c r="N66">
        <f>RigheOfferte[[#This Row],[nr.pezzi ora-unita]]</f>
        <v>0</v>
      </c>
      <c r="O66">
        <f>Tabella1[[#This Row],[superificie]]*Resa</f>
        <v>0</v>
      </c>
      <c r="P66">
        <f>Tabella1[[#This Row],[KgPezzo]]*Tabella1[[#This Row],[q.ta offerta]]</f>
        <v>0</v>
      </c>
      <c r="Q66">
        <f>RigheOfferte[[#This Row],[QtaProtez]]</f>
        <v>0</v>
      </c>
      <c r="R66">
        <f>RigheOfferte[[#This Row],[Tipo Protezione]]</f>
        <v>0</v>
      </c>
    </row>
    <row r="67" spans="1:18">
      <c r="A67">
        <f>RigheOfferte[[#This Row],[Nprev]]</f>
        <v>0</v>
      </c>
      <c r="B67">
        <f>RigheOfferte[[#This Row],[Nriga]]</f>
        <v>0</v>
      </c>
      <c r="C67">
        <f>RigheOfferte[[#This Row],[Cliente]]</f>
        <v>0</v>
      </c>
      <c r="D67">
        <f>RigheOfferte[[#This Row],[sub_cliente]]</f>
        <v>0</v>
      </c>
      <c r="E67">
        <f>RigheOfferte[[#This Row],[cod.Art.]]</f>
        <v>0</v>
      </c>
      <c r="F67">
        <f>RigheOfferte[[#This Row],[Descrizione]]</f>
        <v>0</v>
      </c>
      <c r="G67">
        <f>RigheOfferte[[#This Row],[Q.ta'']]</f>
        <v>0</v>
      </c>
      <c r="H67">
        <f>RigheOfferte[[#This Row],[Lavorazione]]</f>
        <v>0</v>
      </c>
      <c r="I67">
        <f>RigheOfferte[[#This Row],[Colore]]</f>
        <v>0</v>
      </c>
      <c r="J67">
        <f>RigheOfferte[[#This Row],[Velocità]]</f>
        <v>0</v>
      </c>
      <c r="K67">
        <f>RigheOfferte[[#This Row],[Superf.pz Mq]]</f>
        <v>0</v>
      </c>
      <c r="L67">
        <f>RigheOfferte[[#This Row],[passo]]</f>
        <v>0</v>
      </c>
      <c r="M67">
        <f>RigheOfferte[[#This Row],[nr.pezzi Telaio]]</f>
        <v>0</v>
      </c>
      <c r="N67">
        <f>RigheOfferte[[#This Row],[nr.pezzi ora-unita]]</f>
        <v>0</v>
      </c>
      <c r="O67">
        <f>Tabella1[[#This Row],[superificie]]*Resa</f>
        <v>0</v>
      </c>
      <c r="P67">
        <f>Tabella1[[#This Row],[KgPezzo]]*Tabella1[[#This Row],[q.ta offerta]]</f>
        <v>0</v>
      </c>
      <c r="Q67">
        <f>RigheOfferte[[#This Row],[QtaProtez]]</f>
        <v>0</v>
      </c>
      <c r="R67">
        <f>RigheOfferte[[#This Row],[Tipo Protezione]]</f>
        <v>0</v>
      </c>
    </row>
    <row r="68" spans="1:18">
      <c r="A68">
        <f>RigheOfferte[[#This Row],[Nprev]]</f>
        <v>0</v>
      </c>
      <c r="B68">
        <f>RigheOfferte[[#This Row],[Nriga]]</f>
        <v>0</v>
      </c>
      <c r="C68">
        <f>RigheOfferte[[#This Row],[Cliente]]</f>
        <v>0</v>
      </c>
      <c r="D68">
        <f>RigheOfferte[[#This Row],[sub_cliente]]</f>
        <v>0</v>
      </c>
      <c r="E68">
        <f>RigheOfferte[[#This Row],[cod.Art.]]</f>
        <v>0</v>
      </c>
      <c r="F68">
        <f>RigheOfferte[[#This Row],[Descrizione]]</f>
        <v>0</v>
      </c>
      <c r="G68">
        <f>RigheOfferte[[#This Row],[Q.ta'']]</f>
        <v>0</v>
      </c>
      <c r="H68">
        <f>RigheOfferte[[#This Row],[Lavorazione]]</f>
        <v>0</v>
      </c>
      <c r="I68">
        <f>RigheOfferte[[#This Row],[Colore]]</f>
        <v>0</v>
      </c>
      <c r="J68">
        <f>RigheOfferte[[#This Row],[Velocità]]</f>
        <v>0</v>
      </c>
      <c r="K68">
        <f>RigheOfferte[[#This Row],[Superf.pz Mq]]</f>
        <v>0</v>
      </c>
      <c r="L68">
        <f>RigheOfferte[[#This Row],[passo]]</f>
        <v>0</v>
      </c>
      <c r="M68">
        <f>RigheOfferte[[#This Row],[nr.pezzi Telaio]]</f>
        <v>0</v>
      </c>
      <c r="N68">
        <f>RigheOfferte[[#This Row],[nr.pezzi ora-unita]]</f>
        <v>0</v>
      </c>
      <c r="O68">
        <f>Tabella1[[#This Row],[superificie]]*Resa</f>
        <v>0</v>
      </c>
      <c r="P68">
        <f>Tabella1[[#This Row],[KgPezzo]]*Tabella1[[#This Row],[q.ta offerta]]</f>
        <v>0</v>
      </c>
      <c r="Q68">
        <f>RigheOfferte[[#This Row],[QtaProtez]]</f>
        <v>0</v>
      </c>
      <c r="R68">
        <f>RigheOfferte[[#This Row],[Tipo Protezione]]</f>
        <v>0</v>
      </c>
    </row>
    <row r="69" spans="1:18">
      <c r="A69">
        <f>RigheOfferte[[#This Row],[Nprev]]</f>
        <v>0</v>
      </c>
      <c r="B69">
        <f>RigheOfferte[[#This Row],[Nriga]]</f>
        <v>0</v>
      </c>
      <c r="C69">
        <f>RigheOfferte[[#This Row],[Cliente]]</f>
        <v>0</v>
      </c>
      <c r="D69">
        <f>RigheOfferte[[#This Row],[sub_cliente]]</f>
        <v>0</v>
      </c>
      <c r="E69">
        <f>RigheOfferte[[#This Row],[cod.Art.]]</f>
        <v>0</v>
      </c>
      <c r="F69">
        <f>RigheOfferte[[#This Row],[Descrizione]]</f>
        <v>0</v>
      </c>
      <c r="G69">
        <f>RigheOfferte[[#This Row],[Q.ta'']]</f>
        <v>0</v>
      </c>
      <c r="H69">
        <f>RigheOfferte[[#This Row],[Lavorazione]]</f>
        <v>0</v>
      </c>
      <c r="I69">
        <f>RigheOfferte[[#This Row],[Colore]]</f>
        <v>0</v>
      </c>
      <c r="J69">
        <f>RigheOfferte[[#This Row],[Velocità]]</f>
        <v>0</v>
      </c>
      <c r="K69">
        <f>RigheOfferte[[#This Row],[Superf.pz Mq]]</f>
        <v>0</v>
      </c>
      <c r="L69">
        <f>RigheOfferte[[#This Row],[passo]]</f>
        <v>0</v>
      </c>
      <c r="M69">
        <f>RigheOfferte[[#This Row],[nr.pezzi Telaio]]</f>
        <v>0</v>
      </c>
      <c r="N69">
        <f>RigheOfferte[[#This Row],[nr.pezzi ora-unita]]</f>
        <v>0</v>
      </c>
      <c r="O69">
        <f>Tabella1[[#This Row],[superificie]]*Resa</f>
        <v>0</v>
      </c>
      <c r="P69">
        <f>Tabella1[[#This Row],[KgPezzo]]*Tabella1[[#This Row],[q.ta offerta]]</f>
        <v>0</v>
      </c>
      <c r="Q69">
        <f>RigheOfferte[[#This Row],[QtaProtez]]</f>
        <v>0</v>
      </c>
      <c r="R69">
        <f>RigheOfferte[[#This Row],[Tipo Protezione]]</f>
        <v>0</v>
      </c>
    </row>
    <row r="70" spans="1:18">
      <c r="A70">
        <f>RigheOfferte[[#This Row],[Nprev]]</f>
        <v>0</v>
      </c>
      <c r="B70">
        <f>RigheOfferte[[#This Row],[Nriga]]</f>
        <v>0</v>
      </c>
      <c r="C70">
        <f>RigheOfferte[[#This Row],[Cliente]]</f>
        <v>0</v>
      </c>
      <c r="D70">
        <f>RigheOfferte[[#This Row],[sub_cliente]]</f>
        <v>0</v>
      </c>
      <c r="E70">
        <f>RigheOfferte[[#This Row],[cod.Art.]]</f>
        <v>0</v>
      </c>
      <c r="F70">
        <f>RigheOfferte[[#This Row],[Descrizione]]</f>
        <v>0</v>
      </c>
      <c r="G70">
        <f>RigheOfferte[[#This Row],[Q.ta'']]</f>
        <v>0</v>
      </c>
      <c r="H70">
        <f>RigheOfferte[[#This Row],[Lavorazione]]</f>
        <v>0</v>
      </c>
      <c r="I70">
        <f>RigheOfferte[[#This Row],[Colore]]</f>
        <v>0</v>
      </c>
      <c r="J70">
        <f>RigheOfferte[[#This Row],[Velocità]]</f>
        <v>0</v>
      </c>
      <c r="K70">
        <f>RigheOfferte[[#This Row],[Superf.pz Mq]]</f>
        <v>0</v>
      </c>
      <c r="L70">
        <f>RigheOfferte[[#This Row],[passo]]</f>
        <v>0</v>
      </c>
      <c r="M70">
        <f>RigheOfferte[[#This Row],[nr.pezzi Telaio]]</f>
        <v>0</v>
      </c>
      <c r="N70">
        <f>RigheOfferte[[#This Row],[nr.pezzi ora-unita]]</f>
        <v>0</v>
      </c>
      <c r="O70">
        <f>Tabella1[[#This Row],[superificie]]*Resa</f>
        <v>0</v>
      </c>
      <c r="P70">
        <f>Tabella1[[#This Row],[KgPezzo]]*Tabella1[[#This Row],[q.ta offerta]]</f>
        <v>0</v>
      </c>
      <c r="Q70">
        <f>RigheOfferte[[#This Row],[QtaProtez]]</f>
        <v>0</v>
      </c>
      <c r="R70">
        <f>RigheOfferte[[#This Row],[Tipo Protezione]]</f>
        <v>0</v>
      </c>
    </row>
    <row r="71" spans="1:18">
      <c r="A71">
        <f>RigheOfferte[[#This Row],[Nprev]]</f>
        <v>0</v>
      </c>
      <c r="B71">
        <f>RigheOfferte[[#This Row],[Nriga]]</f>
        <v>0</v>
      </c>
      <c r="C71">
        <f>RigheOfferte[[#This Row],[Cliente]]</f>
        <v>0</v>
      </c>
      <c r="D71">
        <f>RigheOfferte[[#This Row],[sub_cliente]]</f>
        <v>0</v>
      </c>
      <c r="E71">
        <f>RigheOfferte[[#This Row],[cod.Art.]]</f>
        <v>0</v>
      </c>
      <c r="F71">
        <f>RigheOfferte[[#This Row],[Descrizione]]</f>
        <v>0</v>
      </c>
      <c r="G71">
        <f>RigheOfferte[[#This Row],[Q.ta'']]</f>
        <v>0</v>
      </c>
      <c r="H71">
        <f>RigheOfferte[[#This Row],[Lavorazione]]</f>
        <v>0</v>
      </c>
      <c r="I71">
        <f>RigheOfferte[[#This Row],[Colore]]</f>
        <v>0</v>
      </c>
      <c r="J71">
        <f>RigheOfferte[[#This Row],[Velocità]]</f>
        <v>0</v>
      </c>
      <c r="K71">
        <f>RigheOfferte[[#This Row],[Superf.pz Mq]]</f>
        <v>0</v>
      </c>
      <c r="L71">
        <f>RigheOfferte[[#This Row],[passo]]</f>
        <v>0</v>
      </c>
      <c r="M71">
        <f>RigheOfferte[[#This Row],[nr.pezzi Telaio]]</f>
        <v>0</v>
      </c>
      <c r="N71">
        <f>RigheOfferte[[#This Row],[nr.pezzi ora-unita]]</f>
        <v>0</v>
      </c>
      <c r="O71">
        <f>Tabella1[[#This Row],[superificie]]*Resa</f>
        <v>0</v>
      </c>
      <c r="P71">
        <f>Tabella1[[#This Row],[KgPezzo]]*Tabella1[[#This Row],[q.ta offerta]]</f>
        <v>0</v>
      </c>
      <c r="Q71">
        <f>RigheOfferte[[#This Row],[QtaProtez]]</f>
        <v>0</v>
      </c>
      <c r="R71">
        <f>RigheOfferte[[#This Row],[Tipo Protezione]]</f>
        <v>0</v>
      </c>
    </row>
    <row r="72" spans="1:18">
      <c r="A72">
        <f>RigheOfferte[[#This Row],[Nprev]]</f>
        <v>0</v>
      </c>
      <c r="B72">
        <f>RigheOfferte[[#This Row],[Nriga]]</f>
        <v>0</v>
      </c>
      <c r="C72">
        <f>RigheOfferte[[#This Row],[Cliente]]</f>
        <v>0</v>
      </c>
      <c r="D72">
        <f>RigheOfferte[[#This Row],[sub_cliente]]</f>
        <v>0</v>
      </c>
      <c r="E72">
        <f>RigheOfferte[[#This Row],[cod.Art.]]</f>
        <v>0</v>
      </c>
      <c r="F72">
        <f>RigheOfferte[[#This Row],[Descrizione]]</f>
        <v>0</v>
      </c>
      <c r="G72">
        <f>RigheOfferte[[#This Row],[Q.ta'']]</f>
        <v>0</v>
      </c>
      <c r="H72">
        <f>RigheOfferte[[#This Row],[Lavorazione]]</f>
        <v>0</v>
      </c>
      <c r="I72">
        <f>RigheOfferte[[#This Row],[Colore]]</f>
        <v>0</v>
      </c>
      <c r="J72">
        <f>RigheOfferte[[#This Row],[Velocità]]</f>
        <v>0</v>
      </c>
      <c r="K72">
        <f>RigheOfferte[[#This Row],[Superf.pz Mq]]</f>
        <v>0</v>
      </c>
      <c r="L72">
        <f>RigheOfferte[[#This Row],[passo]]</f>
        <v>0</v>
      </c>
      <c r="M72">
        <f>RigheOfferte[[#This Row],[nr.pezzi Telaio]]</f>
        <v>0</v>
      </c>
      <c r="N72">
        <f>RigheOfferte[[#This Row],[nr.pezzi ora-unita]]</f>
        <v>0</v>
      </c>
      <c r="O72">
        <f>Tabella1[[#This Row],[superificie]]*Resa</f>
        <v>0</v>
      </c>
      <c r="P72">
        <f>Tabella1[[#This Row],[KgPezzo]]*Tabella1[[#This Row],[q.ta offerta]]</f>
        <v>0</v>
      </c>
      <c r="Q72">
        <f>RigheOfferte[[#This Row],[QtaProtez]]</f>
        <v>0</v>
      </c>
      <c r="R72">
        <f>RigheOfferte[[#This Row],[Tipo Protezione]]</f>
        <v>0</v>
      </c>
    </row>
    <row r="73" spans="1:18">
      <c r="A73">
        <f>RigheOfferte[[#This Row],[Nprev]]</f>
        <v>0</v>
      </c>
      <c r="B73">
        <f>RigheOfferte[[#This Row],[Nriga]]</f>
        <v>0</v>
      </c>
      <c r="C73">
        <f>RigheOfferte[[#This Row],[Cliente]]</f>
        <v>0</v>
      </c>
      <c r="D73">
        <f>RigheOfferte[[#This Row],[sub_cliente]]</f>
        <v>0</v>
      </c>
      <c r="E73">
        <f>RigheOfferte[[#This Row],[cod.Art.]]</f>
        <v>0</v>
      </c>
      <c r="F73">
        <f>RigheOfferte[[#This Row],[Descrizione]]</f>
        <v>0</v>
      </c>
      <c r="G73">
        <f>RigheOfferte[[#This Row],[Q.ta'']]</f>
        <v>0</v>
      </c>
      <c r="H73">
        <f>RigheOfferte[[#This Row],[Lavorazione]]</f>
        <v>0</v>
      </c>
      <c r="I73">
        <f>RigheOfferte[[#This Row],[Colore]]</f>
        <v>0</v>
      </c>
      <c r="J73">
        <f>RigheOfferte[[#This Row],[Velocità]]</f>
        <v>0</v>
      </c>
      <c r="K73">
        <f>RigheOfferte[[#This Row],[Superf.pz Mq]]</f>
        <v>0</v>
      </c>
      <c r="L73">
        <f>RigheOfferte[[#This Row],[passo]]</f>
        <v>0</v>
      </c>
      <c r="M73">
        <f>RigheOfferte[[#This Row],[nr.pezzi Telaio]]</f>
        <v>0</v>
      </c>
      <c r="N73">
        <f>RigheOfferte[[#This Row],[nr.pezzi ora-unita]]</f>
        <v>0</v>
      </c>
      <c r="O73">
        <f>Tabella1[[#This Row],[superificie]]*Resa</f>
        <v>0</v>
      </c>
      <c r="P73">
        <f>Tabella1[[#This Row],[KgPezzo]]*Tabella1[[#This Row],[q.ta offerta]]</f>
        <v>0</v>
      </c>
      <c r="Q73">
        <f>RigheOfferte[[#This Row],[QtaProtez]]</f>
        <v>0</v>
      </c>
      <c r="R73">
        <f>RigheOfferte[[#This Row],[Tipo Protezione]]</f>
        <v>0</v>
      </c>
    </row>
    <row r="74" spans="1:18">
      <c r="A74">
        <f>RigheOfferte[[#This Row],[Nprev]]</f>
        <v>0</v>
      </c>
      <c r="B74">
        <f>RigheOfferte[[#This Row],[Nriga]]</f>
        <v>0</v>
      </c>
      <c r="C74">
        <f>RigheOfferte[[#This Row],[Cliente]]</f>
        <v>0</v>
      </c>
      <c r="D74">
        <f>RigheOfferte[[#This Row],[sub_cliente]]</f>
        <v>0</v>
      </c>
      <c r="E74">
        <f>RigheOfferte[[#This Row],[cod.Art.]]</f>
        <v>0</v>
      </c>
      <c r="F74">
        <f>RigheOfferte[[#This Row],[Descrizione]]</f>
        <v>0</v>
      </c>
      <c r="G74">
        <f>RigheOfferte[[#This Row],[Q.ta'']]</f>
        <v>0</v>
      </c>
      <c r="H74">
        <f>RigheOfferte[[#This Row],[Lavorazione]]</f>
        <v>0</v>
      </c>
      <c r="I74">
        <f>RigheOfferte[[#This Row],[Colore]]</f>
        <v>0</v>
      </c>
      <c r="J74">
        <f>RigheOfferte[[#This Row],[Velocità]]</f>
        <v>0</v>
      </c>
      <c r="K74">
        <f>RigheOfferte[[#This Row],[Superf.pz Mq]]</f>
        <v>0</v>
      </c>
      <c r="L74">
        <f>RigheOfferte[[#This Row],[passo]]</f>
        <v>0</v>
      </c>
      <c r="M74">
        <f>RigheOfferte[[#This Row],[nr.pezzi Telaio]]</f>
        <v>0</v>
      </c>
      <c r="N74">
        <f>RigheOfferte[[#This Row],[nr.pezzi ora-unita]]</f>
        <v>0</v>
      </c>
      <c r="O74">
        <f>Tabella1[[#This Row],[superificie]]*Resa</f>
        <v>0</v>
      </c>
      <c r="P74">
        <f>Tabella1[[#This Row],[KgPezzo]]*Tabella1[[#This Row],[q.ta offerta]]</f>
        <v>0</v>
      </c>
      <c r="Q74">
        <f>RigheOfferte[[#This Row],[QtaProtez]]</f>
        <v>0</v>
      </c>
      <c r="R74">
        <f>RigheOfferte[[#This Row],[Tipo Protezione]]</f>
        <v>0</v>
      </c>
    </row>
    <row r="75" spans="1:18">
      <c r="A75">
        <f>RigheOfferte[[#This Row],[Nprev]]</f>
        <v>0</v>
      </c>
      <c r="B75">
        <f>RigheOfferte[[#This Row],[Nriga]]</f>
        <v>0</v>
      </c>
      <c r="C75">
        <f>RigheOfferte[[#This Row],[Cliente]]</f>
        <v>0</v>
      </c>
      <c r="D75">
        <f>RigheOfferte[[#This Row],[sub_cliente]]</f>
        <v>0</v>
      </c>
      <c r="E75">
        <f>RigheOfferte[[#This Row],[cod.Art.]]</f>
        <v>0</v>
      </c>
      <c r="F75">
        <f>RigheOfferte[[#This Row],[Descrizione]]</f>
        <v>0</v>
      </c>
      <c r="G75">
        <f>RigheOfferte[[#This Row],[Q.ta'']]</f>
        <v>0</v>
      </c>
      <c r="H75">
        <f>RigheOfferte[[#This Row],[Lavorazione]]</f>
        <v>0</v>
      </c>
      <c r="I75">
        <f>RigheOfferte[[#This Row],[Colore]]</f>
        <v>0</v>
      </c>
      <c r="J75">
        <f>RigheOfferte[[#This Row],[Velocità]]</f>
        <v>0</v>
      </c>
      <c r="K75">
        <f>RigheOfferte[[#This Row],[Superf.pz Mq]]</f>
        <v>0</v>
      </c>
      <c r="L75">
        <f>RigheOfferte[[#This Row],[passo]]</f>
        <v>0</v>
      </c>
      <c r="M75">
        <f>RigheOfferte[[#This Row],[nr.pezzi Telaio]]</f>
        <v>0</v>
      </c>
      <c r="N75">
        <f>RigheOfferte[[#This Row],[nr.pezzi ora-unita]]</f>
        <v>0</v>
      </c>
      <c r="O75">
        <f>Tabella1[[#This Row],[superificie]]*Resa</f>
        <v>0</v>
      </c>
      <c r="P75">
        <f>Tabella1[[#This Row],[KgPezzo]]*Tabella1[[#This Row],[q.ta offerta]]</f>
        <v>0</v>
      </c>
      <c r="Q75">
        <f>RigheOfferte[[#This Row],[QtaProtez]]</f>
        <v>0</v>
      </c>
      <c r="R75">
        <f>RigheOfferte[[#This Row],[Tipo Protezione]]</f>
        <v>0</v>
      </c>
    </row>
    <row r="76" spans="1:18">
      <c r="A76">
        <f>RigheOfferte[[#This Row],[Nprev]]</f>
        <v>0</v>
      </c>
      <c r="B76">
        <f>RigheOfferte[[#This Row],[Nriga]]</f>
        <v>0</v>
      </c>
      <c r="C76">
        <f>RigheOfferte[[#This Row],[Cliente]]</f>
        <v>0</v>
      </c>
      <c r="D76">
        <f>RigheOfferte[[#This Row],[sub_cliente]]</f>
        <v>0</v>
      </c>
      <c r="E76">
        <f>RigheOfferte[[#This Row],[cod.Art.]]</f>
        <v>0</v>
      </c>
      <c r="F76">
        <f>RigheOfferte[[#This Row],[Descrizione]]</f>
        <v>0</v>
      </c>
      <c r="G76">
        <f>RigheOfferte[[#This Row],[Q.ta'']]</f>
        <v>0</v>
      </c>
      <c r="H76">
        <f>RigheOfferte[[#This Row],[Lavorazione]]</f>
        <v>0</v>
      </c>
      <c r="I76">
        <f>RigheOfferte[[#This Row],[Colore]]</f>
        <v>0</v>
      </c>
      <c r="J76">
        <f>RigheOfferte[[#This Row],[Velocità]]</f>
        <v>0</v>
      </c>
      <c r="K76">
        <f>RigheOfferte[[#This Row],[Superf.pz Mq]]</f>
        <v>0</v>
      </c>
      <c r="L76">
        <f>RigheOfferte[[#This Row],[passo]]</f>
        <v>0</v>
      </c>
      <c r="M76">
        <f>RigheOfferte[[#This Row],[nr.pezzi Telaio]]</f>
        <v>0</v>
      </c>
      <c r="N76">
        <f>RigheOfferte[[#This Row],[nr.pezzi ora-unita]]</f>
        <v>0</v>
      </c>
      <c r="O76">
        <f>Tabella1[[#This Row],[superificie]]*Resa</f>
        <v>0</v>
      </c>
      <c r="P76">
        <f>Tabella1[[#This Row],[KgPezzo]]*Tabella1[[#This Row],[q.ta offerta]]</f>
        <v>0</v>
      </c>
      <c r="Q76">
        <f>RigheOfferte[[#This Row],[QtaProtez]]</f>
        <v>0</v>
      </c>
      <c r="R76">
        <f>RigheOfferte[[#This Row],[Tipo Protezione]]</f>
        <v>0</v>
      </c>
    </row>
    <row r="77" spans="1:18">
      <c r="A77">
        <f>RigheOfferte[[#This Row],[Nprev]]</f>
        <v>0</v>
      </c>
      <c r="B77">
        <f>RigheOfferte[[#This Row],[Nriga]]</f>
        <v>0</v>
      </c>
      <c r="C77">
        <f>RigheOfferte[[#This Row],[Cliente]]</f>
        <v>0</v>
      </c>
      <c r="D77">
        <f>RigheOfferte[[#This Row],[sub_cliente]]</f>
        <v>0</v>
      </c>
      <c r="E77">
        <f>RigheOfferte[[#This Row],[cod.Art.]]</f>
        <v>0</v>
      </c>
      <c r="F77">
        <f>RigheOfferte[[#This Row],[Descrizione]]</f>
        <v>0</v>
      </c>
      <c r="G77">
        <f>RigheOfferte[[#This Row],[Q.ta'']]</f>
        <v>0</v>
      </c>
      <c r="H77">
        <f>RigheOfferte[[#This Row],[Lavorazione]]</f>
        <v>0</v>
      </c>
      <c r="I77">
        <f>RigheOfferte[[#This Row],[Colore]]</f>
        <v>0</v>
      </c>
      <c r="J77">
        <f>RigheOfferte[[#This Row],[Velocità]]</f>
        <v>0</v>
      </c>
      <c r="K77">
        <f>RigheOfferte[[#This Row],[Superf.pz Mq]]</f>
        <v>0</v>
      </c>
      <c r="L77">
        <f>RigheOfferte[[#This Row],[passo]]</f>
        <v>0</v>
      </c>
      <c r="M77">
        <f>RigheOfferte[[#This Row],[nr.pezzi Telaio]]</f>
        <v>0</v>
      </c>
      <c r="N77">
        <f>RigheOfferte[[#This Row],[nr.pezzi ora-unita]]</f>
        <v>0</v>
      </c>
      <c r="O77">
        <f>Tabella1[[#This Row],[superificie]]*Resa</f>
        <v>0</v>
      </c>
      <c r="P77">
        <f>Tabella1[[#This Row],[KgPezzo]]*Tabella1[[#This Row],[q.ta offerta]]</f>
        <v>0</v>
      </c>
      <c r="Q77">
        <f>RigheOfferte[[#This Row],[QtaProtez]]</f>
        <v>0</v>
      </c>
      <c r="R77">
        <f>RigheOfferte[[#This Row],[Tipo Protezione]]</f>
        <v>0</v>
      </c>
    </row>
    <row r="78" spans="1:18">
      <c r="A78">
        <f>RigheOfferte[[#This Row],[Nprev]]</f>
        <v>0</v>
      </c>
      <c r="B78">
        <f>RigheOfferte[[#This Row],[Nriga]]</f>
        <v>0</v>
      </c>
      <c r="C78">
        <f>RigheOfferte[[#This Row],[Cliente]]</f>
        <v>0</v>
      </c>
      <c r="D78">
        <f>RigheOfferte[[#This Row],[sub_cliente]]</f>
        <v>0</v>
      </c>
      <c r="E78">
        <f>RigheOfferte[[#This Row],[cod.Art.]]</f>
        <v>0</v>
      </c>
      <c r="F78">
        <f>RigheOfferte[[#This Row],[Descrizione]]</f>
        <v>0</v>
      </c>
      <c r="G78">
        <f>RigheOfferte[[#This Row],[Q.ta'']]</f>
        <v>0</v>
      </c>
      <c r="H78">
        <f>RigheOfferte[[#This Row],[Lavorazione]]</f>
        <v>0</v>
      </c>
      <c r="I78">
        <f>RigheOfferte[[#This Row],[Colore]]</f>
        <v>0</v>
      </c>
      <c r="J78">
        <f>RigheOfferte[[#This Row],[Velocità]]</f>
        <v>0</v>
      </c>
      <c r="K78">
        <f>RigheOfferte[[#This Row],[Superf.pz Mq]]</f>
        <v>0</v>
      </c>
      <c r="L78">
        <f>RigheOfferte[[#This Row],[passo]]</f>
        <v>0</v>
      </c>
      <c r="M78">
        <f>RigheOfferte[[#This Row],[nr.pezzi Telaio]]</f>
        <v>0</v>
      </c>
      <c r="N78">
        <f>RigheOfferte[[#This Row],[nr.pezzi ora-unita]]</f>
        <v>0</v>
      </c>
      <c r="O78">
        <f>Tabella1[[#This Row],[superificie]]*Resa</f>
        <v>0</v>
      </c>
      <c r="P78">
        <f>Tabella1[[#This Row],[KgPezzo]]*Tabella1[[#This Row],[q.ta offerta]]</f>
        <v>0</v>
      </c>
      <c r="Q78">
        <f>RigheOfferte[[#This Row],[QtaProtez]]</f>
        <v>0</v>
      </c>
      <c r="R78">
        <f>RigheOfferte[[#This Row],[Tipo Protezione]]</f>
        <v>0</v>
      </c>
    </row>
    <row r="79" spans="1:18">
      <c r="A79">
        <f>RigheOfferte[[#This Row],[Nprev]]</f>
        <v>0</v>
      </c>
      <c r="B79">
        <f>RigheOfferte[[#This Row],[Nriga]]</f>
        <v>0</v>
      </c>
      <c r="C79">
        <f>RigheOfferte[[#This Row],[Cliente]]</f>
        <v>0</v>
      </c>
      <c r="D79">
        <f>RigheOfferte[[#This Row],[sub_cliente]]</f>
        <v>0</v>
      </c>
      <c r="E79">
        <f>RigheOfferte[[#This Row],[cod.Art.]]</f>
        <v>0</v>
      </c>
      <c r="F79">
        <f>RigheOfferte[[#This Row],[Descrizione]]</f>
        <v>0</v>
      </c>
      <c r="G79">
        <f>RigheOfferte[[#This Row],[Q.ta'']]</f>
        <v>0</v>
      </c>
      <c r="H79">
        <f>RigheOfferte[[#This Row],[Lavorazione]]</f>
        <v>0</v>
      </c>
      <c r="I79">
        <f>RigheOfferte[[#This Row],[Colore]]</f>
        <v>0</v>
      </c>
      <c r="J79">
        <f>RigheOfferte[[#This Row],[Velocità]]</f>
        <v>0</v>
      </c>
      <c r="K79">
        <f>RigheOfferte[[#This Row],[Superf.pz Mq]]</f>
        <v>0</v>
      </c>
      <c r="L79">
        <f>RigheOfferte[[#This Row],[passo]]</f>
        <v>0</v>
      </c>
      <c r="M79">
        <f>RigheOfferte[[#This Row],[nr.pezzi Telaio]]</f>
        <v>0</v>
      </c>
      <c r="N79">
        <f>RigheOfferte[[#This Row],[nr.pezzi ora-unita]]</f>
        <v>0</v>
      </c>
      <c r="O79">
        <f>Tabella1[[#This Row],[superificie]]*Resa</f>
        <v>0</v>
      </c>
      <c r="P79">
        <f>Tabella1[[#This Row],[KgPezzo]]*Tabella1[[#This Row],[q.ta offerta]]</f>
        <v>0</v>
      </c>
      <c r="Q79">
        <f>RigheOfferte[[#This Row],[QtaProtez]]</f>
        <v>0</v>
      </c>
      <c r="R79">
        <f>RigheOfferte[[#This Row],[Tipo Protezione]]</f>
        <v>0</v>
      </c>
    </row>
    <row r="80" spans="1:18">
      <c r="A80">
        <f>RigheOfferte[[#This Row],[Nprev]]</f>
        <v>0</v>
      </c>
      <c r="B80">
        <f>RigheOfferte[[#This Row],[Nriga]]</f>
        <v>0</v>
      </c>
      <c r="C80">
        <f>RigheOfferte[[#This Row],[Cliente]]</f>
        <v>0</v>
      </c>
      <c r="D80">
        <f>RigheOfferte[[#This Row],[sub_cliente]]</f>
        <v>0</v>
      </c>
      <c r="E80">
        <f>RigheOfferte[[#This Row],[cod.Art.]]</f>
        <v>0</v>
      </c>
      <c r="F80">
        <f>RigheOfferte[[#This Row],[Descrizione]]</f>
        <v>0</v>
      </c>
      <c r="G80">
        <f>RigheOfferte[[#This Row],[Q.ta'']]</f>
        <v>0</v>
      </c>
      <c r="H80">
        <f>RigheOfferte[[#This Row],[Lavorazione]]</f>
        <v>0</v>
      </c>
      <c r="I80">
        <f>RigheOfferte[[#This Row],[Colore]]</f>
        <v>0</v>
      </c>
      <c r="J80">
        <f>RigheOfferte[[#This Row],[Velocità]]</f>
        <v>0</v>
      </c>
      <c r="K80">
        <f>RigheOfferte[[#This Row],[Superf.pz Mq]]</f>
        <v>0</v>
      </c>
      <c r="L80">
        <f>RigheOfferte[[#This Row],[passo]]</f>
        <v>0</v>
      </c>
      <c r="M80">
        <f>RigheOfferte[[#This Row],[nr.pezzi Telaio]]</f>
        <v>0</v>
      </c>
      <c r="N80">
        <f>RigheOfferte[[#This Row],[nr.pezzi ora-unita]]</f>
        <v>0</v>
      </c>
      <c r="O80">
        <f>Tabella1[[#This Row],[superificie]]*Resa</f>
        <v>0</v>
      </c>
      <c r="P80">
        <f>Tabella1[[#This Row],[KgPezzo]]*Tabella1[[#This Row],[q.ta offerta]]</f>
        <v>0</v>
      </c>
      <c r="Q80">
        <f>RigheOfferte[[#This Row],[QtaProtez]]</f>
        <v>0</v>
      </c>
      <c r="R80">
        <f>RigheOfferte[[#This Row],[Tipo Protezione]]</f>
        <v>0</v>
      </c>
    </row>
    <row r="81" spans="1:18">
      <c r="A81">
        <f>RigheOfferte[[#This Row],[Nprev]]</f>
        <v>0</v>
      </c>
      <c r="B81">
        <f>RigheOfferte[[#This Row],[Nriga]]</f>
        <v>0</v>
      </c>
      <c r="C81">
        <f>RigheOfferte[[#This Row],[Cliente]]</f>
        <v>0</v>
      </c>
      <c r="D81">
        <f>RigheOfferte[[#This Row],[sub_cliente]]</f>
        <v>0</v>
      </c>
      <c r="E81">
        <f>RigheOfferte[[#This Row],[cod.Art.]]</f>
        <v>0</v>
      </c>
      <c r="F81">
        <f>RigheOfferte[[#This Row],[Descrizione]]</f>
        <v>0</v>
      </c>
      <c r="G81">
        <f>RigheOfferte[[#This Row],[Q.ta'']]</f>
        <v>0</v>
      </c>
      <c r="H81">
        <f>RigheOfferte[[#This Row],[Lavorazione]]</f>
        <v>0</v>
      </c>
      <c r="I81">
        <f>RigheOfferte[[#This Row],[Colore]]</f>
        <v>0</v>
      </c>
      <c r="J81">
        <f>RigheOfferte[[#This Row],[Velocità]]</f>
        <v>0</v>
      </c>
      <c r="K81">
        <f>RigheOfferte[[#This Row],[Superf.pz Mq]]</f>
        <v>0</v>
      </c>
      <c r="L81">
        <f>RigheOfferte[[#This Row],[passo]]</f>
        <v>0</v>
      </c>
      <c r="M81">
        <f>RigheOfferte[[#This Row],[nr.pezzi Telaio]]</f>
        <v>0</v>
      </c>
      <c r="N81">
        <f>RigheOfferte[[#This Row],[nr.pezzi ora-unita]]</f>
        <v>0</v>
      </c>
      <c r="O81">
        <f>Tabella1[[#This Row],[superificie]]*Resa</f>
        <v>0</v>
      </c>
      <c r="P81">
        <f>Tabella1[[#This Row],[KgPezzo]]*Tabella1[[#This Row],[q.ta offerta]]</f>
        <v>0</v>
      </c>
      <c r="Q81">
        <f>RigheOfferte[[#This Row],[QtaProtez]]</f>
        <v>0</v>
      </c>
      <c r="R81">
        <f>RigheOfferte[[#This Row],[Tipo Protezione]]</f>
        <v>0</v>
      </c>
    </row>
    <row r="82" spans="1:18">
      <c r="A82">
        <f>RigheOfferte[[#This Row],[Nprev]]</f>
        <v>0</v>
      </c>
      <c r="B82">
        <f>RigheOfferte[[#This Row],[Nriga]]</f>
        <v>0</v>
      </c>
      <c r="C82">
        <f>RigheOfferte[[#This Row],[Cliente]]</f>
        <v>0</v>
      </c>
      <c r="D82">
        <f>RigheOfferte[[#This Row],[sub_cliente]]</f>
        <v>0</v>
      </c>
      <c r="E82">
        <f>RigheOfferte[[#This Row],[cod.Art.]]</f>
        <v>0</v>
      </c>
      <c r="F82">
        <f>RigheOfferte[[#This Row],[Descrizione]]</f>
        <v>0</v>
      </c>
      <c r="G82">
        <f>RigheOfferte[[#This Row],[Q.ta'']]</f>
        <v>0</v>
      </c>
      <c r="H82">
        <f>RigheOfferte[[#This Row],[Lavorazione]]</f>
        <v>0</v>
      </c>
      <c r="I82">
        <f>RigheOfferte[[#This Row],[Colore]]</f>
        <v>0</v>
      </c>
      <c r="J82">
        <f>RigheOfferte[[#This Row],[Velocità]]</f>
        <v>0</v>
      </c>
      <c r="K82">
        <f>RigheOfferte[[#This Row],[Superf.pz Mq]]</f>
        <v>0</v>
      </c>
      <c r="L82">
        <f>RigheOfferte[[#This Row],[passo]]</f>
        <v>0</v>
      </c>
      <c r="M82">
        <f>RigheOfferte[[#This Row],[nr.pezzi Telaio]]</f>
        <v>0</v>
      </c>
      <c r="N82">
        <f>RigheOfferte[[#This Row],[nr.pezzi ora-unita]]</f>
        <v>0</v>
      </c>
      <c r="O82">
        <f>Tabella1[[#This Row],[superificie]]*Resa</f>
        <v>0</v>
      </c>
      <c r="P82">
        <f>Tabella1[[#This Row],[KgPezzo]]*Tabella1[[#This Row],[q.ta offerta]]</f>
        <v>0</v>
      </c>
      <c r="Q82">
        <f>RigheOfferte[[#This Row],[QtaProtez]]</f>
        <v>0</v>
      </c>
      <c r="R82">
        <f>RigheOfferte[[#This Row],[Tipo Protezione]]</f>
        <v>0</v>
      </c>
    </row>
    <row r="83" spans="1:18">
      <c r="A83">
        <f>RigheOfferte[[#This Row],[Nprev]]</f>
        <v>0</v>
      </c>
      <c r="B83">
        <f>RigheOfferte[[#This Row],[Nriga]]</f>
        <v>0</v>
      </c>
      <c r="C83">
        <f>RigheOfferte[[#This Row],[Cliente]]</f>
        <v>0</v>
      </c>
      <c r="D83">
        <f>RigheOfferte[[#This Row],[sub_cliente]]</f>
        <v>0</v>
      </c>
      <c r="E83">
        <f>RigheOfferte[[#This Row],[cod.Art.]]</f>
        <v>0</v>
      </c>
      <c r="F83">
        <f>RigheOfferte[[#This Row],[Descrizione]]</f>
        <v>0</v>
      </c>
      <c r="G83">
        <f>RigheOfferte[[#This Row],[Q.ta'']]</f>
        <v>0</v>
      </c>
      <c r="H83">
        <f>RigheOfferte[[#This Row],[Lavorazione]]</f>
        <v>0</v>
      </c>
      <c r="I83">
        <f>RigheOfferte[[#This Row],[Colore]]</f>
        <v>0</v>
      </c>
      <c r="J83">
        <f>RigheOfferte[[#This Row],[Velocità]]</f>
        <v>0</v>
      </c>
      <c r="K83">
        <f>RigheOfferte[[#This Row],[Superf.pz Mq]]</f>
        <v>0</v>
      </c>
      <c r="L83">
        <f>RigheOfferte[[#This Row],[passo]]</f>
        <v>0</v>
      </c>
      <c r="M83">
        <f>RigheOfferte[[#This Row],[nr.pezzi Telaio]]</f>
        <v>0</v>
      </c>
      <c r="N83">
        <f>RigheOfferte[[#This Row],[nr.pezzi ora-unita]]</f>
        <v>0</v>
      </c>
      <c r="O83">
        <f>Tabella1[[#This Row],[superificie]]*Resa</f>
        <v>0</v>
      </c>
      <c r="P83">
        <f>Tabella1[[#This Row],[KgPezzo]]*Tabella1[[#This Row],[q.ta offerta]]</f>
        <v>0</v>
      </c>
      <c r="Q83">
        <f>RigheOfferte[[#This Row],[QtaProtez]]</f>
        <v>0</v>
      </c>
      <c r="R83">
        <f>RigheOfferte[[#This Row],[Tipo Protezione]]</f>
        <v>0</v>
      </c>
    </row>
    <row r="84" spans="1:18">
      <c r="A84">
        <f>RigheOfferte[[#This Row],[Nprev]]</f>
        <v>0</v>
      </c>
      <c r="B84">
        <f>RigheOfferte[[#This Row],[Nriga]]</f>
        <v>0</v>
      </c>
      <c r="C84">
        <f>RigheOfferte[[#This Row],[Cliente]]</f>
        <v>0</v>
      </c>
      <c r="D84">
        <f>RigheOfferte[[#This Row],[sub_cliente]]</f>
        <v>0</v>
      </c>
      <c r="E84">
        <f>RigheOfferte[[#This Row],[cod.Art.]]</f>
        <v>0</v>
      </c>
      <c r="F84">
        <f>RigheOfferte[[#This Row],[Descrizione]]</f>
        <v>0</v>
      </c>
      <c r="G84">
        <f>RigheOfferte[[#This Row],[Q.ta'']]</f>
        <v>0</v>
      </c>
      <c r="H84">
        <f>RigheOfferte[[#This Row],[Lavorazione]]</f>
        <v>0</v>
      </c>
      <c r="I84">
        <f>RigheOfferte[[#This Row],[Colore]]</f>
        <v>0</v>
      </c>
      <c r="J84">
        <f>RigheOfferte[[#This Row],[Velocità]]</f>
        <v>0</v>
      </c>
      <c r="K84">
        <f>RigheOfferte[[#This Row],[Superf.pz Mq]]</f>
        <v>0</v>
      </c>
      <c r="L84">
        <f>RigheOfferte[[#This Row],[passo]]</f>
        <v>0</v>
      </c>
      <c r="M84">
        <f>RigheOfferte[[#This Row],[nr.pezzi Telaio]]</f>
        <v>0</v>
      </c>
      <c r="N84">
        <f>RigheOfferte[[#This Row],[nr.pezzi ora-unita]]</f>
        <v>0</v>
      </c>
      <c r="O84">
        <f>Tabella1[[#This Row],[superificie]]*Resa</f>
        <v>0</v>
      </c>
      <c r="P84">
        <f>Tabella1[[#This Row],[KgPezzo]]*Tabella1[[#This Row],[q.ta offerta]]</f>
        <v>0</v>
      </c>
      <c r="Q84">
        <f>RigheOfferte[[#This Row],[QtaProtez]]</f>
        <v>0</v>
      </c>
      <c r="R84">
        <f>RigheOfferte[[#This Row],[Tipo Protezione]]</f>
        <v>0</v>
      </c>
    </row>
    <row r="85" spans="1:18">
      <c r="A85">
        <f>RigheOfferte[[#This Row],[Nprev]]</f>
        <v>0</v>
      </c>
      <c r="B85">
        <f>RigheOfferte[[#This Row],[Nriga]]</f>
        <v>0</v>
      </c>
      <c r="C85">
        <f>RigheOfferte[[#This Row],[Cliente]]</f>
        <v>0</v>
      </c>
      <c r="D85">
        <f>RigheOfferte[[#This Row],[sub_cliente]]</f>
        <v>0</v>
      </c>
      <c r="E85">
        <f>RigheOfferte[[#This Row],[cod.Art.]]</f>
        <v>0</v>
      </c>
      <c r="F85">
        <f>RigheOfferte[[#This Row],[Descrizione]]</f>
        <v>0</v>
      </c>
      <c r="G85">
        <f>RigheOfferte[[#This Row],[Q.ta'']]</f>
        <v>0</v>
      </c>
      <c r="H85">
        <f>RigheOfferte[[#This Row],[Lavorazione]]</f>
        <v>0</v>
      </c>
      <c r="I85">
        <f>RigheOfferte[[#This Row],[Colore]]</f>
        <v>0</v>
      </c>
      <c r="J85">
        <f>RigheOfferte[[#This Row],[Velocità]]</f>
        <v>0</v>
      </c>
      <c r="K85">
        <f>RigheOfferte[[#This Row],[Superf.pz Mq]]</f>
        <v>0</v>
      </c>
      <c r="L85">
        <f>RigheOfferte[[#This Row],[passo]]</f>
        <v>0</v>
      </c>
      <c r="M85">
        <f>RigheOfferte[[#This Row],[nr.pezzi Telaio]]</f>
        <v>0</v>
      </c>
      <c r="N85">
        <f>RigheOfferte[[#This Row],[nr.pezzi ora-unita]]</f>
        <v>0</v>
      </c>
      <c r="O85">
        <f>Tabella1[[#This Row],[superificie]]*Resa</f>
        <v>0</v>
      </c>
      <c r="P85">
        <f>Tabella1[[#This Row],[KgPezzo]]*Tabella1[[#This Row],[q.ta offerta]]</f>
        <v>0</v>
      </c>
      <c r="Q85">
        <f>RigheOfferte[[#This Row],[QtaProtez]]</f>
        <v>0</v>
      </c>
      <c r="R85">
        <f>RigheOfferte[[#This Row],[Tipo Protezione]]</f>
        <v>0</v>
      </c>
    </row>
    <row r="86" spans="1:18">
      <c r="A86">
        <f>RigheOfferte[[#This Row],[Nprev]]</f>
        <v>0</v>
      </c>
      <c r="B86">
        <f>RigheOfferte[[#This Row],[Nriga]]</f>
        <v>0</v>
      </c>
      <c r="C86">
        <f>RigheOfferte[[#This Row],[Cliente]]</f>
        <v>0</v>
      </c>
      <c r="D86">
        <f>RigheOfferte[[#This Row],[sub_cliente]]</f>
        <v>0</v>
      </c>
      <c r="E86">
        <f>RigheOfferte[[#This Row],[cod.Art.]]</f>
        <v>0</v>
      </c>
      <c r="F86">
        <f>RigheOfferte[[#This Row],[Descrizione]]</f>
        <v>0</v>
      </c>
      <c r="G86">
        <f>RigheOfferte[[#This Row],[Q.ta'']]</f>
        <v>0</v>
      </c>
      <c r="H86">
        <f>RigheOfferte[[#This Row],[Lavorazione]]</f>
        <v>0</v>
      </c>
      <c r="I86">
        <f>RigheOfferte[[#This Row],[Colore]]</f>
        <v>0</v>
      </c>
      <c r="J86">
        <f>RigheOfferte[[#This Row],[Velocità]]</f>
        <v>0</v>
      </c>
      <c r="K86">
        <f>RigheOfferte[[#This Row],[Superf.pz Mq]]</f>
        <v>0</v>
      </c>
      <c r="L86">
        <f>RigheOfferte[[#This Row],[passo]]</f>
        <v>0</v>
      </c>
      <c r="M86">
        <f>RigheOfferte[[#This Row],[nr.pezzi Telaio]]</f>
        <v>0</v>
      </c>
      <c r="N86">
        <f>RigheOfferte[[#This Row],[nr.pezzi ora-unita]]</f>
        <v>0</v>
      </c>
      <c r="O86">
        <f>Tabella1[[#This Row],[superificie]]*Resa</f>
        <v>0</v>
      </c>
      <c r="P86">
        <f>Tabella1[[#This Row],[KgPezzo]]*Tabella1[[#This Row],[q.ta offerta]]</f>
        <v>0</v>
      </c>
      <c r="Q86">
        <f>RigheOfferte[[#This Row],[QtaProtez]]</f>
        <v>0</v>
      </c>
      <c r="R86">
        <f>RigheOfferte[[#This Row],[Tipo Protezione]]</f>
        <v>0</v>
      </c>
    </row>
    <row r="87" spans="1:18">
      <c r="A87">
        <f>RigheOfferte[[#This Row],[Nprev]]</f>
        <v>0</v>
      </c>
      <c r="B87">
        <f>RigheOfferte[[#This Row],[Nriga]]</f>
        <v>0</v>
      </c>
      <c r="C87">
        <f>RigheOfferte[[#This Row],[Cliente]]</f>
        <v>0</v>
      </c>
      <c r="D87">
        <f>RigheOfferte[[#This Row],[sub_cliente]]</f>
        <v>0</v>
      </c>
      <c r="E87">
        <f>RigheOfferte[[#This Row],[cod.Art.]]</f>
        <v>0</v>
      </c>
      <c r="F87">
        <f>RigheOfferte[[#This Row],[Descrizione]]</f>
        <v>0</v>
      </c>
      <c r="G87">
        <f>RigheOfferte[[#This Row],[Q.ta'']]</f>
        <v>0</v>
      </c>
      <c r="H87">
        <f>RigheOfferte[[#This Row],[Lavorazione]]</f>
        <v>0</v>
      </c>
      <c r="I87">
        <f>RigheOfferte[[#This Row],[Colore]]</f>
        <v>0</v>
      </c>
      <c r="J87">
        <f>RigheOfferte[[#This Row],[Velocità]]</f>
        <v>0</v>
      </c>
      <c r="K87">
        <f>RigheOfferte[[#This Row],[Superf.pz Mq]]</f>
        <v>0</v>
      </c>
      <c r="L87">
        <f>RigheOfferte[[#This Row],[passo]]</f>
        <v>0</v>
      </c>
      <c r="M87">
        <f>RigheOfferte[[#This Row],[nr.pezzi Telaio]]</f>
        <v>0</v>
      </c>
      <c r="N87">
        <f>RigheOfferte[[#This Row],[nr.pezzi ora-unita]]</f>
        <v>0</v>
      </c>
      <c r="O87">
        <f>Tabella1[[#This Row],[superificie]]*Resa</f>
        <v>0</v>
      </c>
      <c r="P87">
        <f>Tabella1[[#This Row],[KgPezzo]]*Tabella1[[#This Row],[q.ta offerta]]</f>
        <v>0</v>
      </c>
      <c r="Q87">
        <f>RigheOfferte[[#This Row],[QtaProtez]]</f>
        <v>0</v>
      </c>
      <c r="R87">
        <f>RigheOfferte[[#This Row],[Tipo Protezione]]</f>
        <v>0</v>
      </c>
    </row>
    <row r="88" spans="1:18">
      <c r="A88">
        <f>RigheOfferte[[#This Row],[Nprev]]</f>
        <v>0</v>
      </c>
      <c r="B88">
        <f>RigheOfferte[[#This Row],[Nriga]]</f>
        <v>0</v>
      </c>
      <c r="C88">
        <f>RigheOfferte[[#This Row],[Cliente]]</f>
        <v>0</v>
      </c>
      <c r="D88">
        <f>RigheOfferte[[#This Row],[sub_cliente]]</f>
        <v>0</v>
      </c>
      <c r="E88">
        <f>RigheOfferte[[#This Row],[cod.Art.]]</f>
        <v>0</v>
      </c>
      <c r="F88">
        <f>RigheOfferte[[#This Row],[Descrizione]]</f>
        <v>0</v>
      </c>
      <c r="G88">
        <f>RigheOfferte[[#This Row],[Q.ta'']]</f>
        <v>0</v>
      </c>
      <c r="H88">
        <f>RigheOfferte[[#This Row],[Lavorazione]]</f>
        <v>0</v>
      </c>
      <c r="I88">
        <f>RigheOfferte[[#This Row],[Colore]]</f>
        <v>0</v>
      </c>
      <c r="J88">
        <f>RigheOfferte[[#This Row],[Velocità]]</f>
        <v>0</v>
      </c>
      <c r="K88">
        <f>RigheOfferte[[#This Row],[Superf.pz Mq]]</f>
        <v>0</v>
      </c>
      <c r="L88">
        <f>RigheOfferte[[#This Row],[passo]]</f>
        <v>0</v>
      </c>
      <c r="M88">
        <f>RigheOfferte[[#This Row],[nr.pezzi Telaio]]</f>
        <v>0</v>
      </c>
      <c r="N88">
        <f>RigheOfferte[[#This Row],[nr.pezzi ora-unita]]</f>
        <v>0</v>
      </c>
      <c r="O88">
        <f>Tabella1[[#This Row],[superificie]]*Resa</f>
        <v>0</v>
      </c>
      <c r="P88">
        <f>Tabella1[[#This Row],[KgPezzo]]*Tabella1[[#This Row],[q.ta offerta]]</f>
        <v>0</v>
      </c>
      <c r="Q88">
        <f>RigheOfferte[[#This Row],[QtaProtez]]</f>
        <v>0</v>
      </c>
      <c r="R88">
        <f>RigheOfferte[[#This Row],[Tipo Protezione]]</f>
        <v>0</v>
      </c>
    </row>
    <row r="89" spans="1:18">
      <c r="A89">
        <f>RigheOfferte[[#This Row],[Nprev]]</f>
        <v>0</v>
      </c>
      <c r="B89">
        <f>RigheOfferte[[#This Row],[Nriga]]</f>
        <v>0</v>
      </c>
      <c r="C89">
        <f>RigheOfferte[[#This Row],[Cliente]]</f>
        <v>0</v>
      </c>
      <c r="D89">
        <f>RigheOfferte[[#This Row],[sub_cliente]]</f>
        <v>0</v>
      </c>
      <c r="E89">
        <f>RigheOfferte[[#This Row],[cod.Art.]]</f>
        <v>0</v>
      </c>
      <c r="F89">
        <f>RigheOfferte[[#This Row],[Descrizione]]</f>
        <v>0</v>
      </c>
      <c r="G89">
        <f>RigheOfferte[[#This Row],[Q.ta'']]</f>
        <v>0</v>
      </c>
      <c r="H89">
        <f>RigheOfferte[[#This Row],[Lavorazione]]</f>
        <v>0</v>
      </c>
      <c r="I89">
        <f>RigheOfferte[[#This Row],[Colore]]</f>
        <v>0</v>
      </c>
      <c r="J89">
        <f>RigheOfferte[[#This Row],[Velocità]]</f>
        <v>0</v>
      </c>
      <c r="K89">
        <f>RigheOfferte[[#This Row],[Superf.pz Mq]]</f>
        <v>0</v>
      </c>
      <c r="L89">
        <f>RigheOfferte[[#This Row],[passo]]</f>
        <v>0</v>
      </c>
      <c r="M89">
        <f>RigheOfferte[[#This Row],[nr.pezzi Telaio]]</f>
        <v>0</v>
      </c>
      <c r="N89">
        <f>RigheOfferte[[#This Row],[nr.pezzi ora-unita]]</f>
        <v>0</v>
      </c>
      <c r="O89">
        <f>Tabella1[[#This Row],[superificie]]*Resa</f>
        <v>0</v>
      </c>
      <c r="P89">
        <f>Tabella1[[#This Row],[KgPezzo]]*Tabella1[[#This Row],[q.ta offerta]]</f>
        <v>0</v>
      </c>
      <c r="Q89">
        <f>RigheOfferte[[#This Row],[QtaProtez]]</f>
        <v>0</v>
      </c>
      <c r="R89">
        <f>RigheOfferte[[#This Row],[Tipo Protezione]]</f>
        <v>0</v>
      </c>
    </row>
    <row r="90" spans="1:18">
      <c r="A90">
        <f>RigheOfferte[[#This Row],[Nprev]]</f>
        <v>0</v>
      </c>
      <c r="B90">
        <f>RigheOfferte[[#This Row],[Nriga]]</f>
        <v>0</v>
      </c>
      <c r="C90">
        <f>RigheOfferte[[#This Row],[Cliente]]</f>
        <v>0</v>
      </c>
      <c r="D90">
        <f>RigheOfferte[[#This Row],[sub_cliente]]</f>
        <v>0</v>
      </c>
      <c r="E90">
        <f>RigheOfferte[[#This Row],[cod.Art.]]</f>
        <v>0</v>
      </c>
      <c r="F90">
        <f>RigheOfferte[[#This Row],[Descrizione]]</f>
        <v>0</v>
      </c>
      <c r="G90">
        <f>RigheOfferte[[#This Row],[Q.ta'']]</f>
        <v>0</v>
      </c>
      <c r="H90">
        <f>RigheOfferte[[#This Row],[Lavorazione]]</f>
        <v>0</v>
      </c>
      <c r="I90">
        <f>RigheOfferte[[#This Row],[Colore]]</f>
        <v>0</v>
      </c>
      <c r="J90">
        <f>RigheOfferte[[#This Row],[Velocità]]</f>
        <v>0</v>
      </c>
      <c r="K90">
        <f>RigheOfferte[[#This Row],[Superf.pz Mq]]</f>
        <v>0</v>
      </c>
      <c r="L90">
        <f>RigheOfferte[[#This Row],[passo]]</f>
        <v>0</v>
      </c>
      <c r="M90">
        <f>RigheOfferte[[#This Row],[nr.pezzi Telaio]]</f>
        <v>0</v>
      </c>
      <c r="N90">
        <f>RigheOfferte[[#This Row],[nr.pezzi ora-unita]]</f>
        <v>0</v>
      </c>
      <c r="O90">
        <f>Tabella1[[#This Row],[superificie]]*Resa</f>
        <v>0</v>
      </c>
      <c r="P90">
        <f>Tabella1[[#This Row],[KgPezzo]]*Tabella1[[#This Row],[q.ta offerta]]</f>
        <v>0</v>
      </c>
      <c r="Q90">
        <f>RigheOfferte[[#This Row],[QtaProtez]]</f>
        <v>0</v>
      </c>
      <c r="R90">
        <f>RigheOfferte[[#This Row],[Tipo Protezione]]</f>
        <v>0</v>
      </c>
    </row>
    <row r="91" spans="1:18">
      <c r="A91">
        <f>RigheOfferte[[#This Row],[Nprev]]</f>
        <v>0</v>
      </c>
      <c r="B91">
        <f>RigheOfferte[[#This Row],[Nriga]]</f>
        <v>0</v>
      </c>
      <c r="C91">
        <f>RigheOfferte[[#This Row],[Cliente]]</f>
        <v>0</v>
      </c>
      <c r="D91">
        <f>RigheOfferte[[#This Row],[sub_cliente]]</f>
        <v>0</v>
      </c>
      <c r="E91">
        <f>RigheOfferte[[#This Row],[cod.Art.]]</f>
        <v>0</v>
      </c>
      <c r="F91">
        <f>RigheOfferte[[#This Row],[Descrizione]]</f>
        <v>0</v>
      </c>
      <c r="G91">
        <f>RigheOfferte[[#This Row],[Q.ta'']]</f>
        <v>0</v>
      </c>
      <c r="H91">
        <f>RigheOfferte[[#This Row],[Lavorazione]]</f>
        <v>0</v>
      </c>
      <c r="I91">
        <f>RigheOfferte[[#This Row],[Colore]]</f>
        <v>0</v>
      </c>
      <c r="J91">
        <f>RigheOfferte[[#This Row],[Velocità]]</f>
        <v>0</v>
      </c>
      <c r="K91">
        <f>RigheOfferte[[#This Row],[Superf.pz Mq]]</f>
        <v>0</v>
      </c>
      <c r="L91">
        <f>RigheOfferte[[#This Row],[passo]]</f>
        <v>0</v>
      </c>
      <c r="M91">
        <f>RigheOfferte[[#This Row],[nr.pezzi Telaio]]</f>
        <v>0</v>
      </c>
      <c r="N91">
        <f>RigheOfferte[[#This Row],[nr.pezzi ora-unita]]</f>
        <v>0</v>
      </c>
      <c r="O91">
        <f>Tabella1[[#This Row],[superificie]]*Resa</f>
        <v>0</v>
      </c>
      <c r="P91">
        <f>Tabella1[[#This Row],[KgPezzo]]*Tabella1[[#This Row],[q.ta offerta]]</f>
        <v>0</v>
      </c>
      <c r="Q91">
        <f>RigheOfferte[[#This Row],[QtaProtez]]</f>
        <v>0</v>
      </c>
      <c r="R91">
        <f>RigheOfferte[[#This Row],[Tipo Protezione]]</f>
        <v>0</v>
      </c>
    </row>
    <row r="92" spans="1:18">
      <c r="A92">
        <f>RigheOfferte[[#This Row],[Nprev]]</f>
        <v>0</v>
      </c>
      <c r="B92">
        <f>RigheOfferte[[#This Row],[Nriga]]</f>
        <v>0</v>
      </c>
      <c r="C92">
        <f>RigheOfferte[[#This Row],[Cliente]]</f>
        <v>0</v>
      </c>
      <c r="D92">
        <f>RigheOfferte[[#This Row],[sub_cliente]]</f>
        <v>0</v>
      </c>
      <c r="E92">
        <f>RigheOfferte[[#This Row],[cod.Art.]]</f>
        <v>0</v>
      </c>
      <c r="F92">
        <f>RigheOfferte[[#This Row],[Descrizione]]</f>
        <v>0</v>
      </c>
      <c r="G92">
        <f>RigheOfferte[[#This Row],[Q.ta'']]</f>
        <v>0</v>
      </c>
      <c r="H92">
        <f>RigheOfferte[[#This Row],[Lavorazione]]</f>
        <v>0</v>
      </c>
      <c r="I92">
        <f>RigheOfferte[[#This Row],[Colore]]</f>
        <v>0</v>
      </c>
      <c r="J92">
        <f>RigheOfferte[[#This Row],[Velocità]]</f>
        <v>0</v>
      </c>
      <c r="K92">
        <f>RigheOfferte[[#This Row],[Superf.pz Mq]]</f>
        <v>0</v>
      </c>
      <c r="L92">
        <f>RigheOfferte[[#This Row],[passo]]</f>
        <v>0</v>
      </c>
      <c r="M92">
        <f>RigheOfferte[[#This Row],[nr.pezzi Telaio]]</f>
        <v>0</v>
      </c>
      <c r="N92">
        <f>RigheOfferte[[#This Row],[nr.pezzi ora-unita]]</f>
        <v>0</v>
      </c>
      <c r="O92">
        <f>Tabella1[[#This Row],[superificie]]*Resa</f>
        <v>0</v>
      </c>
      <c r="P92">
        <f>Tabella1[[#This Row],[KgPezzo]]*Tabella1[[#This Row],[q.ta offerta]]</f>
        <v>0</v>
      </c>
      <c r="Q92">
        <f>RigheOfferte[[#This Row],[QtaProtez]]</f>
        <v>0</v>
      </c>
      <c r="R92">
        <f>RigheOfferte[[#This Row],[Tipo Protezione]]</f>
        <v>0</v>
      </c>
    </row>
    <row r="93" spans="1:18">
      <c r="A93">
        <f>RigheOfferte[[#This Row],[Nprev]]</f>
        <v>0</v>
      </c>
      <c r="B93">
        <f>RigheOfferte[[#This Row],[Nriga]]</f>
        <v>0</v>
      </c>
      <c r="C93">
        <f>RigheOfferte[[#This Row],[Cliente]]</f>
        <v>0</v>
      </c>
      <c r="D93">
        <f>RigheOfferte[[#This Row],[sub_cliente]]</f>
        <v>0</v>
      </c>
      <c r="E93">
        <f>RigheOfferte[[#This Row],[cod.Art.]]</f>
        <v>0</v>
      </c>
      <c r="F93">
        <f>RigheOfferte[[#This Row],[Descrizione]]</f>
        <v>0</v>
      </c>
      <c r="G93">
        <f>RigheOfferte[[#This Row],[Q.ta'']]</f>
        <v>0</v>
      </c>
      <c r="H93">
        <f>RigheOfferte[[#This Row],[Lavorazione]]</f>
        <v>0</v>
      </c>
      <c r="I93">
        <f>RigheOfferte[[#This Row],[Colore]]</f>
        <v>0</v>
      </c>
      <c r="J93">
        <f>RigheOfferte[[#This Row],[Velocità]]</f>
        <v>0</v>
      </c>
      <c r="K93">
        <f>RigheOfferte[[#This Row],[Superf.pz Mq]]</f>
        <v>0</v>
      </c>
      <c r="L93">
        <f>RigheOfferte[[#This Row],[passo]]</f>
        <v>0</v>
      </c>
      <c r="M93">
        <f>RigheOfferte[[#This Row],[nr.pezzi Telaio]]</f>
        <v>0</v>
      </c>
      <c r="N93">
        <f>RigheOfferte[[#This Row],[nr.pezzi ora-unita]]</f>
        <v>0</v>
      </c>
      <c r="O93">
        <f>Tabella1[[#This Row],[superificie]]*Resa</f>
        <v>0</v>
      </c>
      <c r="P93">
        <f>Tabella1[[#This Row],[KgPezzo]]*Tabella1[[#This Row],[q.ta offerta]]</f>
        <v>0</v>
      </c>
      <c r="Q93">
        <f>RigheOfferte[[#This Row],[QtaProtez]]</f>
        <v>0</v>
      </c>
      <c r="R93">
        <f>RigheOfferte[[#This Row],[Tipo Protezione]]</f>
        <v>0</v>
      </c>
    </row>
    <row r="94" spans="1:18">
      <c r="A94">
        <f>RigheOfferte[[#This Row],[Nprev]]</f>
        <v>0</v>
      </c>
      <c r="B94">
        <f>RigheOfferte[[#This Row],[Nriga]]</f>
        <v>0</v>
      </c>
      <c r="C94">
        <f>RigheOfferte[[#This Row],[Cliente]]</f>
        <v>0</v>
      </c>
      <c r="D94">
        <f>RigheOfferte[[#This Row],[sub_cliente]]</f>
        <v>0</v>
      </c>
      <c r="E94">
        <f>RigheOfferte[[#This Row],[cod.Art.]]</f>
        <v>0</v>
      </c>
      <c r="F94">
        <f>RigheOfferte[[#This Row],[Descrizione]]</f>
        <v>0</v>
      </c>
      <c r="G94">
        <f>RigheOfferte[[#This Row],[Q.ta'']]</f>
        <v>0</v>
      </c>
      <c r="H94">
        <f>RigheOfferte[[#This Row],[Lavorazione]]</f>
        <v>0</v>
      </c>
      <c r="I94">
        <f>RigheOfferte[[#This Row],[Colore]]</f>
        <v>0</v>
      </c>
      <c r="J94">
        <f>RigheOfferte[[#This Row],[Velocità]]</f>
        <v>0</v>
      </c>
      <c r="K94">
        <f>RigheOfferte[[#This Row],[Superf.pz Mq]]</f>
        <v>0</v>
      </c>
      <c r="L94">
        <f>RigheOfferte[[#This Row],[passo]]</f>
        <v>0</v>
      </c>
      <c r="M94">
        <f>RigheOfferte[[#This Row],[nr.pezzi Telaio]]</f>
        <v>0</v>
      </c>
      <c r="N94">
        <f>RigheOfferte[[#This Row],[nr.pezzi ora-unita]]</f>
        <v>0</v>
      </c>
      <c r="O94">
        <f>Tabella1[[#This Row],[superificie]]*Resa</f>
        <v>0</v>
      </c>
      <c r="P94">
        <f>Tabella1[[#This Row],[KgPezzo]]*Tabella1[[#This Row],[q.ta offerta]]</f>
        <v>0</v>
      </c>
      <c r="Q94">
        <f>RigheOfferte[[#This Row],[QtaProtez]]</f>
        <v>0</v>
      </c>
      <c r="R94">
        <f>RigheOfferte[[#This Row],[Tipo Protezione]]</f>
        <v>0</v>
      </c>
    </row>
    <row r="95" spans="1:18">
      <c r="A95">
        <f>RigheOfferte[[#This Row],[Nprev]]</f>
        <v>0</v>
      </c>
      <c r="B95">
        <f>RigheOfferte[[#This Row],[Nriga]]</f>
        <v>0</v>
      </c>
      <c r="C95">
        <f>RigheOfferte[[#This Row],[Cliente]]</f>
        <v>0</v>
      </c>
      <c r="D95">
        <f>RigheOfferte[[#This Row],[sub_cliente]]</f>
        <v>0</v>
      </c>
      <c r="E95">
        <f>RigheOfferte[[#This Row],[cod.Art.]]</f>
        <v>0</v>
      </c>
      <c r="F95">
        <f>RigheOfferte[[#This Row],[Descrizione]]</f>
        <v>0</v>
      </c>
      <c r="G95">
        <f>RigheOfferte[[#This Row],[Q.ta'']]</f>
        <v>0</v>
      </c>
      <c r="H95">
        <f>RigheOfferte[[#This Row],[Lavorazione]]</f>
        <v>0</v>
      </c>
      <c r="I95">
        <f>RigheOfferte[[#This Row],[Colore]]</f>
        <v>0</v>
      </c>
      <c r="J95">
        <f>RigheOfferte[[#This Row],[Velocità]]</f>
        <v>0</v>
      </c>
      <c r="K95">
        <f>RigheOfferte[[#This Row],[Superf.pz Mq]]</f>
        <v>0</v>
      </c>
      <c r="L95">
        <f>RigheOfferte[[#This Row],[passo]]</f>
        <v>0</v>
      </c>
      <c r="M95">
        <f>RigheOfferte[[#This Row],[nr.pezzi Telaio]]</f>
        <v>0</v>
      </c>
      <c r="N95">
        <f>RigheOfferte[[#This Row],[nr.pezzi ora-unita]]</f>
        <v>0</v>
      </c>
      <c r="O95">
        <f>Tabella1[[#This Row],[superificie]]*Resa</f>
        <v>0</v>
      </c>
      <c r="P95">
        <f>Tabella1[[#This Row],[KgPezzo]]*Tabella1[[#This Row],[q.ta offerta]]</f>
        <v>0</v>
      </c>
      <c r="Q95">
        <f>RigheOfferte[[#This Row],[QtaProtez]]</f>
        <v>0</v>
      </c>
      <c r="R95">
        <f>RigheOfferte[[#This Row],[Tipo Protezione]]</f>
        <v>0</v>
      </c>
    </row>
    <row r="96" spans="1:18">
      <c r="A96">
        <f>RigheOfferte[[#This Row],[Nprev]]</f>
        <v>0</v>
      </c>
      <c r="B96">
        <f>RigheOfferte[[#This Row],[Nriga]]</f>
        <v>0</v>
      </c>
      <c r="C96">
        <f>RigheOfferte[[#This Row],[Cliente]]</f>
        <v>0</v>
      </c>
      <c r="D96">
        <f>RigheOfferte[[#This Row],[sub_cliente]]</f>
        <v>0</v>
      </c>
      <c r="E96">
        <f>RigheOfferte[[#This Row],[cod.Art.]]</f>
        <v>0</v>
      </c>
      <c r="F96">
        <f>RigheOfferte[[#This Row],[Descrizione]]</f>
        <v>0</v>
      </c>
      <c r="G96">
        <f>RigheOfferte[[#This Row],[Q.ta'']]</f>
        <v>0</v>
      </c>
      <c r="H96">
        <f>RigheOfferte[[#This Row],[Lavorazione]]</f>
        <v>0</v>
      </c>
      <c r="I96">
        <f>RigheOfferte[[#This Row],[Colore]]</f>
        <v>0</v>
      </c>
      <c r="J96">
        <f>RigheOfferte[[#This Row],[Velocità]]</f>
        <v>0</v>
      </c>
      <c r="K96">
        <f>RigheOfferte[[#This Row],[Superf.pz Mq]]</f>
        <v>0</v>
      </c>
      <c r="L96">
        <f>RigheOfferte[[#This Row],[passo]]</f>
        <v>0</v>
      </c>
      <c r="M96">
        <f>RigheOfferte[[#This Row],[nr.pezzi Telaio]]</f>
        <v>0</v>
      </c>
      <c r="N96">
        <f>RigheOfferte[[#This Row],[nr.pezzi ora-unita]]</f>
        <v>0</v>
      </c>
      <c r="O96">
        <f>Tabella1[[#This Row],[superificie]]*Resa</f>
        <v>0</v>
      </c>
      <c r="P96">
        <f>Tabella1[[#This Row],[KgPezzo]]*Tabella1[[#This Row],[q.ta offerta]]</f>
        <v>0</v>
      </c>
      <c r="Q96">
        <f>RigheOfferte[[#This Row],[QtaProtez]]</f>
        <v>0</v>
      </c>
      <c r="R96">
        <f>RigheOfferte[[#This Row],[Tipo Protezione]]</f>
        <v>0</v>
      </c>
    </row>
    <row r="97" spans="1:18">
      <c r="A97">
        <f>RigheOfferte[[#This Row],[Nprev]]</f>
        <v>0</v>
      </c>
      <c r="B97">
        <f>RigheOfferte[[#This Row],[Nriga]]</f>
        <v>0</v>
      </c>
      <c r="C97">
        <f>RigheOfferte[[#This Row],[Cliente]]</f>
        <v>0</v>
      </c>
      <c r="D97">
        <f>RigheOfferte[[#This Row],[sub_cliente]]</f>
        <v>0</v>
      </c>
      <c r="E97">
        <f>RigheOfferte[[#This Row],[cod.Art.]]</f>
        <v>0</v>
      </c>
      <c r="F97">
        <f>RigheOfferte[[#This Row],[Descrizione]]</f>
        <v>0</v>
      </c>
      <c r="G97">
        <f>RigheOfferte[[#This Row],[Q.ta'']]</f>
        <v>0</v>
      </c>
      <c r="H97">
        <f>RigheOfferte[[#This Row],[Lavorazione]]</f>
        <v>0</v>
      </c>
      <c r="I97">
        <f>RigheOfferte[[#This Row],[Colore]]</f>
        <v>0</v>
      </c>
      <c r="J97">
        <f>RigheOfferte[[#This Row],[Velocità]]</f>
        <v>0</v>
      </c>
      <c r="K97">
        <f>RigheOfferte[[#This Row],[Superf.pz Mq]]</f>
        <v>0</v>
      </c>
      <c r="L97">
        <f>RigheOfferte[[#This Row],[passo]]</f>
        <v>0</v>
      </c>
      <c r="M97">
        <f>RigheOfferte[[#This Row],[nr.pezzi Telaio]]</f>
        <v>0</v>
      </c>
      <c r="N97">
        <f>RigheOfferte[[#This Row],[nr.pezzi ora-unita]]</f>
        <v>0</v>
      </c>
      <c r="O97">
        <f>Tabella1[[#This Row],[superificie]]*Resa</f>
        <v>0</v>
      </c>
      <c r="P97">
        <f>Tabella1[[#This Row],[KgPezzo]]*Tabella1[[#This Row],[q.ta offerta]]</f>
        <v>0</v>
      </c>
      <c r="Q97">
        <f>RigheOfferte[[#This Row],[QtaProtez]]</f>
        <v>0</v>
      </c>
      <c r="R97">
        <f>RigheOfferte[[#This Row],[Tipo Protezione]]</f>
        <v>0</v>
      </c>
    </row>
    <row r="98" spans="1:18">
      <c r="A98">
        <f>RigheOfferte[[#This Row],[Nprev]]</f>
        <v>0</v>
      </c>
      <c r="B98">
        <f>RigheOfferte[[#This Row],[Nriga]]</f>
        <v>0</v>
      </c>
      <c r="C98">
        <f>RigheOfferte[[#This Row],[Cliente]]</f>
        <v>0</v>
      </c>
      <c r="D98">
        <f>RigheOfferte[[#This Row],[sub_cliente]]</f>
        <v>0</v>
      </c>
      <c r="E98">
        <f>RigheOfferte[[#This Row],[cod.Art.]]</f>
        <v>0</v>
      </c>
      <c r="F98">
        <f>RigheOfferte[[#This Row],[Descrizione]]</f>
        <v>0</v>
      </c>
      <c r="G98">
        <f>RigheOfferte[[#This Row],[Q.ta'']]</f>
        <v>0</v>
      </c>
      <c r="H98">
        <f>RigheOfferte[[#This Row],[Lavorazione]]</f>
        <v>0</v>
      </c>
      <c r="I98">
        <f>RigheOfferte[[#This Row],[Colore]]</f>
        <v>0</v>
      </c>
      <c r="J98">
        <f>RigheOfferte[[#This Row],[Velocità]]</f>
        <v>0</v>
      </c>
      <c r="K98">
        <f>RigheOfferte[[#This Row],[Superf.pz Mq]]</f>
        <v>0</v>
      </c>
      <c r="L98">
        <f>RigheOfferte[[#This Row],[passo]]</f>
        <v>0</v>
      </c>
      <c r="M98">
        <f>RigheOfferte[[#This Row],[nr.pezzi Telaio]]</f>
        <v>0</v>
      </c>
      <c r="N98">
        <f>RigheOfferte[[#This Row],[nr.pezzi ora-unita]]</f>
        <v>0</v>
      </c>
      <c r="O98">
        <f>Tabella1[[#This Row],[superificie]]*Resa</f>
        <v>0</v>
      </c>
      <c r="P98">
        <f>Tabella1[[#This Row],[KgPezzo]]*Tabella1[[#This Row],[q.ta offerta]]</f>
        <v>0</v>
      </c>
      <c r="Q98">
        <f>RigheOfferte[[#This Row],[QtaProtez]]</f>
        <v>0</v>
      </c>
      <c r="R98">
        <f>RigheOfferte[[#This Row],[Tipo Protezione]]</f>
        <v>0</v>
      </c>
    </row>
    <row r="99" spans="1:18">
      <c r="A99">
        <f>RigheOfferte[[#This Row],[Nprev]]</f>
        <v>0</v>
      </c>
      <c r="B99">
        <f>RigheOfferte[[#This Row],[Nriga]]</f>
        <v>0</v>
      </c>
      <c r="C99">
        <f>RigheOfferte[[#This Row],[Cliente]]</f>
        <v>0</v>
      </c>
      <c r="D99">
        <f>RigheOfferte[[#This Row],[sub_cliente]]</f>
        <v>0</v>
      </c>
      <c r="E99">
        <f>RigheOfferte[[#This Row],[cod.Art.]]</f>
        <v>0</v>
      </c>
      <c r="F99">
        <f>RigheOfferte[[#This Row],[Descrizione]]</f>
        <v>0</v>
      </c>
      <c r="G99">
        <f>RigheOfferte[[#This Row],[Q.ta'']]</f>
        <v>0</v>
      </c>
      <c r="H99">
        <f>RigheOfferte[[#This Row],[Lavorazione]]</f>
        <v>0</v>
      </c>
      <c r="I99">
        <f>RigheOfferte[[#This Row],[Colore]]</f>
        <v>0</v>
      </c>
      <c r="J99">
        <f>RigheOfferte[[#This Row],[Velocità]]</f>
        <v>0</v>
      </c>
      <c r="K99">
        <f>RigheOfferte[[#This Row],[Superf.pz Mq]]</f>
        <v>0</v>
      </c>
      <c r="L99">
        <f>RigheOfferte[[#This Row],[passo]]</f>
        <v>0</v>
      </c>
      <c r="M99">
        <f>RigheOfferte[[#This Row],[nr.pezzi Telaio]]</f>
        <v>0</v>
      </c>
      <c r="N99">
        <f>RigheOfferte[[#This Row],[nr.pezzi ora-unita]]</f>
        <v>0</v>
      </c>
      <c r="O99">
        <f>Tabella1[[#This Row],[superificie]]*Resa</f>
        <v>0</v>
      </c>
      <c r="P99">
        <f>Tabella1[[#This Row],[KgPezzo]]*Tabella1[[#This Row],[q.ta offerta]]</f>
        <v>0</v>
      </c>
      <c r="Q99">
        <f>RigheOfferte[[#This Row],[QtaProtez]]</f>
        <v>0</v>
      </c>
      <c r="R99">
        <f>RigheOfferte[[#This Row],[Tipo Protezione]]</f>
        <v>0</v>
      </c>
    </row>
    <row r="100" spans="1:18">
      <c r="A100">
        <f>RigheOfferte[[#This Row],[Nprev]]</f>
        <v>0</v>
      </c>
      <c r="B100">
        <f>RigheOfferte[[#This Row],[Nriga]]</f>
        <v>0</v>
      </c>
      <c r="C100">
        <f>RigheOfferte[[#This Row],[Cliente]]</f>
        <v>0</v>
      </c>
      <c r="D100">
        <f>RigheOfferte[[#This Row],[sub_cliente]]</f>
        <v>0</v>
      </c>
      <c r="E100">
        <f>RigheOfferte[[#This Row],[cod.Art.]]</f>
        <v>0</v>
      </c>
      <c r="F100">
        <f>RigheOfferte[[#This Row],[Descrizione]]</f>
        <v>0</v>
      </c>
      <c r="G100">
        <f>RigheOfferte[[#This Row],[Q.ta'']]</f>
        <v>0</v>
      </c>
      <c r="H100">
        <f>RigheOfferte[[#This Row],[Lavorazione]]</f>
        <v>0</v>
      </c>
      <c r="I100">
        <f>RigheOfferte[[#This Row],[Colore]]</f>
        <v>0</v>
      </c>
      <c r="J100">
        <f>RigheOfferte[[#This Row],[Velocità]]</f>
        <v>0</v>
      </c>
      <c r="K100">
        <f>RigheOfferte[[#This Row],[Superf.pz Mq]]</f>
        <v>0</v>
      </c>
      <c r="L100">
        <f>RigheOfferte[[#This Row],[passo]]</f>
        <v>0</v>
      </c>
      <c r="M100">
        <f>RigheOfferte[[#This Row],[nr.pezzi Telaio]]</f>
        <v>0</v>
      </c>
      <c r="N100">
        <f>RigheOfferte[[#This Row],[nr.pezzi ora-unita]]</f>
        <v>0</v>
      </c>
      <c r="O100">
        <f>Tabella1[[#This Row],[superificie]]*Resa</f>
        <v>0</v>
      </c>
      <c r="P100">
        <f>Tabella1[[#This Row],[KgPezzo]]*Tabella1[[#This Row],[q.ta offerta]]</f>
        <v>0</v>
      </c>
      <c r="Q100">
        <f>RigheOfferte[[#This Row],[QtaProtez]]</f>
        <v>0</v>
      </c>
      <c r="R100">
        <f>RigheOfferte[[#This Row],[Tipo Protezione]]</f>
        <v>0</v>
      </c>
    </row>
    <row r="101" spans="1:18">
      <c r="A101">
        <f>RigheOfferte[[#This Row],[Nprev]]</f>
        <v>0</v>
      </c>
      <c r="B101">
        <f>RigheOfferte[[#This Row],[Nriga]]</f>
        <v>0</v>
      </c>
      <c r="C101">
        <f>RigheOfferte[[#This Row],[Cliente]]</f>
        <v>0</v>
      </c>
      <c r="D101">
        <f>RigheOfferte[[#This Row],[sub_cliente]]</f>
        <v>0</v>
      </c>
      <c r="E101">
        <f>RigheOfferte[[#This Row],[cod.Art.]]</f>
        <v>0</v>
      </c>
      <c r="F101">
        <f>RigheOfferte[[#This Row],[Descrizione]]</f>
        <v>0</v>
      </c>
      <c r="G101">
        <f>RigheOfferte[[#This Row],[Q.ta'']]</f>
        <v>0</v>
      </c>
      <c r="H101">
        <f>RigheOfferte[[#This Row],[Lavorazione]]</f>
        <v>0</v>
      </c>
      <c r="I101">
        <f>RigheOfferte[[#This Row],[Colore]]</f>
        <v>0</v>
      </c>
      <c r="J101">
        <f>RigheOfferte[[#This Row],[Velocità]]</f>
        <v>0</v>
      </c>
      <c r="K101">
        <f>RigheOfferte[[#This Row],[Superf.pz Mq]]</f>
        <v>0</v>
      </c>
      <c r="L101">
        <f>RigheOfferte[[#This Row],[passo]]</f>
        <v>0</v>
      </c>
      <c r="M101">
        <f>RigheOfferte[[#This Row],[nr.pezzi Telaio]]</f>
        <v>0</v>
      </c>
      <c r="N101">
        <f>RigheOfferte[[#This Row],[nr.pezzi ora-unita]]</f>
        <v>0</v>
      </c>
      <c r="O101">
        <f>Tabella1[[#This Row],[superificie]]*Resa</f>
        <v>0</v>
      </c>
      <c r="P101">
        <f>Tabella1[[#This Row],[KgPezzo]]*Tabella1[[#This Row],[q.ta offerta]]</f>
        <v>0</v>
      </c>
      <c r="Q101">
        <f>RigheOfferte[[#This Row],[QtaProtez]]</f>
        <v>0</v>
      </c>
      <c r="R101">
        <f>RigheOfferte[[#This Row],[Tipo Protezione]]</f>
        <v>0</v>
      </c>
    </row>
    <row r="102" spans="1:18">
      <c r="A102">
        <f>RigheOfferte[[#This Row],[Nprev]]</f>
        <v>0</v>
      </c>
      <c r="B102">
        <f>RigheOfferte[[#This Row],[Nriga]]</f>
        <v>0</v>
      </c>
      <c r="C102">
        <f>RigheOfferte[[#This Row],[Cliente]]</f>
        <v>0</v>
      </c>
      <c r="D102">
        <f>RigheOfferte[[#This Row],[sub_cliente]]</f>
        <v>0</v>
      </c>
      <c r="E102">
        <f>RigheOfferte[[#This Row],[cod.Art.]]</f>
        <v>0</v>
      </c>
      <c r="F102">
        <f>RigheOfferte[[#This Row],[Descrizione]]</f>
        <v>0</v>
      </c>
      <c r="G102">
        <f>RigheOfferte[[#This Row],[Q.ta'']]</f>
        <v>0</v>
      </c>
      <c r="H102">
        <f>RigheOfferte[[#This Row],[Lavorazione]]</f>
        <v>0</v>
      </c>
      <c r="I102">
        <f>RigheOfferte[[#This Row],[Colore]]</f>
        <v>0</v>
      </c>
      <c r="J102">
        <f>RigheOfferte[[#This Row],[Velocità]]</f>
        <v>0</v>
      </c>
      <c r="K102">
        <f>RigheOfferte[[#This Row],[Superf.pz Mq]]</f>
        <v>0</v>
      </c>
      <c r="L102">
        <f>RigheOfferte[[#This Row],[passo]]</f>
        <v>0</v>
      </c>
      <c r="M102">
        <f>RigheOfferte[[#This Row],[nr.pezzi Telaio]]</f>
        <v>0</v>
      </c>
      <c r="N102">
        <f>RigheOfferte[[#This Row],[nr.pezzi ora-unita]]</f>
        <v>0</v>
      </c>
      <c r="O102">
        <f>Tabella1[[#This Row],[superificie]]*Resa</f>
        <v>0</v>
      </c>
      <c r="P102">
        <f>Tabella1[[#This Row],[KgPezzo]]*Tabella1[[#This Row],[q.ta offerta]]</f>
        <v>0</v>
      </c>
      <c r="Q102">
        <f>RigheOfferte[[#This Row],[QtaProtez]]</f>
        <v>0</v>
      </c>
      <c r="R102">
        <f>RigheOfferte[[#This Row],[Tipo Protezione]]</f>
        <v>0</v>
      </c>
    </row>
    <row r="103" spans="1:18">
      <c r="A103">
        <f>RigheOfferte[[#This Row],[Nprev]]</f>
        <v>0</v>
      </c>
      <c r="B103">
        <f>RigheOfferte[[#This Row],[Nriga]]</f>
        <v>0</v>
      </c>
      <c r="C103">
        <f>RigheOfferte[[#This Row],[Cliente]]</f>
        <v>0</v>
      </c>
      <c r="D103">
        <f>RigheOfferte[[#This Row],[sub_cliente]]</f>
        <v>0</v>
      </c>
      <c r="E103">
        <f>RigheOfferte[[#This Row],[cod.Art.]]</f>
        <v>0</v>
      </c>
      <c r="F103">
        <f>RigheOfferte[[#This Row],[Descrizione]]</f>
        <v>0</v>
      </c>
      <c r="G103">
        <f>RigheOfferte[[#This Row],[Q.ta'']]</f>
        <v>0</v>
      </c>
      <c r="H103">
        <f>RigheOfferte[[#This Row],[Lavorazione]]</f>
        <v>0</v>
      </c>
      <c r="I103">
        <f>RigheOfferte[[#This Row],[Colore]]</f>
        <v>0</v>
      </c>
      <c r="J103">
        <f>RigheOfferte[[#This Row],[Velocità]]</f>
        <v>0</v>
      </c>
      <c r="K103">
        <f>RigheOfferte[[#This Row],[Superf.pz Mq]]</f>
        <v>0</v>
      </c>
      <c r="L103">
        <f>RigheOfferte[[#This Row],[passo]]</f>
        <v>0</v>
      </c>
      <c r="M103">
        <f>RigheOfferte[[#This Row],[nr.pezzi Telaio]]</f>
        <v>0</v>
      </c>
      <c r="N103">
        <f>RigheOfferte[[#This Row],[nr.pezzi ora-unita]]</f>
        <v>0</v>
      </c>
      <c r="O103">
        <f>Tabella1[[#This Row],[superificie]]*Resa</f>
        <v>0</v>
      </c>
      <c r="P103">
        <f>Tabella1[[#This Row],[KgPezzo]]*Tabella1[[#This Row],[q.ta offerta]]</f>
        <v>0</v>
      </c>
      <c r="Q103">
        <f>RigheOfferte[[#This Row],[QtaProtez]]</f>
        <v>0</v>
      </c>
      <c r="R103">
        <f>RigheOfferte[[#This Row],[Tipo Protezione]]</f>
        <v>0</v>
      </c>
    </row>
    <row r="104" spans="1:18">
      <c r="A104">
        <f>RigheOfferte[[#This Row],[Nprev]]</f>
        <v>0</v>
      </c>
      <c r="B104">
        <f>RigheOfferte[[#This Row],[Nriga]]</f>
        <v>0</v>
      </c>
      <c r="C104">
        <f>RigheOfferte[[#This Row],[Cliente]]</f>
        <v>0</v>
      </c>
      <c r="D104">
        <f>RigheOfferte[[#This Row],[sub_cliente]]</f>
        <v>0</v>
      </c>
      <c r="E104">
        <f>RigheOfferte[[#This Row],[cod.Art.]]</f>
        <v>0</v>
      </c>
      <c r="F104">
        <f>RigheOfferte[[#This Row],[Descrizione]]</f>
        <v>0</v>
      </c>
      <c r="G104">
        <f>RigheOfferte[[#This Row],[Q.ta'']]</f>
        <v>0</v>
      </c>
      <c r="H104">
        <f>RigheOfferte[[#This Row],[Lavorazione]]</f>
        <v>0</v>
      </c>
      <c r="I104">
        <f>RigheOfferte[[#This Row],[Colore]]</f>
        <v>0</v>
      </c>
      <c r="J104">
        <f>RigheOfferte[[#This Row],[Velocità]]</f>
        <v>0</v>
      </c>
      <c r="K104">
        <f>RigheOfferte[[#This Row],[Superf.pz Mq]]</f>
        <v>0</v>
      </c>
      <c r="L104">
        <f>RigheOfferte[[#This Row],[passo]]</f>
        <v>0</v>
      </c>
      <c r="M104">
        <f>RigheOfferte[[#This Row],[nr.pezzi Telaio]]</f>
        <v>0</v>
      </c>
      <c r="N104">
        <f>RigheOfferte[[#This Row],[nr.pezzi ora-unita]]</f>
        <v>0</v>
      </c>
      <c r="O104">
        <f>Tabella1[[#This Row],[superificie]]*Resa</f>
        <v>0</v>
      </c>
      <c r="P104">
        <f>Tabella1[[#This Row],[KgPezzo]]*Tabella1[[#This Row],[q.ta offerta]]</f>
        <v>0</v>
      </c>
      <c r="Q104">
        <f>RigheOfferte[[#This Row],[QtaProtez]]</f>
        <v>0</v>
      </c>
      <c r="R104">
        <f>RigheOfferte[[#This Row],[Tipo Protezione]]</f>
        <v>0</v>
      </c>
    </row>
    <row r="105" spans="1:18">
      <c r="A105">
        <f>RigheOfferte[[#This Row],[Nprev]]</f>
        <v>0</v>
      </c>
      <c r="B105">
        <f>RigheOfferte[[#This Row],[Nriga]]</f>
        <v>0</v>
      </c>
      <c r="C105">
        <f>RigheOfferte[[#This Row],[Cliente]]</f>
        <v>0</v>
      </c>
      <c r="D105">
        <f>RigheOfferte[[#This Row],[sub_cliente]]</f>
        <v>0</v>
      </c>
      <c r="E105">
        <f>RigheOfferte[[#This Row],[cod.Art.]]</f>
        <v>0</v>
      </c>
      <c r="F105">
        <f>RigheOfferte[[#This Row],[Descrizione]]</f>
        <v>0</v>
      </c>
      <c r="G105">
        <f>RigheOfferte[[#This Row],[Q.ta'']]</f>
        <v>0</v>
      </c>
      <c r="H105">
        <f>RigheOfferte[[#This Row],[Lavorazione]]</f>
        <v>0</v>
      </c>
      <c r="I105">
        <f>RigheOfferte[[#This Row],[Colore]]</f>
        <v>0</v>
      </c>
      <c r="J105">
        <f>RigheOfferte[[#This Row],[Velocità]]</f>
        <v>0</v>
      </c>
      <c r="K105">
        <f>RigheOfferte[[#This Row],[Superf.pz Mq]]</f>
        <v>0</v>
      </c>
      <c r="L105">
        <f>RigheOfferte[[#This Row],[passo]]</f>
        <v>0</v>
      </c>
      <c r="M105">
        <f>RigheOfferte[[#This Row],[nr.pezzi Telaio]]</f>
        <v>0</v>
      </c>
      <c r="N105">
        <f>RigheOfferte[[#This Row],[nr.pezzi ora-unita]]</f>
        <v>0</v>
      </c>
      <c r="O105">
        <f>Tabella1[[#This Row],[superificie]]*Resa</f>
        <v>0</v>
      </c>
      <c r="P105">
        <f>Tabella1[[#This Row],[KgPezzo]]*Tabella1[[#This Row],[q.ta offerta]]</f>
        <v>0</v>
      </c>
      <c r="Q105">
        <f>RigheOfferte[[#This Row],[QtaProtez]]</f>
        <v>0</v>
      </c>
      <c r="R105">
        <f>RigheOfferte[[#This Row],[Tipo Protezione]]</f>
        <v>0</v>
      </c>
    </row>
    <row r="106" spans="1:18">
      <c r="A106">
        <f>RigheOfferte[[#This Row],[Nprev]]</f>
        <v>0</v>
      </c>
      <c r="B106">
        <f>RigheOfferte[[#This Row],[Nriga]]</f>
        <v>0</v>
      </c>
      <c r="C106">
        <f>RigheOfferte[[#This Row],[Cliente]]</f>
        <v>0</v>
      </c>
      <c r="D106">
        <f>RigheOfferte[[#This Row],[sub_cliente]]</f>
        <v>0</v>
      </c>
      <c r="E106">
        <f>RigheOfferte[[#This Row],[cod.Art.]]</f>
        <v>0</v>
      </c>
      <c r="F106">
        <f>RigheOfferte[[#This Row],[Descrizione]]</f>
        <v>0</v>
      </c>
      <c r="G106">
        <f>RigheOfferte[[#This Row],[Q.ta'']]</f>
        <v>0</v>
      </c>
      <c r="H106">
        <f>RigheOfferte[[#This Row],[Lavorazione]]</f>
        <v>0</v>
      </c>
      <c r="I106">
        <f>RigheOfferte[[#This Row],[Colore]]</f>
        <v>0</v>
      </c>
      <c r="J106">
        <f>RigheOfferte[[#This Row],[Velocità]]</f>
        <v>0</v>
      </c>
      <c r="K106">
        <f>RigheOfferte[[#This Row],[Superf.pz Mq]]</f>
        <v>0</v>
      </c>
      <c r="L106">
        <f>RigheOfferte[[#This Row],[passo]]</f>
        <v>0</v>
      </c>
      <c r="M106">
        <f>RigheOfferte[[#This Row],[nr.pezzi Telaio]]</f>
        <v>0</v>
      </c>
      <c r="N106">
        <f>RigheOfferte[[#This Row],[nr.pezzi ora-unita]]</f>
        <v>0</v>
      </c>
      <c r="O106">
        <f>Tabella1[[#This Row],[superificie]]*Resa</f>
        <v>0</v>
      </c>
      <c r="P106">
        <f>Tabella1[[#This Row],[KgPezzo]]*Tabella1[[#This Row],[q.ta offerta]]</f>
        <v>0</v>
      </c>
      <c r="Q106">
        <f>RigheOfferte[[#This Row],[QtaProtez]]</f>
        <v>0</v>
      </c>
      <c r="R106">
        <f>RigheOfferte[[#This Row],[Tipo Protezione]]</f>
        <v>0</v>
      </c>
    </row>
    <row r="107" spans="1:18">
      <c r="A107">
        <f>RigheOfferte[[#This Row],[Nprev]]</f>
        <v>0</v>
      </c>
      <c r="B107">
        <f>RigheOfferte[[#This Row],[Nriga]]</f>
        <v>0</v>
      </c>
      <c r="C107">
        <f>RigheOfferte[[#This Row],[Cliente]]</f>
        <v>0</v>
      </c>
      <c r="D107">
        <f>RigheOfferte[[#This Row],[sub_cliente]]</f>
        <v>0</v>
      </c>
      <c r="E107">
        <f>RigheOfferte[[#This Row],[cod.Art.]]</f>
        <v>0</v>
      </c>
      <c r="F107">
        <f>RigheOfferte[[#This Row],[Descrizione]]</f>
        <v>0</v>
      </c>
      <c r="G107">
        <f>RigheOfferte[[#This Row],[Q.ta'']]</f>
        <v>0</v>
      </c>
      <c r="H107">
        <f>RigheOfferte[[#This Row],[Lavorazione]]</f>
        <v>0</v>
      </c>
      <c r="I107">
        <f>RigheOfferte[[#This Row],[Colore]]</f>
        <v>0</v>
      </c>
      <c r="J107">
        <f>RigheOfferte[[#This Row],[Velocità]]</f>
        <v>0</v>
      </c>
      <c r="K107">
        <f>RigheOfferte[[#This Row],[Superf.pz Mq]]</f>
        <v>0</v>
      </c>
      <c r="L107">
        <f>RigheOfferte[[#This Row],[passo]]</f>
        <v>0</v>
      </c>
      <c r="M107">
        <f>RigheOfferte[[#This Row],[nr.pezzi Telaio]]</f>
        <v>0</v>
      </c>
      <c r="N107">
        <f>RigheOfferte[[#This Row],[nr.pezzi ora-unita]]</f>
        <v>0</v>
      </c>
      <c r="O107">
        <f>Tabella1[[#This Row],[superificie]]*Resa</f>
        <v>0</v>
      </c>
      <c r="P107">
        <f>Tabella1[[#This Row],[KgPezzo]]*Tabella1[[#This Row],[q.ta offerta]]</f>
        <v>0</v>
      </c>
      <c r="Q107">
        <f>RigheOfferte[[#This Row],[QtaProtez]]</f>
        <v>0</v>
      </c>
      <c r="R107">
        <f>RigheOfferte[[#This Row],[Tipo Protezione]]</f>
        <v>0</v>
      </c>
    </row>
    <row r="108" spans="1:18">
      <c r="A108">
        <f>RigheOfferte[[#This Row],[Nprev]]</f>
        <v>0</v>
      </c>
      <c r="B108">
        <f>RigheOfferte[[#This Row],[Nriga]]</f>
        <v>0</v>
      </c>
      <c r="C108">
        <f>RigheOfferte[[#This Row],[Cliente]]</f>
        <v>0</v>
      </c>
      <c r="D108">
        <f>RigheOfferte[[#This Row],[sub_cliente]]</f>
        <v>0</v>
      </c>
      <c r="E108">
        <f>RigheOfferte[[#This Row],[cod.Art.]]</f>
        <v>0</v>
      </c>
      <c r="F108">
        <f>RigheOfferte[[#This Row],[Descrizione]]</f>
        <v>0</v>
      </c>
      <c r="G108">
        <f>RigheOfferte[[#This Row],[Q.ta'']]</f>
        <v>0</v>
      </c>
      <c r="H108">
        <f>RigheOfferte[[#This Row],[Lavorazione]]</f>
        <v>0</v>
      </c>
      <c r="I108">
        <f>RigheOfferte[[#This Row],[Colore]]</f>
        <v>0</v>
      </c>
      <c r="J108">
        <f>RigheOfferte[[#This Row],[Velocità]]</f>
        <v>0</v>
      </c>
      <c r="K108">
        <f>RigheOfferte[[#This Row],[Superf.pz Mq]]</f>
        <v>0</v>
      </c>
      <c r="L108">
        <f>RigheOfferte[[#This Row],[passo]]</f>
        <v>0</v>
      </c>
      <c r="M108">
        <f>RigheOfferte[[#This Row],[nr.pezzi Telaio]]</f>
        <v>0</v>
      </c>
      <c r="N108">
        <f>RigheOfferte[[#This Row],[nr.pezzi ora-unita]]</f>
        <v>0</v>
      </c>
      <c r="O108">
        <f>Tabella1[[#This Row],[superificie]]*Resa</f>
        <v>0</v>
      </c>
      <c r="P108">
        <f>Tabella1[[#This Row],[KgPezzo]]*Tabella1[[#This Row],[q.ta offerta]]</f>
        <v>0</v>
      </c>
      <c r="Q108">
        <f>RigheOfferte[[#This Row],[QtaProtez]]</f>
        <v>0</v>
      </c>
      <c r="R108">
        <f>RigheOfferte[[#This Row],[Tipo Protezione]]</f>
        <v>0</v>
      </c>
    </row>
    <row r="109" spans="1:18">
      <c r="A109">
        <f>RigheOfferte[[#This Row],[Nprev]]</f>
        <v>0</v>
      </c>
      <c r="B109">
        <f>RigheOfferte[[#This Row],[Nriga]]</f>
        <v>0</v>
      </c>
      <c r="C109">
        <f>RigheOfferte[[#This Row],[Cliente]]</f>
        <v>0</v>
      </c>
      <c r="D109">
        <f>RigheOfferte[[#This Row],[sub_cliente]]</f>
        <v>0</v>
      </c>
      <c r="E109">
        <f>RigheOfferte[[#This Row],[cod.Art.]]</f>
        <v>0</v>
      </c>
      <c r="F109">
        <f>RigheOfferte[[#This Row],[Descrizione]]</f>
        <v>0</v>
      </c>
      <c r="G109">
        <f>RigheOfferte[[#This Row],[Q.ta'']]</f>
        <v>0</v>
      </c>
      <c r="H109">
        <f>RigheOfferte[[#This Row],[Lavorazione]]</f>
        <v>0</v>
      </c>
      <c r="I109">
        <f>RigheOfferte[[#This Row],[Colore]]</f>
        <v>0</v>
      </c>
      <c r="J109">
        <f>RigheOfferte[[#This Row],[Velocità]]</f>
        <v>0</v>
      </c>
      <c r="K109">
        <f>RigheOfferte[[#This Row],[Superf.pz Mq]]</f>
        <v>0</v>
      </c>
      <c r="L109">
        <f>RigheOfferte[[#This Row],[passo]]</f>
        <v>0</v>
      </c>
      <c r="M109">
        <f>RigheOfferte[[#This Row],[nr.pezzi Telaio]]</f>
        <v>0</v>
      </c>
      <c r="N109">
        <f>RigheOfferte[[#This Row],[nr.pezzi ora-unita]]</f>
        <v>0</v>
      </c>
      <c r="O109">
        <f>Tabella1[[#This Row],[superificie]]*Resa</f>
        <v>0</v>
      </c>
      <c r="P109">
        <f>Tabella1[[#This Row],[KgPezzo]]*Tabella1[[#This Row],[q.ta offerta]]</f>
        <v>0</v>
      </c>
      <c r="Q109">
        <f>RigheOfferte[[#This Row],[QtaProtez]]</f>
        <v>0</v>
      </c>
      <c r="R109">
        <f>RigheOfferte[[#This Row],[Tipo Protezione]]</f>
        <v>0</v>
      </c>
    </row>
    <row r="110" spans="1:18">
      <c r="A110">
        <f>RigheOfferte[[#This Row],[Nprev]]</f>
        <v>0</v>
      </c>
      <c r="B110">
        <f>RigheOfferte[[#This Row],[Nriga]]</f>
        <v>0</v>
      </c>
      <c r="C110">
        <f>RigheOfferte[[#This Row],[Cliente]]</f>
        <v>0</v>
      </c>
      <c r="D110">
        <f>RigheOfferte[[#This Row],[sub_cliente]]</f>
        <v>0</v>
      </c>
      <c r="E110">
        <f>RigheOfferte[[#This Row],[cod.Art.]]</f>
        <v>0</v>
      </c>
      <c r="F110">
        <f>RigheOfferte[[#This Row],[Descrizione]]</f>
        <v>0</v>
      </c>
      <c r="G110">
        <f>RigheOfferte[[#This Row],[Q.ta'']]</f>
        <v>0</v>
      </c>
      <c r="H110">
        <f>RigheOfferte[[#This Row],[Lavorazione]]</f>
        <v>0</v>
      </c>
      <c r="I110">
        <f>RigheOfferte[[#This Row],[Colore]]</f>
        <v>0</v>
      </c>
      <c r="J110">
        <f>RigheOfferte[[#This Row],[Velocità]]</f>
        <v>0</v>
      </c>
      <c r="K110">
        <f>RigheOfferte[[#This Row],[Superf.pz Mq]]</f>
        <v>0</v>
      </c>
      <c r="L110">
        <f>RigheOfferte[[#This Row],[passo]]</f>
        <v>0</v>
      </c>
      <c r="M110">
        <f>RigheOfferte[[#This Row],[nr.pezzi Telaio]]</f>
        <v>0</v>
      </c>
      <c r="N110">
        <f>RigheOfferte[[#This Row],[nr.pezzi ora-unita]]</f>
        <v>0</v>
      </c>
      <c r="O110">
        <f>Tabella1[[#This Row],[superificie]]*Resa</f>
        <v>0</v>
      </c>
      <c r="P110">
        <f>Tabella1[[#This Row],[KgPezzo]]*Tabella1[[#This Row],[q.ta offerta]]</f>
        <v>0</v>
      </c>
      <c r="Q110">
        <f>RigheOfferte[[#This Row],[QtaProtez]]</f>
        <v>0</v>
      </c>
      <c r="R110">
        <f>RigheOfferte[[#This Row],[Tipo Protezione]]</f>
        <v>0</v>
      </c>
    </row>
    <row r="111" spans="1:18">
      <c r="A111">
        <f>RigheOfferte[[#This Row],[Nprev]]</f>
        <v>0</v>
      </c>
      <c r="B111">
        <f>RigheOfferte[[#This Row],[Nriga]]</f>
        <v>0</v>
      </c>
      <c r="C111">
        <f>RigheOfferte[[#This Row],[Cliente]]</f>
        <v>0</v>
      </c>
      <c r="D111">
        <f>RigheOfferte[[#This Row],[sub_cliente]]</f>
        <v>0</v>
      </c>
      <c r="E111">
        <f>RigheOfferte[[#This Row],[cod.Art.]]</f>
        <v>0</v>
      </c>
      <c r="F111">
        <f>RigheOfferte[[#This Row],[Descrizione]]</f>
        <v>0</v>
      </c>
      <c r="G111">
        <f>RigheOfferte[[#This Row],[Q.ta'']]</f>
        <v>0</v>
      </c>
      <c r="H111">
        <f>RigheOfferte[[#This Row],[Lavorazione]]</f>
        <v>0</v>
      </c>
      <c r="I111">
        <f>RigheOfferte[[#This Row],[Colore]]</f>
        <v>0</v>
      </c>
      <c r="J111">
        <f>RigheOfferte[[#This Row],[Velocità]]</f>
        <v>0</v>
      </c>
      <c r="K111">
        <f>RigheOfferte[[#This Row],[Superf.pz Mq]]</f>
        <v>0</v>
      </c>
      <c r="L111">
        <f>RigheOfferte[[#This Row],[passo]]</f>
        <v>0</v>
      </c>
      <c r="M111">
        <f>RigheOfferte[[#This Row],[nr.pezzi Telaio]]</f>
        <v>0</v>
      </c>
      <c r="N111">
        <f>RigheOfferte[[#This Row],[nr.pezzi ora-unita]]</f>
        <v>0</v>
      </c>
      <c r="O111">
        <f>Tabella1[[#This Row],[superificie]]*Resa</f>
        <v>0</v>
      </c>
      <c r="P111">
        <f>Tabella1[[#This Row],[KgPezzo]]*Tabella1[[#This Row],[q.ta offerta]]</f>
        <v>0</v>
      </c>
      <c r="Q111">
        <f>RigheOfferte[[#This Row],[QtaProtez]]</f>
        <v>0</v>
      </c>
      <c r="R111">
        <f>RigheOfferte[[#This Row],[Tipo Protezione]]</f>
        <v>0</v>
      </c>
    </row>
    <row r="112" spans="1:18">
      <c r="A112">
        <f>RigheOfferte[[#This Row],[Nprev]]</f>
        <v>0</v>
      </c>
      <c r="B112">
        <f>RigheOfferte[[#This Row],[Nriga]]</f>
        <v>0</v>
      </c>
      <c r="C112">
        <f>RigheOfferte[[#This Row],[Cliente]]</f>
        <v>0</v>
      </c>
      <c r="D112">
        <f>RigheOfferte[[#This Row],[sub_cliente]]</f>
        <v>0</v>
      </c>
      <c r="E112">
        <f>RigheOfferte[[#This Row],[cod.Art.]]</f>
        <v>0</v>
      </c>
      <c r="F112">
        <f>RigheOfferte[[#This Row],[Descrizione]]</f>
        <v>0</v>
      </c>
      <c r="G112">
        <f>RigheOfferte[[#This Row],[Q.ta'']]</f>
        <v>0</v>
      </c>
      <c r="H112">
        <f>RigheOfferte[[#This Row],[Lavorazione]]</f>
        <v>0</v>
      </c>
      <c r="I112">
        <f>RigheOfferte[[#This Row],[Colore]]</f>
        <v>0</v>
      </c>
      <c r="J112">
        <f>RigheOfferte[[#This Row],[Velocità]]</f>
        <v>0</v>
      </c>
      <c r="K112">
        <f>RigheOfferte[[#This Row],[Superf.pz Mq]]</f>
        <v>0</v>
      </c>
      <c r="L112">
        <f>RigheOfferte[[#This Row],[passo]]</f>
        <v>0</v>
      </c>
      <c r="M112">
        <f>RigheOfferte[[#This Row],[nr.pezzi Telaio]]</f>
        <v>0</v>
      </c>
      <c r="N112">
        <f>RigheOfferte[[#This Row],[nr.pezzi ora-unita]]</f>
        <v>0</v>
      </c>
      <c r="O112">
        <f>Tabella1[[#This Row],[superificie]]*Resa</f>
        <v>0</v>
      </c>
      <c r="P112">
        <f>Tabella1[[#This Row],[KgPezzo]]*Tabella1[[#This Row],[q.ta offerta]]</f>
        <v>0</v>
      </c>
      <c r="Q112">
        <f>RigheOfferte[[#This Row],[QtaProtez]]</f>
        <v>0</v>
      </c>
      <c r="R112">
        <f>RigheOfferte[[#This Row],[Tipo Protezione]]</f>
        <v>0</v>
      </c>
    </row>
    <row r="113" spans="1:18">
      <c r="A113">
        <f>RigheOfferte[[#This Row],[Nprev]]</f>
        <v>0</v>
      </c>
      <c r="B113">
        <f>RigheOfferte[[#This Row],[Nriga]]</f>
        <v>0</v>
      </c>
      <c r="C113">
        <f>RigheOfferte[[#This Row],[Cliente]]</f>
        <v>0</v>
      </c>
      <c r="D113">
        <f>RigheOfferte[[#This Row],[sub_cliente]]</f>
        <v>0</v>
      </c>
      <c r="E113">
        <f>RigheOfferte[[#This Row],[cod.Art.]]</f>
        <v>0</v>
      </c>
      <c r="F113">
        <f>RigheOfferte[[#This Row],[Descrizione]]</f>
        <v>0</v>
      </c>
      <c r="G113">
        <f>RigheOfferte[[#This Row],[Q.ta'']]</f>
        <v>0</v>
      </c>
      <c r="H113">
        <f>RigheOfferte[[#This Row],[Lavorazione]]</f>
        <v>0</v>
      </c>
      <c r="I113">
        <f>RigheOfferte[[#This Row],[Colore]]</f>
        <v>0</v>
      </c>
      <c r="J113">
        <f>RigheOfferte[[#This Row],[Velocità]]</f>
        <v>0</v>
      </c>
      <c r="K113">
        <f>RigheOfferte[[#This Row],[Superf.pz Mq]]</f>
        <v>0</v>
      </c>
      <c r="L113">
        <f>RigheOfferte[[#This Row],[passo]]</f>
        <v>0</v>
      </c>
      <c r="M113">
        <f>RigheOfferte[[#This Row],[nr.pezzi Telaio]]</f>
        <v>0</v>
      </c>
      <c r="N113">
        <f>RigheOfferte[[#This Row],[nr.pezzi ora-unita]]</f>
        <v>0</v>
      </c>
      <c r="O113">
        <f>Tabella1[[#This Row],[superificie]]*Resa</f>
        <v>0</v>
      </c>
      <c r="P113">
        <f>Tabella1[[#This Row],[KgPezzo]]*Tabella1[[#This Row],[q.ta offerta]]</f>
        <v>0</v>
      </c>
      <c r="Q113">
        <f>RigheOfferte[[#This Row],[QtaProtez]]</f>
        <v>0</v>
      </c>
      <c r="R113">
        <f>RigheOfferte[[#This Row],[Tipo Protezione]]</f>
        <v>0</v>
      </c>
    </row>
    <row r="114" spans="1:18">
      <c r="A114">
        <f>RigheOfferte[[#This Row],[Nprev]]</f>
        <v>0</v>
      </c>
      <c r="B114">
        <f>RigheOfferte[[#This Row],[Nriga]]</f>
        <v>0</v>
      </c>
      <c r="C114">
        <f>RigheOfferte[[#This Row],[Cliente]]</f>
        <v>0</v>
      </c>
      <c r="D114">
        <f>RigheOfferte[[#This Row],[sub_cliente]]</f>
        <v>0</v>
      </c>
      <c r="E114">
        <f>RigheOfferte[[#This Row],[cod.Art.]]</f>
        <v>0</v>
      </c>
      <c r="F114">
        <f>RigheOfferte[[#This Row],[Descrizione]]</f>
        <v>0</v>
      </c>
      <c r="G114">
        <f>RigheOfferte[[#This Row],[Q.ta'']]</f>
        <v>0</v>
      </c>
      <c r="H114">
        <f>RigheOfferte[[#This Row],[Lavorazione]]</f>
        <v>0</v>
      </c>
      <c r="I114">
        <f>RigheOfferte[[#This Row],[Colore]]</f>
        <v>0</v>
      </c>
      <c r="J114">
        <f>RigheOfferte[[#This Row],[Velocità]]</f>
        <v>0</v>
      </c>
      <c r="K114">
        <f>RigheOfferte[[#This Row],[Superf.pz Mq]]</f>
        <v>0</v>
      </c>
      <c r="L114">
        <f>RigheOfferte[[#This Row],[passo]]</f>
        <v>0</v>
      </c>
      <c r="M114">
        <f>RigheOfferte[[#This Row],[nr.pezzi Telaio]]</f>
        <v>0</v>
      </c>
      <c r="N114">
        <f>RigheOfferte[[#This Row],[nr.pezzi ora-unita]]</f>
        <v>0</v>
      </c>
      <c r="O114">
        <f>Tabella1[[#This Row],[superificie]]*Resa</f>
        <v>0</v>
      </c>
      <c r="P114">
        <f>Tabella1[[#This Row],[KgPezzo]]*Tabella1[[#This Row],[q.ta offerta]]</f>
        <v>0</v>
      </c>
      <c r="Q114">
        <f>RigheOfferte[[#This Row],[QtaProtez]]</f>
        <v>0</v>
      </c>
      <c r="R114">
        <f>RigheOfferte[[#This Row],[Tipo Protezione]]</f>
        <v>0</v>
      </c>
    </row>
    <row r="115" spans="1:18">
      <c r="A115">
        <f>RigheOfferte[[#This Row],[Nprev]]</f>
        <v>0</v>
      </c>
      <c r="B115">
        <f>RigheOfferte[[#This Row],[Nriga]]</f>
        <v>0</v>
      </c>
      <c r="C115">
        <f>RigheOfferte[[#This Row],[Cliente]]</f>
        <v>0</v>
      </c>
      <c r="D115">
        <f>RigheOfferte[[#This Row],[sub_cliente]]</f>
        <v>0</v>
      </c>
      <c r="E115">
        <f>RigheOfferte[[#This Row],[cod.Art.]]</f>
        <v>0</v>
      </c>
      <c r="F115">
        <f>RigheOfferte[[#This Row],[Descrizione]]</f>
        <v>0</v>
      </c>
      <c r="G115">
        <f>RigheOfferte[[#This Row],[Q.ta'']]</f>
        <v>0</v>
      </c>
      <c r="H115">
        <f>RigheOfferte[[#This Row],[Lavorazione]]</f>
        <v>0</v>
      </c>
      <c r="I115">
        <f>RigheOfferte[[#This Row],[Colore]]</f>
        <v>0</v>
      </c>
      <c r="J115">
        <f>RigheOfferte[[#This Row],[Velocità]]</f>
        <v>0</v>
      </c>
      <c r="K115">
        <f>RigheOfferte[[#This Row],[Superf.pz Mq]]</f>
        <v>0</v>
      </c>
      <c r="L115">
        <f>RigheOfferte[[#This Row],[passo]]</f>
        <v>0</v>
      </c>
      <c r="M115">
        <f>RigheOfferte[[#This Row],[nr.pezzi Telaio]]</f>
        <v>0</v>
      </c>
      <c r="N115">
        <f>RigheOfferte[[#This Row],[nr.pezzi ora-unita]]</f>
        <v>0</v>
      </c>
      <c r="O115">
        <f>Tabella1[[#This Row],[superificie]]*Resa</f>
        <v>0</v>
      </c>
      <c r="P115">
        <f>Tabella1[[#This Row],[KgPezzo]]*Tabella1[[#This Row],[q.ta offerta]]</f>
        <v>0</v>
      </c>
      <c r="Q115">
        <f>RigheOfferte[[#This Row],[QtaProtez]]</f>
        <v>0</v>
      </c>
      <c r="R115">
        <f>RigheOfferte[[#This Row],[Tipo Protezione]]</f>
        <v>0</v>
      </c>
    </row>
    <row r="116" spans="1:18">
      <c r="A116">
        <f>RigheOfferte[[#This Row],[Nprev]]</f>
        <v>0</v>
      </c>
      <c r="B116">
        <f>RigheOfferte[[#This Row],[Nriga]]</f>
        <v>0</v>
      </c>
      <c r="C116">
        <f>RigheOfferte[[#This Row],[Cliente]]</f>
        <v>0</v>
      </c>
      <c r="D116">
        <f>RigheOfferte[[#This Row],[sub_cliente]]</f>
        <v>0</v>
      </c>
      <c r="E116">
        <f>RigheOfferte[[#This Row],[cod.Art.]]</f>
        <v>0</v>
      </c>
      <c r="F116">
        <f>RigheOfferte[[#This Row],[Descrizione]]</f>
        <v>0</v>
      </c>
      <c r="G116">
        <f>RigheOfferte[[#This Row],[Q.ta'']]</f>
        <v>0</v>
      </c>
      <c r="H116">
        <f>RigheOfferte[[#This Row],[Lavorazione]]</f>
        <v>0</v>
      </c>
      <c r="I116">
        <f>RigheOfferte[[#This Row],[Colore]]</f>
        <v>0</v>
      </c>
      <c r="J116">
        <f>RigheOfferte[[#This Row],[Velocità]]</f>
        <v>0</v>
      </c>
      <c r="K116">
        <f>RigheOfferte[[#This Row],[Superf.pz Mq]]</f>
        <v>0</v>
      </c>
      <c r="L116">
        <f>RigheOfferte[[#This Row],[passo]]</f>
        <v>0</v>
      </c>
      <c r="M116">
        <f>RigheOfferte[[#This Row],[nr.pezzi Telaio]]</f>
        <v>0</v>
      </c>
      <c r="N116">
        <f>RigheOfferte[[#This Row],[nr.pezzi ora-unita]]</f>
        <v>0</v>
      </c>
      <c r="O116">
        <f>Tabella1[[#This Row],[superificie]]*Resa</f>
        <v>0</v>
      </c>
      <c r="P116">
        <f>Tabella1[[#This Row],[KgPezzo]]*Tabella1[[#This Row],[q.ta offerta]]</f>
        <v>0</v>
      </c>
      <c r="Q116">
        <f>RigheOfferte[[#This Row],[QtaProtez]]</f>
        <v>0</v>
      </c>
      <c r="R116">
        <f>RigheOfferte[[#This Row],[Tipo Protezione]]</f>
        <v>0</v>
      </c>
    </row>
    <row r="117" spans="1:18">
      <c r="A117">
        <f>RigheOfferte[[#This Row],[Nprev]]</f>
        <v>0</v>
      </c>
      <c r="B117">
        <f>RigheOfferte[[#This Row],[Nriga]]</f>
        <v>0</v>
      </c>
      <c r="C117">
        <f>RigheOfferte[[#This Row],[Cliente]]</f>
        <v>0</v>
      </c>
      <c r="D117">
        <f>RigheOfferte[[#This Row],[sub_cliente]]</f>
        <v>0</v>
      </c>
      <c r="E117">
        <f>RigheOfferte[[#This Row],[cod.Art.]]</f>
        <v>0</v>
      </c>
      <c r="F117">
        <f>RigheOfferte[[#This Row],[Descrizione]]</f>
        <v>0</v>
      </c>
      <c r="G117">
        <f>RigheOfferte[[#This Row],[Q.ta'']]</f>
        <v>0</v>
      </c>
      <c r="H117">
        <f>RigheOfferte[[#This Row],[Lavorazione]]</f>
        <v>0</v>
      </c>
      <c r="I117">
        <f>RigheOfferte[[#This Row],[Colore]]</f>
        <v>0</v>
      </c>
      <c r="J117">
        <f>RigheOfferte[[#This Row],[Velocità]]</f>
        <v>0</v>
      </c>
      <c r="K117">
        <f>RigheOfferte[[#This Row],[Superf.pz Mq]]</f>
        <v>0</v>
      </c>
      <c r="L117">
        <f>RigheOfferte[[#This Row],[passo]]</f>
        <v>0</v>
      </c>
      <c r="M117">
        <f>RigheOfferte[[#This Row],[nr.pezzi Telaio]]</f>
        <v>0</v>
      </c>
      <c r="N117">
        <f>RigheOfferte[[#This Row],[nr.pezzi ora-unita]]</f>
        <v>0</v>
      </c>
      <c r="O117">
        <f>Tabella1[[#This Row],[superificie]]*Resa</f>
        <v>0</v>
      </c>
      <c r="P117">
        <f>Tabella1[[#This Row],[KgPezzo]]*Tabella1[[#This Row],[q.ta offerta]]</f>
        <v>0</v>
      </c>
      <c r="Q117">
        <f>RigheOfferte[[#This Row],[QtaProtez]]</f>
        <v>0</v>
      </c>
      <c r="R117">
        <f>RigheOfferte[[#This Row],[Tipo Protezione]]</f>
        <v>0</v>
      </c>
    </row>
    <row r="118" spans="1:18">
      <c r="A118">
        <f>RigheOfferte[[#This Row],[Nprev]]</f>
        <v>0</v>
      </c>
      <c r="B118">
        <f>RigheOfferte[[#This Row],[Nriga]]</f>
        <v>0</v>
      </c>
      <c r="C118">
        <f>RigheOfferte[[#This Row],[Cliente]]</f>
        <v>0</v>
      </c>
      <c r="D118">
        <f>RigheOfferte[[#This Row],[sub_cliente]]</f>
        <v>0</v>
      </c>
      <c r="E118">
        <f>RigheOfferte[[#This Row],[cod.Art.]]</f>
        <v>0</v>
      </c>
      <c r="F118">
        <f>RigheOfferte[[#This Row],[Descrizione]]</f>
        <v>0</v>
      </c>
      <c r="G118">
        <f>RigheOfferte[[#This Row],[Q.ta'']]</f>
        <v>0</v>
      </c>
      <c r="H118">
        <f>RigheOfferte[[#This Row],[Lavorazione]]</f>
        <v>0</v>
      </c>
      <c r="I118">
        <f>RigheOfferte[[#This Row],[Colore]]</f>
        <v>0</v>
      </c>
      <c r="J118">
        <f>RigheOfferte[[#This Row],[Velocità]]</f>
        <v>0</v>
      </c>
      <c r="K118">
        <f>RigheOfferte[[#This Row],[Superf.pz Mq]]</f>
        <v>0</v>
      </c>
      <c r="L118">
        <f>RigheOfferte[[#This Row],[passo]]</f>
        <v>0</v>
      </c>
      <c r="M118">
        <f>RigheOfferte[[#This Row],[nr.pezzi Telaio]]</f>
        <v>0</v>
      </c>
      <c r="N118">
        <f>RigheOfferte[[#This Row],[nr.pezzi ora-unita]]</f>
        <v>0</v>
      </c>
      <c r="O118">
        <f>Tabella1[[#This Row],[superificie]]*Resa</f>
        <v>0</v>
      </c>
      <c r="P118">
        <f>Tabella1[[#This Row],[KgPezzo]]*Tabella1[[#This Row],[q.ta offerta]]</f>
        <v>0</v>
      </c>
      <c r="Q118">
        <f>RigheOfferte[[#This Row],[QtaProtez]]</f>
        <v>0</v>
      </c>
      <c r="R118">
        <f>RigheOfferte[[#This Row],[Tipo Protezione]]</f>
        <v>0</v>
      </c>
    </row>
    <row r="119" spans="1:18">
      <c r="A119">
        <f>RigheOfferte[[#This Row],[Nprev]]</f>
        <v>0</v>
      </c>
      <c r="B119">
        <f>RigheOfferte[[#This Row],[Nriga]]</f>
        <v>0</v>
      </c>
      <c r="C119">
        <f>RigheOfferte[[#This Row],[Cliente]]</f>
        <v>0</v>
      </c>
      <c r="D119">
        <f>RigheOfferte[[#This Row],[sub_cliente]]</f>
        <v>0</v>
      </c>
      <c r="E119">
        <f>RigheOfferte[[#This Row],[cod.Art.]]</f>
        <v>0</v>
      </c>
      <c r="F119">
        <f>RigheOfferte[[#This Row],[Descrizione]]</f>
        <v>0</v>
      </c>
      <c r="G119">
        <f>RigheOfferte[[#This Row],[Q.ta'']]</f>
        <v>0</v>
      </c>
      <c r="H119">
        <f>RigheOfferte[[#This Row],[Lavorazione]]</f>
        <v>0</v>
      </c>
      <c r="I119">
        <f>RigheOfferte[[#This Row],[Colore]]</f>
        <v>0</v>
      </c>
      <c r="J119">
        <f>RigheOfferte[[#This Row],[Velocità]]</f>
        <v>0</v>
      </c>
      <c r="K119">
        <f>RigheOfferte[[#This Row],[Superf.pz Mq]]</f>
        <v>0</v>
      </c>
      <c r="L119">
        <f>RigheOfferte[[#This Row],[passo]]</f>
        <v>0</v>
      </c>
      <c r="M119">
        <f>RigheOfferte[[#This Row],[nr.pezzi Telaio]]</f>
        <v>0</v>
      </c>
      <c r="N119">
        <f>RigheOfferte[[#This Row],[nr.pezzi ora-unita]]</f>
        <v>0</v>
      </c>
      <c r="O119">
        <f>Tabella1[[#This Row],[superificie]]*Resa</f>
        <v>0</v>
      </c>
      <c r="P119">
        <f>Tabella1[[#This Row],[KgPezzo]]*Tabella1[[#This Row],[q.ta offerta]]</f>
        <v>0</v>
      </c>
      <c r="Q119">
        <f>RigheOfferte[[#This Row],[QtaProtez]]</f>
        <v>0</v>
      </c>
      <c r="R119">
        <f>RigheOfferte[[#This Row],[Tipo Protezione]]</f>
        <v>0</v>
      </c>
    </row>
    <row r="120" spans="1:18">
      <c r="A120">
        <f>RigheOfferte[[#This Row],[Nprev]]</f>
        <v>0</v>
      </c>
      <c r="B120">
        <f>RigheOfferte[[#This Row],[Nriga]]</f>
        <v>0</v>
      </c>
      <c r="C120">
        <f>RigheOfferte[[#This Row],[Cliente]]</f>
        <v>0</v>
      </c>
      <c r="D120">
        <f>RigheOfferte[[#This Row],[sub_cliente]]</f>
        <v>0</v>
      </c>
      <c r="E120">
        <f>RigheOfferte[[#This Row],[cod.Art.]]</f>
        <v>0</v>
      </c>
      <c r="F120">
        <f>RigheOfferte[[#This Row],[Descrizione]]</f>
        <v>0</v>
      </c>
      <c r="G120">
        <f>RigheOfferte[[#This Row],[Q.ta'']]</f>
        <v>0</v>
      </c>
      <c r="H120">
        <f>RigheOfferte[[#This Row],[Lavorazione]]</f>
        <v>0</v>
      </c>
      <c r="I120">
        <f>RigheOfferte[[#This Row],[Colore]]</f>
        <v>0</v>
      </c>
      <c r="J120">
        <f>RigheOfferte[[#This Row],[Velocità]]</f>
        <v>0</v>
      </c>
      <c r="K120">
        <f>RigheOfferte[[#This Row],[Superf.pz Mq]]</f>
        <v>0</v>
      </c>
      <c r="L120">
        <f>RigheOfferte[[#This Row],[passo]]</f>
        <v>0</v>
      </c>
      <c r="M120">
        <f>RigheOfferte[[#This Row],[nr.pezzi Telaio]]</f>
        <v>0</v>
      </c>
      <c r="N120">
        <f>RigheOfferte[[#This Row],[nr.pezzi ora-unita]]</f>
        <v>0</v>
      </c>
      <c r="O120">
        <f>Tabella1[[#This Row],[superificie]]*Resa</f>
        <v>0</v>
      </c>
      <c r="P120">
        <f>Tabella1[[#This Row],[KgPezzo]]*Tabella1[[#This Row],[q.ta offerta]]</f>
        <v>0</v>
      </c>
      <c r="Q120">
        <f>RigheOfferte[[#This Row],[QtaProtez]]</f>
        <v>0</v>
      </c>
      <c r="R120">
        <f>RigheOfferte[[#This Row],[Tipo Protezione]]</f>
        <v>0</v>
      </c>
    </row>
    <row r="121" spans="1:18">
      <c r="A121">
        <f>RigheOfferte[[#This Row],[Nprev]]</f>
        <v>0</v>
      </c>
      <c r="B121">
        <f>RigheOfferte[[#This Row],[Nriga]]</f>
        <v>0</v>
      </c>
      <c r="C121">
        <f>RigheOfferte[[#This Row],[Cliente]]</f>
        <v>0</v>
      </c>
      <c r="D121">
        <f>RigheOfferte[[#This Row],[sub_cliente]]</f>
        <v>0</v>
      </c>
      <c r="E121">
        <f>RigheOfferte[[#This Row],[cod.Art.]]</f>
        <v>0</v>
      </c>
      <c r="F121">
        <f>RigheOfferte[[#This Row],[Descrizione]]</f>
        <v>0</v>
      </c>
      <c r="G121">
        <f>RigheOfferte[[#This Row],[Q.ta'']]</f>
        <v>0</v>
      </c>
      <c r="H121">
        <f>RigheOfferte[[#This Row],[Lavorazione]]</f>
        <v>0</v>
      </c>
      <c r="I121">
        <f>RigheOfferte[[#This Row],[Colore]]</f>
        <v>0</v>
      </c>
      <c r="J121">
        <f>RigheOfferte[[#This Row],[Velocità]]</f>
        <v>0</v>
      </c>
      <c r="K121">
        <f>RigheOfferte[[#This Row],[Superf.pz Mq]]</f>
        <v>0</v>
      </c>
      <c r="L121">
        <f>RigheOfferte[[#This Row],[passo]]</f>
        <v>0</v>
      </c>
      <c r="M121">
        <f>RigheOfferte[[#This Row],[nr.pezzi Telaio]]</f>
        <v>0</v>
      </c>
      <c r="N121">
        <f>RigheOfferte[[#This Row],[nr.pezzi ora-unita]]</f>
        <v>0</v>
      </c>
      <c r="O121">
        <f>Tabella1[[#This Row],[superificie]]*Resa</f>
        <v>0</v>
      </c>
      <c r="P121">
        <f>Tabella1[[#This Row],[KgPezzo]]*Tabella1[[#This Row],[q.ta offerta]]</f>
        <v>0</v>
      </c>
      <c r="Q121">
        <f>RigheOfferte[[#This Row],[QtaProtez]]</f>
        <v>0</v>
      </c>
      <c r="R121">
        <f>RigheOfferte[[#This Row],[Tipo Protezione]]</f>
        <v>0</v>
      </c>
    </row>
    <row r="122" spans="1:18">
      <c r="A122">
        <f>RigheOfferte[[#This Row],[Nprev]]</f>
        <v>0</v>
      </c>
      <c r="B122">
        <f>RigheOfferte[[#This Row],[Nriga]]</f>
        <v>0</v>
      </c>
      <c r="C122">
        <f>RigheOfferte[[#This Row],[Cliente]]</f>
        <v>0</v>
      </c>
      <c r="D122">
        <f>RigheOfferte[[#This Row],[sub_cliente]]</f>
        <v>0</v>
      </c>
      <c r="E122">
        <f>RigheOfferte[[#This Row],[cod.Art.]]</f>
        <v>0</v>
      </c>
      <c r="F122">
        <f>RigheOfferte[[#This Row],[Descrizione]]</f>
        <v>0</v>
      </c>
      <c r="G122">
        <f>RigheOfferte[[#This Row],[Q.ta'']]</f>
        <v>0</v>
      </c>
      <c r="H122">
        <f>RigheOfferte[[#This Row],[Lavorazione]]</f>
        <v>0</v>
      </c>
      <c r="I122">
        <f>RigheOfferte[[#This Row],[Colore]]</f>
        <v>0</v>
      </c>
      <c r="J122">
        <f>RigheOfferte[[#This Row],[Velocità]]</f>
        <v>0</v>
      </c>
      <c r="K122">
        <f>RigheOfferte[[#This Row],[Superf.pz Mq]]</f>
        <v>0</v>
      </c>
      <c r="L122">
        <f>RigheOfferte[[#This Row],[passo]]</f>
        <v>0</v>
      </c>
      <c r="M122">
        <f>RigheOfferte[[#This Row],[nr.pezzi Telaio]]</f>
        <v>0</v>
      </c>
      <c r="N122">
        <f>RigheOfferte[[#This Row],[nr.pezzi ora-unita]]</f>
        <v>0</v>
      </c>
      <c r="O122">
        <f>Tabella1[[#This Row],[superificie]]*Resa</f>
        <v>0</v>
      </c>
      <c r="P122">
        <f>Tabella1[[#This Row],[KgPezzo]]*Tabella1[[#This Row],[q.ta offerta]]</f>
        <v>0</v>
      </c>
      <c r="Q122">
        <f>RigheOfferte[[#This Row],[QtaProtez]]</f>
        <v>0</v>
      </c>
      <c r="R122">
        <f>RigheOfferte[[#This Row],[Tipo Protezione]]</f>
        <v>0</v>
      </c>
    </row>
    <row r="123" spans="1:18">
      <c r="A123">
        <f>RigheOfferte[[#This Row],[Nprev]]</f>
        <v>0</v>
      </c>
      <c r="B123">
        <f>RigheOfferte[[#This Row],[Nriga]]</f>
        <v>0</v>
      </c>
      <c r="C123">
        <f>RigheOfferte[[#This Row],[Cliente]]</f>
        <v>0</v>
      </c>
      <c r="D123">
        <f>RigheOfferte[[#This Row],[sub_cliente]]</f>
        <v>0</v>
      </c>
      <c r="E123">
        <f>RigheOfferte[[#This Row],[cod.Art.]]</f>
        <v>0</v>
      </c>
      <c r="F123">
        <f>RigheOfferte[[#This Row],[Descrizione]]</f>
        <v>0</v>
      </c>
      <c r="G123">
        <f>RigheOfferte[[#This Row],[Q.ta'']]</f>
        <v>0</v>
      </c>
      <c r="H123">
        <f>RigheOfferte[[#This Row],[Lavorazione]]</f>
        <v>0</v>
      </c>
      <c r="I123">
        <f>RigheOfferte[[#This Row],[Colore]]</f>
        <v>0</v>
      </c>
      <c r="J123">
        <f>RigheOfferte[[#This Row],[Velocità]]</f>
        <v>0</v>
      </c>
      <c r="K123">
        <f>RigheOfferte[[#This Row],[Superf.pz Mq]]</f>
        <v>0</v>
      </c>
      <c r="L123">
        <f>RigheOfferte[[#This Row],[passo]]</f>
        <v>0</v>
      </c>
      <c r="M123">
        <f>RigheOfferte[[#This Row],[nr.pezzi Telaio]]</f>
        <v>0</v>
      </c>
      <c r="N123">
        <f>RigheOfferte[[#This Row],[nr.pezzi ora-unita]]</f>
        <v>0</v>
      </c>
      <c r="O123">
        <f>Tabella1[[#This Row],[superificie]]*Resa</f>
        <v>0</v>
      </c>
      <c r="P123">
        <f>Tabella1[[#This Row],[KgPezzo]]*Tabella1[[#This Row],[q.ta offerta]]</f>
        <v>0</v>
      </c>
      <c r="Q123">
        <f>RigheOfferte[[#This Row],[QtaProtez]]</f>
        <v>0</v>
      </c>
      <c r="R123">
        <f>RigheOfferte[[#This Row],[Tipo Protezione]]</f>
        <v>0</v>
      </c>
    </row>
    <row r="124" spans="1:18">
      <c r="A124">
        <f>RigheOfferte[[#This Row],[Nprev]]</f>
        <v>0</v>
      </c>
      <c r="B124">
        <f>RigheOfferte[[#This Row],[Nriga]]</f>
        <v>0</v>
      </c>
      <c r="C124">
        <f>RigheOfferte[[#This Row],[Cliente]]</f>
        <v>0</v>
      </c>
      <c r="D124">
        <f>RigheOfferte[[#This Row],[sub_cliente]]</f>
        <v>0</v>
      </c>
      <c r="E124">
        <f>RigheOfferte[[#This Row],[cod.Art.]]</f>
        <v>0</v>
      </c>
      <c r="F124">
        <f>RigheOfferte[[#This Row],[Descrizione]]</f>
        <v>0</v>
      </c>
      <c r="G124">
        <f>RigheOfferte[[#This Row],[Q.ta'']]</f>
        <v>0</v>
      </c>
      <c r="H124">
        <f>RigheOfferte[[#This Row],[Lavorazione]]</f>
        <v>0</v>
      </c>
      <c r="I124">
        <f>RigheOfferte[[#This Row],[Colore]]</f>
        <v>0</v>
      </c>
      <c r="J124">
        <f>RigheOfferte[[#This Row],[Velocità]]</f>
        <v>0</v>
      </c>
      <c r="K124">
        <f>RigheOfferte[[#This Row],[Superf.pz Mq]]</f>
        <v>0</v>
      </c>
      <c r="L124">
        <f>RigheOfferte[[#This Row],[passo]]</f>
        <v>0</v>
      </c>
      <c r="M124">
        <f>RigheOfferte[[#This Row],[nr.pezzi Telaio]]</f>
        <v>0</v>
      </c>
      <c r="N124">
        <f>RigheOfferte[[#This Row],[nr.pezzi ora-unita]]</f>
        <v>0</v>
      </c>
      <c r="O124">
        <f>Tabella1[[#This Row],[superificie]]*Resa</f>
        <v>0</v>
      </c>
      <c r="P124">
        <f>Tabella1[[#This Row],[KgPezzo]]*Tabella1[[#This Row],[q.ta offerta]]</f>
        <v>0</v>
      </c>
      <c r="Q124">
        <f>RigheOfferte[[#This Row],[QtaProtez]]</f>
        <v>0</v>
      </c>
      <c r="R124">
        <f>RigheOfferte[[#This Row],[Tipo Protezione]]</f>
        <v>0</v>
      </c>
    </row>
    <row r="125" spans="1:18">
      <c r="A125">
        <f>RigheOfferte[[#This Row],[Nprev]]</f>
        <v>0</v>
      </c>
      <c r="B125">
        <f>RigheOfferte[[#This Row],[Nriga]]</f>
        <v>0</v>
      </c>
      <c r="C125">
        <f>RigheOfferte[[#This Row],[Cliente]]</f>
        <v>0</v>
      </c>
      <c r="D125">
        <f>RigheOfferte[[#This Row],[sub_cliente]]</f>
        <v>0</v>
      </c>
      <c r="E125">
        <f>RigheOfferte[[#This Row],[cod.Art.]]</f>
        <v>0</v>
      </c>
      <c r="F125">
        <f>RigheOfferte[[#This Row],[Descrizione]]</f>
        <v>0</v>
      </c>
      <c r="G125">
        <f>RigheOfferte[[#This Row],[Q.ta'']]</f>
        <v>0</v>
      </c>
      <c r="H125">
        <f>RigheOfferte[[#This Row],[Lavorazione]]</f>
        <v>0</v>
      </c>
      <c r="I125">
        <f>RigheOfferte[[#This Row],[Colore]]</f>
        <v>0</v>
      </c>
      <c r="J125">
        <f>RigheOfferte[[#This Row],[Velocità]]</f>
        <v>0</v>
      </c>
      <c r="K125">
        <f>RigheOfferte[[#This Row],[Superf.pz Mq]]</f>
        <v>0</v>
      </c>
      <c r="L125">
        <f>RigheOfferte[[#This Row],[passo]]</f>
        <v>0</v>
      </c>
      <c r="M125">
        <f>RigheOfferte[[#This Row],[nr.pezzi Telaio]]</f>
        <v>0</v>
      </c>
      <c r="N125">
        <f>RigheOfferte[[#This Row],[nr.pezzi ora-unita]]</f>
        <v>0</v>
      </c>
      <c r="O125">
        <f>Tabella1[[#This Row],[superificie]]*Resa</f>
        <v>0</v>
      </c>
      <c r="P125">
        <f>Tabella1[[#This Row],[KgPezzo]]*Tabella1[[#This Row],[q.ta offerta]]</f>
        <v>0</v>
      </c>
      <c r="Q125">
        <f>RigheOfferte[[#This Row],[QtaProtez]]</f>
        <v>0</v>
      </c>
      <c r="R125">
        <f>RigheOfferte[[#This Row],[Tipo Protezione]]</f>
        <v>0</v>
      </c>
    </row>
    <row r="126" spans="1:18">
      <c r="A126">
        <f>RigheOfferte[[#This Row],[Nprev]]</f>
        <v>0</v>
      </c>
      <c r="B126">
        <f>RigheOfferte[[#This Row],[Nriga]]</f>
        <v>0</v>
      </c>
      <c r="C126">
        <f>RigheOfferte[[#This Row],[Cliente]]</f>
        <v>0</v>
      </c>
      <c r="D126">
        <f>RigheOfferte[[#This Row],[sub_cliente]]</f>
        <v>0</v>
      </c>
      <c r="E126">
        <f>RigheOfferte[[#This Row],[cod.Art.]]</f>
        <v>0</v>
      </c>
      <c r="F126">
        <f>RigheOfferte[[#This Row],[Descrizione]]</f>
        <v>0</v>
      </c>
      <c r="G126">
        <f>RigheOfferte[[#This Row],[Q.ta'']]</f>
        <v>0</v>
      </c>
      <c r="H126">
        <f>RigheOfferte[[#This Row],[Lavorazione]]</f>
        <v>0</v>
      </c>
      <c r="I126">
        <f>RigheOfferte[[#This Row],[Colore]]</f>
        <v>0</v>
      </c>
      <c r="J126">
        <f>RigheOfferte[[#This Row],[Velocità]]</f>
        <v>0</v>
      </c>
      <c r="K126">
        <f>RigheOfferte[[#This Row],[Superf.pz Mq]]</f>
        <v>0</v>
      </c>
      <c r="L126">
        <f>RigheOfferte[[#This Row],[passo]]</f>
        <v>0</v>
      </c>
      <c r="M126">
        <f>RigheOfferte[[#This Row],[nr.pezzi Telaio]]</f>
        <v>0</v>
      </c>
      <c r="N126">
        <f>RigheOfferte[[#This Row],[nr.pezzi ora-unita]]</f>
        <v>0</v>
      </c>
      <c r="O126">
        <f>Tabella1[[#This Row],[superificie]]*Resa</f>
        <v>0</v>
      </c>
      <c r="P126">
        <f>Tabella1[[#This Row],[KgPezzo]]*Tabella1[[#This Row],[q.ta offerta]]</f>
        <v>0</v>
      </c>
      <c r="Q126">
        <f>RigheOfferte[[#This Row],[QtaProtez]]</f>
        <v>0</v>
      </c>
      <c r="R126">
        <f>RigheOfferte[[#This Row],[Tipo Protezione]]</f>
        <v>0</v>
      </c>
    </row>
    <row r="127" spans="1:18">
      <c r="A127">
        <f>RigheOfferte[[#This Row],[Nprev]]</f>
        <v>0</v>
      </c>
      <c r="B127">
        <f>RigheOfferte[[#This Row],[Nriga]]</f>
        <v>0</v>
      </c>
      <c r="C127">
        <f>RigheOfferte[[#This Row],[Cliente]]</f>
        <v>0</v>
      </c>
      <c r="D127">
        <f>RigheOfferte[[#This Row],[sub_cliente]]</f>
        <v>0</v>
      </c>
      <c r="E127">
        <f>RigheOfferte[[#This Row],[cod.Art.]]</f>
        <v>0</v>
      </c>
      <c r="F127">
        <f>RigheOfferte[[#This Row],[Descrizione]]</f>
        <v>0</v>
      </c>
      <c r="G127">
        <f>RigheOfferte[[#This Row],[Q.ta'']]</f>
        <v>0</v>
      </c>
      <c r="H127">
        <f>RigheOfferte[[#This Row],[Lavorazione]]</f>
        <v>0</v>
      </c>
      <c r="I127">
        <f>RigheOfferte[[#This Row],[Colore]]</f>
        <v>0</v>
      </c>
      <c r="J127">
        <f>RigheOfferte[[#This Row],[Velocità]]</f>
        <v>0</v>
      </c>
      <c r="K127">
        <f>RigheOfferte[[#This Row],[Superf.pz Mq]]</f>
        <v>0</v>
      </c>
      <c r="L127">
        <f>RigheOfferte[[#This Row],[passo]]</f>
        <v>0</v>
      </c>
      <c r="M127">
        <f>RigheOfferte[[#This Row],[nr.pezzi Telaio]]</f>
        <v>0</v>
      </c>
      <c r="N127">
        <f>RigheOfferte[[#This Row],[nr.pezzi ora-unita]]</f>
        <v>0</v>
      </c>
      <c r="O127">
        <f>Tabella1[[#This Row],[superificie]]*Resa</f>
        <v>0</v>
      </c>
      <c r="P127">
        <f>Tabella1[[#This Row],[KgPezzo]]*Tabella1[[#This Row],[q.ta offerta]]</f>
        <v>0</v>
      </c>
      <c r="Q127">
        <f>RigheOfferte[[#This Row],[QtaProtez]]</f>
        <v>0</v>
      </c>
      <c r="R127">
        <f>RigheOfferte[[#This Row],[Tipo Protezione]]</f>
        <v>0</v>
      </c>
    </row>
    <row r="128" spans="1:18">
      <c r="A128">
        <f>RigheOfferte[[#This Row],[Nprev]]</f>
        <v>0</v>
      </c>
      <c r="B128">
        <f>RigheOfferte[[#This Row],[Nriga]]</f>
        <v>0</v>
      </c>
      <c r="C128">
        <f>RigheOfferte[[#This Row],[Cliente]]</f>
        <v>0</v>
      </c>
      <c r="D128">
        <f>RigheOfferte[[#This Row],[sub_cliente]]</f>
        <v>0</v>
      </c>
      <c r="E128">
        <f>RigheOfferte[[#This Row],[cod.Art.]]</f>
        <v>0</v>
      </c>
      <c r="F128">
        <f>RigheOfferte[[#This Row],[Descrizione]]</f>
        <v>0</v>
      </c>
      <c r="G128">
        <f>RigheOfferte[[#This Row],[Q.ta'']]</f>
        <v>0</v>
      </c>
      <c r="H128">
        <f>RigheOfferte[[#This Row],[Lavorazione]]</f>
        <v>0</v>
      </c>
      <c r="I128">
        <f>RigheOfferte[[#This Row],[Colore]]</f>
        <v>0</v>
      </c>
      <c r="J128">
        <f>RigheOfferte[[#This Row],[Velocità]]</f>
        <v>0</v>
      </c>
      <c r="K128">
        <f>RigheOfferte[[#This Row],[Superf.pz Mq]]</f>
        <v>0</v>
      </c>
      <c r="L128">
        <f>RigheOfferte[[#This Row],[passo]]</f>
        <v>0</v>
      </c>
      <c r="M128">
        <f>RigheOfferte[[#This Row],[nr.pezzi Telaio]]</f>
        <v>0</v>
      </c>
      <c r="N128">
        <f>RigheOfferte[[#This Row],[nr.pezzi ora-unita]]</f>
        <v>0</v>
      </c>
      <c r="O128">
        <f>Tabella1[[#This Row],[superificie]]*Resa</f>
        <v>0</v>
      </c>
      <c r="P128">
        <f>Tabella1[[#This Row],[KgPezzo]]*Tabella1[[#This Row],[q.ta offerta]]</f>
        <v>0</v>
      </c>
      <c r="Q128">
        <f>RigheOfferte[[#This Row],[QtaProtez]]</f>
        <v>0</v>
      </c>
      <c r="R128">
        <f>RigheOfferte[[#This Row],[Tipo Protezione]]</f>
        <v>0</v>
      </c>
    </row>
    <row r="129" spans="1:18">
      <c r="A129">
        <f>RigheOfferte[[#This Row],[Nprev]]</f>
        <v>0</v>
      </c>
      <c r="B129">
        <f>RigheOfferte[[#This Row],[Nriga]]</f>
        <v>0</v>
      </c>
      <c r="C129">
        <f>RigheOfferte[[#This Row],[Cliente]]</f>
        <v>0</v>
      </c>
      <c r="D129">
        <f>RigheOfferte[[#This Row],[sub_cliente]]</f>
        <v>0</v>
      </c>
      <c r="E129">
        <f>RigheOfferte[[#This Row],[cod.Art.]]</f>
        <v>0</v>
      </c>
      <c r="F129">
        <f>RigheOfferte[[#This Row],[Descrizione]]</f>
        <v>0</v>
      </c>
      <c r="G129">
        <f>RigheOfferte[[#This Row],[Q.ta'']]</f>
        <v>0</v>
      </c>
      <c r="H129">
        <f>RigheOfferte[[#This Row],[Lavorazione]]</f>
        <v>0</v>
      </c>
      <c r="I129">
        <f>RigheOfferte[[#This Row],[Colore]]</f>
        <v>0</v>
      </c>
      <c r="J129">
        <f>RigheOfferte[[#This Row],[Velocità]]</f>
        <v>0</v>
      </c>
      <c r="K129">
        <f>RigheOfferte[[#This Row],[Superf.pz Mq]]</f>
        <v>0</v>
      </c>
      <c r="L129">
        <f>RigheOfferte[[#This Row],[passo]]</f>
        <v>0</v>
      </c>
      <c r="M129">
        <f>RigheOfferte[[#This Row],[nr.pezzi Telaio]]</f>
        <v>0</v>
      </c>
      <c r="N129">
        <f>RigheOfferte[[#This Row],[nr.pezzi ora-unita]]</f>
        <v>0</v>
      </c>
      <c r="O129">
        <f>Tabella1[[#This Row],[superificie]]*Resa</f>
        <v>0</v>
      </c>
      <c r="P129">
        <f>Tabella1[[#This Row],[KgPezzo]]*Tabella1[[#This Row],[q.ta offerta]]</f>
        <v>0</v>
      </c>
      <c r="Q129">
        <f>RigheOfferte[[#This Row],[QtaProtez]]</f>
        <v>0</v>
      </c>
      <c r="R129">
        <f>RigheOfferte[[#This Row],[Tipo Protezione]]</f>
        <v>0</v>
      </c>
    </row>
    <row r="130" spans="1:18">
      <c r="A130">
        <f>RigheOfferte[[#This Row],[Nprev]]</f>
        <v>0</v>
      </c>
      <c r="B130">
        <f>RigheOfferte[[#This Row],[Nriga]]</f>
        <v>0</v>
      </c>
      <c r="C130">
        <f>RigheOfferte[[#This Row],[Cliente]]</f>
        <v>0</v>
      </c>
      <c r="D130">
        <f>RigheOfferte[[#This Row],[sub_cliente]]</f>
        <v>0</v>
      </c>
      <c r="E130">
        <f>RigheOfferte[[#This Row],[cod.Art.]]</f>
        <v>0</v>
      </c>
      <c r="F130">
        <f>RigheOfferte[[#This Row],[Descrizione]]</f>
        <v>0</v>
      </c>
      <c r="G130">
        <f>RigheOfferte[[#This Row],[Q.ta'']]</f>
        <v>0</v>
      </c>
      <c r="H130">
        <f>RigheOfferte[[#This Row],[Lavorazione]]</f>
        <v>0</v>
      </c>
      <c r="I130">
        <f>RigheOfferte[[#This Row],[Colore]]</f>
        <v>0</v>
      </c>
      <c r="J130">
        <f>RigheOfferte[[#This Row],[Velocità]]</f>
        <v>0</v>
      </c>
      <c r="K130">
        <f>RigheOfferte[[#This Row],[Superf.pz Mq]]</f>
        <v>0</v>
      </c>
      <c r="L130">
        <f>RigheOfferte[[#This Row],[passo]]</f>
        <v>0</v>
      </c>
      <c r="M130">
        <f>RigheOfferte[[#This Row],[nr.pezzi Telaio]]</f>
        <v>0</v>
      </c>
      <c r="N130">
        <f>RigheOfferte[[#This Row],[nr.pezzi ora-unita]]</f>
        <v>0</v>
      </c>
      <c r="O130">
        <f>Tabella1[[#This Row],[superificie]]*Resa</f>
        <v>0</v>
      </c>
      <c r="P130">
        <f>Tabella1[[#This Row],[KgPezzo]]*Tabella1[[#This Row],[q.ta offerta]]</f>
        <v>0</v>
      </c>
      <c r="Q130">
        <f>RigheOfferte[[#This Row],[QtaProtez]]</f>
        <v>0</v>
      </c>
      <c r="R130">
        <f>RigheOfferte[[#This Row],[Tipo Protezione]]</f>
        <v>0</v>
      </c>
    </row>
    <row r="131" spans="1:18">
      <c r="A131">
        <f>RigheOfferte[[#This Row],[Nprev]]</f>
        <v>0</v>
      </c>
      <c r="B131">
        <f>RigheOfferte[[#This Row],[Nriga]]</f>
        <v>0</v>
      </c>
      <c r="C131">
        <f>RigheOfferte[[#This Row],[Cliente]]</f>
        <v>0</v>
      </c>
      <c r="D131">
        <f>RigheOfferte[[#This Row],[sub_cliente]]</f>
        <v>0</v>
      </c>
      <c r="E131">
        <f>RigheOfferte[[#This Row],[cod.Art.]]</f>
        <v>0</v>
      </c>
      <c r="F131">
        <f>RigheOfferte[[#This Row],[Descrizione]]</f>
        <v>0</v>
      </c>
      <c r="G131">
        <f>RigheOfferte[[#This Row],[Q.ta'']]</f>
        <v>0</v>
      </c>
      <c r="H131">
        <f>RigheOfferte[[#This Row],[Lavorazione]]</f>
        <v>0</v>
      </c>
      <c r="I131">
        <f>RigheOfferte[[#This Row],[Colore]]</f>
        <v>0</v>
      </c>
      <c r="J131">
        <f>RigheOfferte[[#This Row],[Velocità]]</f>
        <v>0</v>
      </c>
      <c r="K131">
        <f>RigheOfferte[[#This Row],[Superf.pz Mq]]</f>
        <v>0</v>
      </c>
      <c r="L131">
        <f>RigheOfferte[[#This Row],[passo]]</f>
        <v>0</v>
      </c>
      <c r="M131">
        <f>RigheOfferte[[#This Row],[nr.pezzi Telaio]]</f>
        <v>0</v>
      </c>
      <c r="N131">
        <f>RigheOfferte[[#This Row],[nr.pezzi ora-unita]]</f>
        <v>0</v>
      </c>
      <c r="O131">
        <f>Tabella1[[#This Row],[superificie]]*Resa</f>
        <v>0</v>
      </c>
      <c r="P131">
        <f>Tabella1[[#This Row],[KgPezzo]]*Tabella1[[#This Row],[q.ta offerta]]</f>
        <v>0</v>
      </c>
      <c r="Q131">
        <f>RigheOfferte[[#This Row],[QtaProtez]]</f>
        <v>0</v>
      </c>
      <c r="R131">
        <f>RigheOfferte[[#This Row],[Tipo Protezione]]</f>
        <v>0</v>
      </c>
    </row>
    <row r="132" spans="1:18">
      <c r="A132">
        <f>RigheOfferte[[#This Row],[Nprev]]</f>
        <v>0</v>
      </c>
      <c r="B132">
        <f>RigheOfferte[[#This Row],[Nriga]]</f>
        <v>0</v>
      </c>
      <c r="C132">
        <f>RigheOfferte[[#This Row],[Cliente]]</f>
        <v>0</v>
      </c>
      <c r="D132">
        <f>RigheOfferte[[#This Row],[sub_cliente]]</f>
        <v>0</v>
      </c>
      <c r="E132">
        <f>RigheOfferte[[#This Row],[cod.Art.]]</f>
        <v>0</v>
      </c>
      <c r="F132">
        <f>RigheOfferte[[#This Row],[Descrizione]]</f>
        <v>0</v>
      </c>
      <c r="G132">
        <f>RigheOfferte[[#This Row],[Q.ta'']]</f>
        <v>0</v>
      </c>
      <c r="H132">
        <f>RigheOfferte[[#This Row],[Lavorazione]]</f>
        <v>0</v>
      </c>
      <c r="I132">
        <f>RigheOfferte[[#This Row],[Colore]]</f>
        <v>0</v>
      </c>
      <c r="J132">
        <f>RigheOfferte[[#This Row],[Velocità]]</f>
        <v>0</v>
      </c>
      <c r="K132">
        <f>RigheOfferte[[#This Row],[Superf.pz Mq]]</f>
        <v>0</v>
      </c>
      <c r="L132">
        <f>RigheOfferte[[#This Row],[passo]]</f>
        <v>0</v>
      </c>
      <c r="M132">
        <f>RigheOfferte[[#This Row],[nr.pezzi Telaio]]</f>
        <v>0</v>
      </c>
      <c r="N132">
        <f>RigheOfferte[[#This Row],[nr.pezzi ora-unita]]</f>
        <v>0</v>
      </c>
      <c r="O132">
        <f>Tabella1[[#This Row],[superificie]]*Resa</f>
        <v>0</v>
      </c>
      <c r="P132">
        <f>Tabella1[[#This Row],[KgPezzo]]*Tabella1[[#This Row],[q.ta offerta]]</f>
        <v>0</v>
      </c>
      <c r="Q132">
        <f>RigheOfferte[[#This Row],[QtaProtez]]</f>
        <v>0</v>
      </c>
      <c r="R132">
        <f>RigheOfferte[[#This Row],[Tipo Protezione]]</f>
        <v>0</v>
      </c>
    </row>
    <row r="133" spans="1:18">
      <c r="A133">
        <f>RigheOfferte[[#This Row],[Nprev]]</f>
        <v>0</v>
      </c>
      <c r="B133">
        <f>RigheOfferte[[#This Row],[Nriga]]</f>
        <v>0</v>
      </c>
      <c r="C133">
        <f>RigheOfferte[[#This Row],[Cliente]]</f>
        <v>0</v>
      </c>
      <c r="D133">
        <f>RigheOfferte[[#This Row],[sub_cliente]]</f>
        <v>0</v>
      </c>
      <c r="E133">
        <f>RigheOfferte[[#This Row],[cod.Art.]]</f>
        <v>0</v>
      </c>
      <c r="F133">
        <f>RigheOfferte[[#This Row],[Descrizione]]</f>
        <v>0</v>
      </c>
      <c r="G133">
        <f>RigheOfferte[[#This Row],[Q.ta'']]</f>
        <v>0</v>
      </c>
      <c r="H133">
        <f>RigheOfferte[[#This Row],[Lavorazione]]</f>
        <v>0</v>
      </c>
      <c r="I133">
        <f>RigheOfferte[[#This Row],[Colore]]</f>
        <v>0</v>
      </c>
      <c r="J133">
        <f>RigheOfferte[[#This Row],[Velocità]]</f>
        <v>0</v>
      </c>
      <c r="K133">
        <f>RigheOfferte[[#This Row],[Superf.pz Mq]]</f>
        <v>0</v>
      </c>
      <c r="L133">
        <f>RigheOfferte[[#This Row],[passo]]</f>
        <v>0</v>
      </c>
      <c r="M133">
        <f>RigheOfferte[[#This Row],[nr.pezzi Telaio]]</f>
        <v>0</v>
      </c>
      <c r="N133">
        <f>RigheOfferte[[#This Row],[nr.pezzi ora-unita]]</f>
        <v>0</v>
      </c>
      <c r="O133">
        <f>Tabella1[[#This Row],[superificie]]*Resa</f>
        <v>0</v>
      </c>
      <c r="P133">
        <f>Tabella1[[#This Row],[KgPezzo]]*Tabella1[[#This Row],[q.ta offerta]]</f>
        <v>0</v>
      </c>
      <c r="Q133">
        <f>RigheOfferte[[#This Row],[QtaProtez]]</f>
        <v>0</v>
      </c>
      <c r="R133">
        <f>RigheOfferte[[#This Row],[Tipo Protezione]]</f>
        <v>0</v>
      </c>
    </row>
    <row r="134" spans="1:18">
      <c r="A134">
        <f>RigheOfferte[[#This Row],[Nprev]]</f>
        <v>0</v>
      </c>
      <c r="B134">
        <f>RigheOfferte[[#This Row],[Nriga]]</f>
        <v>0</v>
      </c>
      <c r="C134">
        <f>RigheOfferte[[#This Row],[Cliente]]</f>
        <v>0</v>
      </c>
      <c r="D134">
        <f>RigheOfferte[[#This Row],[sub_cliente]]</f>
        <v>0</v>
      </c>
      <c r="E134">
        <f>RigheOfferte[[#This Row],[cod.Art.]]</f>
        <v>0</v>
      </c>
      <c r="F134">
        <f>RigheOfferte[[#This Row],[Descrizione]]</f>
        <v>0</v>
      </c>
      <c r="G134">
        <f>RigheOfferte[[#This Row],[Q.ta'']]</f>
        <v>0</v>
      </c>
      <c r="H134">
        <f>RigheOfferte[[#This Row],[Lavorazione]]</f>
        <v>0</v>
      </c>
      <c r="I134">
        <f>RigheOfferte[[#This Row],[Colore]]</f>
        <v>0</v>
      </c>
      <c r="J134">
        <f>RigheOfferte[[#This Row],[Velocità]]</f>
        <v>0</v>
      </c>
      <c r="K134">
        <f>RigheOfferte[[#This Row],[Superf.pz Mq]]</f>
        <v>0</v>
      </c>
      <c r="L134">
        <f>RigheOfferte[[#This Row],[passo]]</f>
        <v>0</v>
      </c>
      <c r="M134">
        <f>RigheOfferte[[#This Row],[nr.pezzi Telaio]]</f>
        <v>0</v>
      </c>
      <c r="N134">
        <f>RigheOfferte[[#This Row],[nr.pezzi ora-unita]]</f>
        <v>0</v>
      </c>
      <c r="O134">
        <f>Tabella1[[#This Row],[superificie]]*Resa</f>
        <v>0</v>
      </c>
      <c r="P134">
        <f>Tabella1[[#This Row],[KgPezzo]]*Tabella1[[#This Row],[q.ta offerta]]</f>
        <v>0</v>
      </c>
      <c r="Q134">
        <f>RigheOfferte[[#This Row],[QtaProtez]]</f>
        <v>0</v>
      </c>
      <c r="R134">
        <f>RigheOfferte[[#This Row],[Tipo Protezione]]</f>
        <v>0</v>
      </c>
    </row>
    <row r="135" spans="1:18">
      <c r="A135">
        <f>RigheOfferte[[#This Row],[Nprev]]</f>
        <v>0</v>
      </c>
      <c r="B135">
        <f>RigheOfferte[[#This Row],[Nriga]]</f>
        <v>0</v>
      </c>
      <c r="C135">
        <f>RigheOfferte[[#This Row],[Cliente]]</f>
        <v>0</v>
      </c>
      <c r="D135">
        <f>RigheOfferte[[#This Row],[sub_cliente]]</f>
        <v>0</v>
      </c>
      <c r="E135">
        <f>RigheOfferte[[#This Row],[cod.Art.]]</f>
        <v>0</v>
      </c>
      <c r="F135">
        <f>RigheOfferte[[#This Row],[Descrizione]]</f>
        <v>0</v>
      </c>
      <c r="G135">
        <f>RigheOfferte[[#This Row],[Q.ta'']]</f>
        <v>0</v>
      </c>
      <c r="H135">
        <f>RigheOfferte[[#This Row],[Lavorazione]]</f>
        <v>0</v>
      </c>
      <c r="I135">
        <f>RigheOfferte[[#This Row],[Colore]]</f>
        <v>0</v>
      </c>
      <c r="J135">
        <f>RigheOfferte[[#This Row],[Velocità]]</f>
        <v>0</v>
      </c>
      <c r="K135">
        <f>RigheOfferte[[#This Row],[Superf.pz Mq]]</f>
        <v>0</v>
      </c>
      <c r="L135">
        <f>RigheOfferte[[#This Row],[passo]]</f>
        <v>0</v>
      </c>
      <c r="M135">
        <f>RigheOfferte[[#This Row],[nr.pezzi Telaio]]</f>
        <v>0</v>
      </c>
      <c r="N135">
        <f>RigheOfferte[[#This Row],[nr.pezzi ora-unita]]</f>
        <v>0</v>
      </c>
      <c r="O135">
        <f>Tabella1[[#This Row],[superificie]]*Resa</f>
        <v>0</v>
      </c>
      <c r="P135">
        <f>Tabella1[[#This Row],[KgPezzo]]*Tabella1[[#This Row],[q.ta offerta]]</f>
        <v>0</v>
      </c>
      <c r="Q135">
        <f>RigheOfferte[[#This Row],[QtaProtez]]</f>
        <v>0</v>
      </c>
      <c r="R135">
        <f>RigheOfferte[[#This Row],[Tipo Protezione]]</f>
        <v>0</v>
      </c>
    </row>
    <row r="136" spans="1:18">
      <c r="A136">
        <f>RigheOfferte[[#This Row],[Nprev]]</f>
        <v>0</v>
      </c>
      <c r="B136">
        <f>RigheOfferte[[#This Row],[Nriga]]</f>
        <v>0</v>
      </c>
      <c r="C136">
        <f>RigheOfferte[[#This Row],[Cliente]]</f>
        <v>0</v>
      </c>
      <c r="D136">
        <f>RigheOfferte[[#This Row],[sub_cliente]]</f>
        <v>0</v>
      </c>
      <c r="E136">
        <f>RigheOfferte[[#This Row],[cod.Art.]]</f>
        <v>0</v>
      </c>
      <c r="F136">
        <f>RigheOfferte[[#This Row],[Descrizione]]</f>
        <v>0</v>
      </c>
      <c r="G136">
        <f>RigheOfferte[[#This Row],[Q.ta'']]</f>
        <v>0</v>
      </c>
      <c r="H136">
        <f>RigheOfferte[[#This Row],[Lavorazione]]</f>
        <v>0</v>
      </c>
      <c r="I136">
        <f>RigheOfferte[[#This Row],[Colore]]</f>
        <v>0</v>
      </c>
      <c r="J136">
        <f>RigheOfferte[[#This Row],[Velocità]]</f>
        <v>0</v>
      </c>
      <c r="K136">
        <f>RigheOfferte[[#This Row],[Superf.pz Mq]]</f>
        <v>0</v>
      </c>
      <c r="L136">
        <f>RigheOfferte[[#This Row],[passo]]</f>
        <v>0</v>
      </c>
      <c r="M136">
        <f>RigheOfferte[[#This Row],[nr.pezzi Telaio]]</f>
        <v>0</v>
      </c>
      <c r="N136">
        <f>RigheOfferte[[#This Row],[nr.pezzi ora-unita]]</f>
        <v>0</v>
      </c>
      <c r="O136">
        <f>Tabella1[[#This Row],[superificie]]*Resa</f>
        <v>0</v>
      </c>
      <c r="P136">
        <f>Tabella1[[#This Row],[KgPezzo]]*Tabella1[[#This Row],[q.ta offerta]]</f>
        <v>0</v>
      </c>
      <c r="Q136">
        <f>RigheOfferte[[#This Row],[QtaProtez]]</f>
        <v>0</v>
      </c>
      <c r="R136">
        <f>RigheOfferte[[#This Row],[Tipo Protezione]]</f>
        <v>0</v>
      </c>
    </row>
    <row r="137" spans="1:18">
      <c r="A137">
        <f>RigheOfferte[[#This Row],[Nprev]]</f>
        <v>0</v>
      </c>
      <c r="B137">
        <f>RigheOfferte[[#This Row],[Nriga]]</f>
        <v>0</v>
      </c>
      <c r="C137">
        <f>RigheOfferte[[#This Row],[Cliente]]</f>
        <v>0</v>
      </c>
      <c r="D137">
        <f>RigheOfferte[[#This Row],[sub_cliente]]</f>
        <v>0</v>
      </c>
      <c r="E137">
        <f>RigheOfferte[[#This Row],[cod.Art.]]</f>
        <v>0</v>
      </c>
      <c r="F137">
        <f>RigheOfferte[[#This Row],[Descrizione]]</f>
        <v>0</v>
      </c>
      <c r="G137">
        <f>RigheOfferte[[#This Row],[Q.ta'']]</f>
        <v>0</v>
      </c>
      <c r="H137">
        <f>RigheOfferte[[#This Row],[Lavorazione]]</f>
        <v>0</v>
      </c>
      <c r="I137">
        <f>RigheOfferte[[#This Row],[Colore]]</f>
        <v>0</v>
      </c>
      <c r="J137">
        <f>RigheOfferte[[#This Row],[Velocità]]</f>
        <v>0</v>
      </c>
      <c r="K137">
        <f>RigheOfferte[[#This Row],[Superf.pz Mq]]</f>
        <v>0</v>
      </c>
      <c r="L137">
        <f>RigheOfferte[[#This Row],[passo]]</f>
        <v>0</v>
      </c>
      <c r="M137">
        <f>RigheOfferte[[#This Row],[nr.pezzi Telaio]]</f>
        <v>0</v>
      </c>
      <c r="N137">
        <f>RigheOfferte[[#This Row],[nr.pezzi ora-unita]]</f>
        <v>0</v>
      </c>
      <c r="O137">
        <f>Tabella1[[#This Row],[superificie]]*Resa</f>
        <v>0</v>
      </c>
      <c r="P137">
        <f>Tabella1[[#This Row],[KgPezzo]]*Tabella1[[#This Row],[q.ta offerta]]</f>
        <v>0</v>
      </c>
      <c r="Q137">
        <f>RigheOfferte[[#This Row],[QtaProtez]]</f>
        <v>0</v>
      </c>
      <c r="R137">
        <f>RigheOfferte[[#This Row],[Tipo Protezione]]</f>
        <v>0</v>
      </c>
    </row>
    <row r="138" spans="1:18">
      <c r="A138">
        <f>RigheOfferte[[#This Row],[Nprev]]</f>
        <v>0</v>
      </c>
      <c r="B138">
        <f>RigheOfferte[[#This Row],[Nriga]]</f>
        <v>0</v>
      </c>
      <c r="C138">
        <f>RigheOfferte[[#This Row],[Cliente]]</f>
        <v>0</v>
      </c>
      <c r="D138">
        <f>RigheOfferte[[#This Row],[sub_cliente]]</f>
        <v>0</v>
      </c>
      <c r="E138">
        <f>RigheOfferte[[#This Row],[cod.Art.]]</f>
        <v>0</v>
      </c>
      <c r="F138">
        <f>RigheOfferte[[#This Row],[Descrizione]]</f>
        <v>0</v>
      </c>
      <c r="G138">
        <f>RigheOfferte[[#This Row],[Q.ta'']]</f>
        <v>0</v>
      </c>
      <c r="H138">
        <f>RigheOfferte[[#This Row],[Lavorazione]]</f>
        <v>0</v>
      </c>
      <c r="I138">
        <f>RigheOfferte[[#This Row],[Colore]]</f>
        <v>0</v>
      </c>
      <c r="J138">
        <f>RigheOfferte[[#This Row],[Velocità]]</f>
        <v>0</v>
      </c>
      <c r="K138">
        <f>RigheOfferte[[#This Row],[Superf.pz Mq]]</f>
        <v>0</v>
      </c>
      <c r="L138">
        <f>RigheOfferte[[#This Row],[passo]]</f>
        <v>0</v>
      </c>
      <c r="M138">
        <f>RigheOfferte[[#This Row],[nr.pezzi Telaio]]</f>
        <v>0</v>
      </c>
      <c r="N138">
        <f>RigheOfferte[[#This Row],[nr.pezzi ora-unita]]</f>
        <v>0</v>
      </c>
      <c r="O138">
        <f>Tabella1[[#This Row],[superificie]]*Resa</f>
        <v>0</v>
      </c>
      <c r="P138">
        <f>Tabella1[[#This Row],[KgPezzo]]*Tabella1[[#This Row],[q.ta offerta]]</f>
        <v>0</v>
      </c>
      <c r="Q138">
        <f>RigheOfferte[[#This Row],[QtaProtez]]</f>
        <v>0</v>
      </c>
      <c r="R138">
        <f>RigheOfferte[[#This Row],[Tipo Protezione]]</f>
        <v>0</v>
      </c>
    </row>
    <row r="139" spans="1:18">
      <c r="A139">
        <f>RigheOfferte[[#This Row],[Nprev]]</f>
        <v>0</v>
      </c>
      <c r="B139">
        <f>RigheOfferte[[#This Row],[Nriga]]</f>
        <v>0</v>
      </c>
      <c r="C139">
        <f>RigheOfferte[[#This Row],[Cliente]]</f>
        <v>0</v>
      </c>
      <c r="D139">
        <f>RigheOfferte[[#This Row],[sub_cliente]]</f>
        <v>0</v>
      </c>
      <c r="E139">
        <f>RigheOfferte[[#This Row],[cod.Art.]]</f>
        <v>0</v>
      </c>
      <c r="F139">
        <f>RigheOfferte[[#This Row],[Descrizione]]</f>
        <v>0</v>
      </c>
      <c r="G139">
        <f>RigheOfferte[[#This Row],[Q.ta'']]</f>
        <v>0</v>
      </c>
      <c r="H139">
        <f>RigheOfferte[[#This Row],[Lavorazione]]</f>
        <v>0</v>
      </c>
      <c r="I139">
        <f>RigheOfferte[[#This Row],[Colore]]</f>
        <v>0</v>
      </c>
      <c r="J139">
        <f>RigheOfferte[[#This Row],[Velocità]]</f>
        <v>0</v>
      </c>
      <c r="K139">
        <f>RigheOfferte[[#This Row],[Superf.pz Mq]]</f>
        <v>0</v>
      </c>
      <c r="L139">
        <f>RigheOfferte[[#This Row],[passo]]</f>
        <v>0</v>
      </c>
      <c r="M139">
        <f>RigheOfferte[[#This Row],[nr.pezzi Telaio]]</f>
        <v>0</v>
      </c>
      <c r="N139">
        <f>RigheOfferte[[#This Row],[nr.pezzi ora-unita]]</f>
        <v>0</v>
      </c>
      <c r="O139">
        <f>Tabella1[[#This Row],[superificie]]*Resa</f>
        <v>0</v>
      </c>
      <c r="P139">
        <f>Tabella1[[#This Row],[KgPezzo]]*Tabella1[[#This Row],[q.ta offerta]]</f>
        <v>0</v>
      </c>
      <c r="Q139">
        <f>RigheOfferte[[#This Row],[QtaProtez]]</f>
        <v>0</v>
      </c>
      <c r="R139">
        <f>RigheOfferte[[#This Row],[Tipo Protezione]]</f>
        <v>0</v>
      </c>
    </row>
    <row r="140" spans="1:18">
      <c r="A140">
        <f>RigheOfferte[[#This Row],[Nprev]]</f>
        <v>0</v>
      </c>
      <c r="B140">
        <f>RigheOfferte[[#This Row],[Nriga]]</f>
        <v>0</v>
      </c>
      <c r="C140">
        <f>RigheOfferte[[#This Row],[Cliente]]</f>
        <v>0</v>
      </c>
      <c r="D140">
        <f>RigheOfferte[[#This Row],[sub_cliente]]</f>
        <v>0</v>
      </c>
      <c r="E140">
        <f>RigheOfferte[[#This Row],[cod.Art.]]</f>
        <v>0</v>
      </c>
      <c r="F140">
        <f>RigheOfferte[[#This Row],[Descrizione]]</f>
        <v>0</v>
      </c>
      <c r="G140">
        <f>RigheOfferte[[#This Row],[Q.ta'']]</f>
        <v>0</v>
      </c>
      <c r="H140">
        <f>RigheOfferte[[#This Row],[Lavorazione]]</f>
        <v>0</v>
      </c>
      <c r="I140">
        <f>RigheOfferte[[#This Row],[Colore]]</f>
        <v>0</v>
      </c>
      <c r="J140">
        <f>RigheOfferte[[#This Row],[Velocità]]</f>
        <v>0</v>
      </c>
      <c r="K140">
        <f>RigheOfferte[[#This Row],[Superf.pz Mq]]</f>
        <v>0</v>
      </c>
      <c r="L140">
        <f>RigheOfferte[[#This Row],[passo]]</f>
        <v>0</v>
      </c>
      <c r="M140">
        <f>RigheOfferte[[#This Row],[nr.pezzi Telaio]]</f>
        <v>0</v>
      </c>
      <c r="N140">
        <f>RigheOfferte[[#This Row],[nr.pezzi ora-unita]]</f>
        <v>0</v>
      </c>
      <c r="O140">
        <f>Tabella1[[#This Row],[superificie]]*Resa</f>
        <v>0</v>
      </c>
      <c r="P140">
        <f>Tabella1[[#This Row],[KgPezzo]]*Tabella1[[#This Row],[q.ta offerta]]</f>
        <v>0</v>
      </c>
      <c r="Q140">
        <f>RigheOfferte[[#This Row],[QtaProtez]]</f>
        <v>0</v>
      </c>
      <c r="R140">
        <f>RigheOfferte[[#This Row],[Tipo Protezione]]</f>
        <v>0</v>
      </c>
    </row>
    <row r="141" spans="1:18">
      <c r="A141">
        <f>RigheOfferte[[#This Row],[Nprev]]</f>
        <v>0</v>
      </c>
      <c r="B141">
        <f>RigheOfferte[[#This Row],[Nriga]]</f>
        <v>0</v>
      </c>
      <c r="C141">
        <f>RigheOfferte[[#This Row],[Cliente]]</f>
        <v>0</v>
      </c>
      <c r="D141">
        <f>RigheOfferte[[#This Row],[sub_cliente]]</f>
        <v>0</v>
      </c>
      <c r="E141">
        <f>RigheOfferte[[#This Row],[cod.Art.]]</f>
        <v>0</v>
      </c>
      <c r="F141">
        <f>RigheOfferte[[#This Row],[Descrizione]]</f>
        <v>0</v>
      </c>
      <c r="G141">
        <f>RigheOfferte[[#This Row],[Q.ta'']]</f>
        <v>0</v>
      </c>
      <c r="H141">
        <f>RigheOfferte[[#This Row],[Lavorazione]]</f>
        <v>0</v>
      </c>
      <c r="I141">
        <f>RigheOfferte[[#This Row],[Colore]]</f>
        <v>0</v>
      </c>
      <c r="J141">
        <f>RigheOfferte[[#This Row],[Velocità]]</f>
        <v>0</v>
      </c>
      <c r="K141">
        <f>RigheOfferte[[#This Row],[Superf.pz Mq]]</f>
        <v>0</v>
      </c>
      <c r="L141">
        <f>RigheOfferte[[#This Row],[passo]]</f>
        <v>0</v>
      </c>
      <c r="M141">
        <f>RigheOfferte[[#This Row],[nr.pezzi Telaio]]</f>
        <v>0</v>
      </c>
      <c r="N141">
        <f>RigheOfferte[[#This Row],[nr.pezzi ora-unita]]</f>
        <v>0</v>
      </c>
      <c r="O141">
        <f>Tabella1[[#This Row],[superificie]]*Resa</f>
        <v>0</v>
      </c>
      <c r="P141">
        <f>Tabella1[[#This Row],[KgPezzo]]*Tabella1[[#This Row],[q.ta offerta]]</f>
        <v>0</v>
      </c>
      <c r="Q141">
        <f>RigheOfferte[[#This Row],[QtaProtez]]</f>
        <v>0</v>
      </c>
      <c r="R141">
        <f>RigheOfferte[[#This Row],[Tipo Protezione]]</f>
        <v>0</v>
      </c>
    </row>
    <row r="142" spans="1:18">
      <c r="A142">
        <f>RigheOfferte[[#This Row],[Nprev]]</f>
        <v>0</v>
      </c>
      <c r="B142">
        <f>RigheOfferte[[#This Row],[Nriga]]</f>
        <v>0</v>
      </c>
      <c r="C142">
        <f>RigheOfferte[[#This Row],[Cliente]]</f>
        <v>0</v>
      </c>
      <c r="D142">
        <f>RigheOfferte[[#This Row],[sub_cliente]]</f>
        <v>0</v>
      </c>
      <c r="E142">
        <f>RigheOfferte[[#This Row],[cod.Art.]]</f>
        <v>0</v>
      </c>
      <c r="F142">
        <f>RigheOfferte[[#This Row],[Descrizione]]</f>
        <v>0</v>
      </c>
      <c r="G142">
        <f>RigheOfferte[[#This Row],[Q.ta'']]</f>
        <v>0</v>
      </c>
      <c r="H142">
        <f>RigheOfferte[[#This Row],[Lavorazione]]</f>
        <v>0</v>
      </c>
      <c r="I142">
        <f>RigheOfferte[[#This Row],[Colore]]</f>
        <v>0</v>
      </c>
      <c r="J142">
        <f>RigheOfferte[[#This Row],[Velocità]]</f>
        <v>0</v>
      </c>
      <c r="K142">
        <f>RigheOfferte[[#This Row],[Superf.pz Mq]]</f>
        <v>0</v>
      </c>
      <c r="L142">
        <f>RigheOfferte[[#This Row],[passo]]</f>
        <v>0</v>
      </c>
      <c r="M142">
        <f>RigheOfferte[[#This Row],[nr.pezzi Telaio]]</f>
        <v>0</v>
      </c>
      <c r="N142">
        <f>RigheOfferte[[#This Row],[nr.pezzi ora-unita]]</f>
        <v>0</v>
      </c>
      <c r="O142">
        <f>Tabella1[[#This Row],[superificie]]*Resa</f>
        <v>0</v>
      </c>
      <c r="P142">
        <f>Tabella1[[#This Row],[KgPezzo]]*Tabella1[[#This Row],[q.ta offerta]]</f>
        <v>0</v>
      </c>
      <c r="Q142">
        <f>RigheOfferte[[#This Row],[QtaProtez]]</f>
        <v>0</v>
      </c>
      <c r="R142">
        <f>RigheOfferte[[#This Row],[Tipo Protezione]]</f>
        <v>0</v>
      </c>
    </row>
    <row r="143" spans="1:18">
      <c r="A143">
        <f>RigheOfferte[[#This Row],[Nprev]]</f>
        <v>0</v>
      </c>
      <c r="B143">
        <f>RigheOfferte[[#This Row],[Nriga]]</f>
        <v>0</v>
      </c>
      <c r="C143">
        <f>RigheOfferte[[#This Row],[Cliente]]</f>
        <v>0</v>
      </c>
      <c r="D143">
        <f>RigheOfferte[[#This Row],[sub_cliente]]</f>
        <v>0</v>
      </c>
      <c r="E143">
        <f>RigheOfferte[[#This Row],[cod.Art.]]</f>
        <v>0</v>
      </c>
      <c r="F143">
        <f>RigheOfferte[[#This Row],[Descrizione]]</f>
        <v>0</v>
      </c>
      <c r="G143">
        <f>RigheOfferte[[#This Row],[Q.ta'']]</f>
        <v>0</v>
      </c>
      <c r="H143">
        <f>RigheOfferte[[#This Row],[Lavorazione]]</f>
        <v>0</v>
      </c>
      <c r="I143">
        <f>RigheOfferte[[#This Row],[Colore]]</f>
        <v>0</v>
      </c>
      <c r="J143">
        <f>RigheOfferte[[#This Row],[Velocità]]</f>
        <v>0</v>
      </c>
      <c r="K143">
        <f>RigheOfferte[[#This Row],[Superf.pz Mq]]</f>
        <v>0</v>
      </c>
      <c r="L143">
        <f>RigheOfferte[[#This Row],[passo]]</f>
        <v>0</v>
      </c>
      <c r="M143">
        <f>RigheOfferte[[#This Row],[nr.pezzi Telaio]]</f>
        <v>0</v>
      </c>
      <c r="N143">
        <f>RigheOfferte[[#This Row],[nr.pezzi ora-unita]]</f>
        <v>0</v>
      </c>
      <c r="O143">
        <f>Tabella1[[#This Row],[superificie]]*Resa</f>
        <v>0</v>
      </c>
      <c r="P143">
        <f>Tabella1[[#This Row],[KgPezzo]]*Tabella1[[#This Row],[q.ta offerta]]</f>
        <v>0</v>
      </c>
      <c r="Q143">
        <f>RigheOfferte[[#This Row],[QtaProtez]]</f>
        <v>0</v>
      </c>
      <c r="R143">
        <f>RigheOfferte[[#This Row],[Tipo Protezione]]</f>
        <v>0</v>
      </c>
    </row>
    <row r="144" spans="1:18">
      <c r="A144">
        <f>RigheOfferte[[#This Row],[Nprev]]</f>
        <v>0</v>
      </c>
      <c r="B144">
        <f>RigheOfferte[[#This Row],[Nriga]]</f>
        <v>0</v>
      </c>
      <c r="C144">
        <f>RigheOfferte[[#This Row],[Cliente]]</f>
        <v>0</v>
      </c>
      <c r="D144">
        <f>RigheOfferte[[#This Row],[sub_cliente]]</f>
        <v>0</v>
      </c>
      <c r="E144">
        <f>RigheOfferte[[#This Row],[cod.Art.]]</f>
        <v>0</v>
      </c>
      <c r="F144">
        <f>RigheOfferte[[#This Row],[Descrizione]]</f>
        <v>0</v>
      </c>
      <c r="G144">
        <f>RigheOfferte[[#This Row],[Q.ta'']]</f>
        <v>0</v>
      </c>
      <c r="H144">
        <f>RigheOfferte[[#This Row],[Lavorazione]]</f>
        <v>0</v>
      </c>
      <c r="I144">
        <f>RigheOfferte[[#This Row],[Colore]]</f>
        <v>0</v>
      </c>
      <c r="J144">
        <f>RigheOfferte[[#This Row],[Velocità]]</f>
        <v>0</v>
      </c>
      <c r="K144">
        <f>RigheOfferte[[#This Row],[Superf.pz Mq]]</f>
        <v>0</v>
      </c>
      <c r="L144">
        <f>RigheOfferte[[#This Row],[passo]]</f>
        <v>0</v>
      </c>
      <c r="M144">
        <f>RigheOfferte[[#This Row],[nr.pezzi Telaio]]</f>
        <v>0</v>
      </c>
      <c r="N144">
        <f>RigheOfferte[[#This Row],[nr.pezzi ora-unita]]</f>
        <v>0</v>
      </c>
      <c r="O144">
        <f>Tabella1[[#This Row],[superificie]]*Resa</f>
        <v>0</v>
      </c>
      <c r="P144">
        <f>Tabella1[[#This Row],[KgPezzo]]*Tabella1[[#This Row],[q.ta offerta]]</f>
        <v>0</v>
      </c>
      <c r="Q144">
        <f>RigheOfferte[[#This Row],[QtaProtez]]</f>
        <v>0</v>
      </c>
      <c r="R144">
        <f>RigheOfferte[[#This Row],[Tipo Protezione]]</f>
        <v>0</v>
      </c>
    </row>
    <row r="145" spans="1:18">
      <c r="A145">
        <f>RigheOfferte[[#This Row],[Nprev]]</f>
        <v>0</v>
      </c>
      <c r="B145">
        <f>RigheOfferte[[#This Row],[Nriga]]</f>
        <v>0</v>
      </c>
      <c r="C145">
        <f>RigheOfferte[[#This Row],[Cliente]]</f>
        <v>0</v>
      </c>
      <c r="D145">
        <f>RigheOfferte[[#This Row],[sub_cliente]]</f>
        <v>0</v>
      </c>
      <c r="E145">
        <f>RigheOfferte[[#This Row],[cod.Art.]]</f>
        <v>0</v>
      </c>
      <c r="F145">
        <f>RigheOfferte[[#This Row],[Descrizione]]</f>
        <v>0</v>
      </c>
      <c r="G145">
        <f>RigheOfferte[[#This Row],[Q.ta'']]</f>
        <v>0</v>
      </c>
      <c r="H145">
        <f>RigheOfferte[[#This Row],[Lavorazione]]</f>
        <v>0</v>
      </c>
      <c r="I145">
        <f>RigheOfferte[[#This Row],[Colore]]</f>
        <v>0</v>
      </c>
      <c r="J145">
        <f>RigheOfferte[[#This Row],[Velocità]]</f>
        <v>0</v>
      </c>
      <c r="K145">
        <f>RigheOfferte[[#This Row],[Superf.pz Mq]]</f>
        <v>0</v>
      </c>
      <c r="L145">
        <f>RigheOfferte[[#This Row],[passo]]</f>
        <v>0</v>
      </c>
      <c r="M145">
        <f>RigheOfferte[[#This Row],[nr.pezzi Telaio]]</f>
        <v>0</v>
      </c>
      <c r="N145">
        <f>RigheOfferte[[#This Row],[nr.pezzi ora-unita]]</f>
        <v>0</v>
      </c>
      <c r="O145">
        <f>Tabella1[[#This Row],[superificie]]*Resa</f>
        <v>0</v>
      </c>
      <c r="P145">
        <f>Tabella1[[#This Row],[KgPezzo]]*Tabella1[[#This Row],[q.ta offerta]]</f>
        <v>0</v>
      </c>
      <c r="Q145">
        <f>RigheOfferte[[#This Row],[QtaProtez]]</f>
        <v>0</v>
      </c>
      <c r="R145">
        <f>RigheOfferte[[#This Row],[Tipo Protezione]]</f>
        <v>0</v>
      </c>
    </row>
    <row r="146" spans="1:18">
      <c r="A146">
        <f>RigheOfferte[[#This Row],[Nprev]]</f>
        <v>0</v>
      </c>
      <c r="B146">
        <f>RigheOfferte[[#This Row],[Nriga]]</f>
        <v>0</v>
      </c>
      <c r="C146">
        <f>RigheOfferte[[#This Row],[Cliente]]</f>
        <v>0</v>
      </c>
      <c r="D146">
        <f>RigheOfferte[[#This Row],[sub_cliente]]</f>
        <v>0</v>
      </c>
      <c r="E146">
        <f>RigheOfferte[[#This Row],[cod.Art.]]</f>
        <v>0</v>
      </c>
      <c r="F146">
        <f>RigheOfferte[[#This Row],[Descrizione]]</f>
        <v>0</v>
      </c>
      <c r="G146">
        <f>RigheOfferte[[#This Row],[Q.ta'']]</f>
        <v>0</v>
      </c>
      <c r="H146">
        <f>RigheOfferte[[#This Row],[Lavorazione]]</f>
        <v>0</v>
      </c>
      <c r="I146">
        <f>RigheOfferte[[#This Row],[Colore]]</f>
        <v>0</v>
      </c>
      <c r="J146">
        <f>RigheOfferte[[#This Row],[Velocità]]</f>
        <v>0</v>
      </c>
      <c r="K146">
        <f>RigheOfferte[[#This Row],[Superf.pz Mq]]</f>
        <v>0</v>
      </c>
      <c r="L146">
        <f>RigheOfferte[[#This Row],[passo]]</f>
        <v>0</v>
      </c>
      <c r="M146">
        <f>RigheOfferte[[#This Row],[nr.pezzi Telaio]]</f>
        <v>0</v>
      </c>
      <c r="N146">
        <f>RigheOfferte[[#This Row],[nr.pezzi ora-unita]]</f>
        <v>0</v>
      </c>
      <c r="O146">
        <f>Tabella1[[#This Row],[superificie]]*Resa</f>
        <v>0</v>
      </c>
      <c r="P146">
        <f>Tabella1[[#This Row],[KgPezzo]]*Tabella1[[#This Row],[q.ta offerta]]</f>
        <v>0</v>
      </c>
      <c r="Q146">
        <f>RigheOfferte[[#This Row],[QtaProtez]]</f>
        <v>0</v>
      </c>
      <c r="R146">
        <f>RigheOfferte[[#This Row],[Tipo Protezione]]</f>
        <v>0</v>
      </c>
    </row>
    <row r="147" spans="1:18">
      <c r="A147">
        <f>RigheOfferte[[#This Row],[Nprev]]</f>
        <v>0</v>
      </c>
      <c r="B147">
        <f>RigheOfferte[[#This Row],[Nriga]]</f>
        <v>0</v>
      </c>
      <c r="C147">
        <f>RigheOfferte[[#This Row],[Cliente]]</f>
        <v>0</v>
      </c>
      <c r="D147">
        <f>RigheOfferte[[#This Row],[sub_cliente]]</f>
        <v>0</v>
      </c>
      <c r="E147">
        <f>RigheOfferte[[#This Row],[cod.Art.]]</f>
        <v>0</v>
      </c>
      <c r="F147">
        <f>RigheOfferte[[#This Row],[Descrizione]]</f>
        <v>0</v>
      </c>
      <c r="G147">
        <f>RigheOfferte[[#This Row],[Q.ta'']]</f>
        <v>0</v>
      </c>
      <c r="H147">
        <f>RigheOfferte[[#This Row],[Lavorazione]]</f>
        <v>0</v>
      </c>
      <c r="I147">
        <f>RigheOfferte[[#This Row],[Colore]]</f>
        <v>0</v>
      </c>
      <c r="J147">
        <f>RigheOfferte[[#This Row],[Velocità]]</f>
        <v>0</v>
      </c>
      <c r="K147">
        <f>RigheOfferte[[#This Row],[Superf.pz Mq]]</f>
        <v>0</v>
      </c>
      <c r="L147">
        <f>RigheOfferte[[#This Row],[passo]]</f>
        <v>0</v>
      </c>
      <c r="M147">
        <f>RigheOfferte[[#This Row],[nr.pezzi Telaio]]</f>
        <v>0</v>
      </c>
      <c r="N147">
        <f>RigheOfferte[[#This Row],[nr.pezzi ora-unita]]</f>
        <v>0</v>
      </c>
      <c r="O147">
        <f>Tabella1[[#This Row],[superificie]]*Resa</f>
        <v>0</v>
      </c>
      <c r="P147">
        <f>Tabella1[[#This Row],[KgPezzo]]*Tabella1[[#This Row],[q.ta offerta]]</f>
        <v>0</v>
      </c>
      <c r="Q147">
        <f>RigheOfferte[[#This Row],[QtaProtez]]</f>
        <v>0</v>
      </c>
      <c r="R147">
        <f>RigheOfferte[[#This Row],[Tipo Protezione]]</f>
        <v>0</v>
      </c>
    </row>
    <row r="148" spans="1:18">
      <c r="A148">
        <f>RigheOfferte[[#This Row],[Nprev]]</f>
        <v>0</v>
      </c>
      <c r="B148">
        <f>RigheOfferte[[#This Row],[Nriga]]</f>
        <v>0</v>
      </c>
      <c r="C148">
        <f>RigheOfferte[[#This Row],[Cliente]]</f>
        <v>0</v>
      </c>
      <c r="D148">
        <f>RigheOfferte[[#This Row],[sub_cliente]]</f>
        <v>0</v>
      </c>
      <c r="E148">
        <f>RigheOfferte[[#This Row],[cod.Art.]]</f>
        <v>0</v>
      </c>
      <c r="F148">
        <f>RigheOfferte[[#This Row],[Descrizione]]</f>
        <v>0</v>
      </c>
      <c r="G148">
        <f>RigheOfferte[[#This Row],[Q.ta'']]</f>
        <v>0</v>
      </c>
      <c r="H148">
        <f>RigheOfferte[[#This Row],[Lavorazione]]</f>
        <v>0</v>
      </c>
      <c r="I148">
        <f>RigheOfferte[[#This Row],[Colore]]</f>
        <v>0</v>
      </c>
      <c r="J148">
        <f>RigheOfferte[[#This Row],[Velocità]]</f>
        <v>0</v>
      </c>
      <c r="K148">
        <f>RigheOfferte[[#This Row],[Superf.pz Mq]]</f>
        <v>0</v>
      </c>
      <c r="L148">
        <f>RigheOfferte[[#This Row],[passo]]</f>
        <v>0</v>
      </c>
      <c r="M148">
        <f>RigheOfferte[[#This Row],[nr.pezzi Telaio]]</f>
        <v>0</v>
      </c>
      <c r="N148">
        <f>RigheOfferte[[#This Row],[nr.pezzi ora-unita]]</f>
        <v>0</v>
      </c>
      <c r="O148">
        <f>Tabella1[[#This Row],[superificie]]*Resa</f>
        <v>0</v>
      </c>
      <c r="P148">
        <f>Tabella1[[#This Row],[KgPezzo]]*Tabella1[[#This Row],[q.ta offerta]]</f>
        <v>0</v>
      </c>
      <c r="Q148">
        <f>RigheOfferte[[#This Row],[QtaProtez]]</f>
        <v>0</v>
      </c>
      <c r="R148">
        <f>RigheOfferte[[#This Row],[Tipo Protezione]]</f>
        <v>0</v>
      </c>
    </row>
    <row r="149" spans="1:18">
      <c r="A149">
        <f>RigheOfferte[[#This Row],[Nprev]]</f>
        <v>0</v>
      </c>
      <c r="B149">
        <f>RigheOfferte[[#This Row],[Nriga]]</f>
        <v>0</v>
      </c>
      <c r="C149">
        <f>RigheOfferte[[#This Row],[Cliente]]</f>
        <v>0</v>
      </c>
      <c r="D149">
        <f>RigheOfferte[[#This Row],[sub_cliente]]</f>
        <v>0</v>
      </c>
      <c r="E149">
        <f>RigheOfferte[[#This Row],[cod.Art.]]</f>
        <v>0</v>
      </c>
      <c r="F149">
        <f>RigheOfferte[[#This Row],[Descrizione]]</f>
        <v>0</v>
      </c>
      <c r="G149">
        <f>RigheOfferte[[#This Row],[Q.ta'']]</f>
        <v>0</v>
      </c>
      <c r="H149">
        <f>RigheOfferte[[#This Row],[Lavorazione]]</f>
        <v>0</v>
      </c>
      <c r="I149">
        <f>RigheOfferte[[#This Row],[Colore]]</f>
        <v>0</v>
      </c>
      <c r="J149">
        <f>RigheOfferte[[#This Row],[Velocità]]</f>
        <v>0</v>
      </c>
      <c r="K149">
        <f>RigheOfferte[[#This Row],[Superf.pz Mq]]</f>
        <v>0</v>
      </c>
      <c r="L149">
        <f>RigheOfferte[[#This Row],[passo]]</f>
        <v>0</v>
      </c>
      <c r="M149">
        <f>RigheOfferte[[#This Row],[nr.pezzi Telaio]]</f>
        <v>0</v>
      </c>
      <c r="N149">
        <f>RigheOfferte[[#This Row],[nr.pezzi ora-unita]]</f>
        <v>0</v>
      </c>
      <c r="O149">
        <f>Tabella1[[#This Row],[superificie]]*Resa</f>
        <v>0</v>
      </c>
      <c r="P149">
        <f>Tabella1[[#This Row],[KgPezzo]]*Tabella1[[#This Row],[q.ta offerta]]</f>
        <v>0</v>
      </c>
      <c r="Q149">
        <f>RigheOfferte[[#This Row],[QtaProtez]]</f>
        <v>0</v>
      </c>
      <c r="R149">
        <f>RigheOfferte[[#This Row],[Tipo Protezione]]</f>
        <v>0</v>
      </c>
    </row>
    <row r="150" spans="1:18">
      <c r="A150">
        <f>RigheOfferte[[#This Row],[Nprev]]</f>
        <v>0</v>
      </c>
      <c r="B150">
        <f>RigheOfferte[[#This Row],[Nriga]]</f>
        <v>0</v>
      </c>
      <c r="C150">
        <f>RigheOfferte[[#This Row],[Cliente]]</f>
        <v>0</v>
      </c>
      <c r="D150">
        <f>RigheOfferte[[#This Row],[sub_cliente]]</f>
        <v>0</v>
      </c>
      <c r="E150">
        <f>RigheOfferte[[#This Row],[cod.Art.]]</f>
        <v>0</v>
      </c>
      <c r="F150">
        <f>RigheOfferte[[#This Row],[Descrizione]]</f>
        <v>0</v>
      </c>
      <c r="G150">
        <f>RigheOfferte[[#This Row],[Q.ta'']]</f>
        <v>0</v>
      </c>
      <c r="H150">
        <f>RigheOfferte[[#This Row],[Lavorazione]]</f>
        <v>0</v>
      </c>
      <c r="I150">
        <f>RigheOfferte[[#This Row],[Colore]]</f>
        <v>0</v>
      </c>
      <c r="J150">
        <f>RigheOfferte[[#This Row],[Velocità]]</f>
        <v>0</v>
      </c>
      <c r="K150">
        <f>RigheOfferte[[#This Row],[Superf.pz Mq]]</f>
        <v>0</v>
      </c>
      <c r="L150">
        <f>RigheOfferte[[#This Row],[passo]]</f>
        <v>0</v>
      </c>
      <c r="M150">
        <f>RigheOfferte[[#This Row],[nr.pezzi Telaio]]</f>
        <v>0</v>
      </c>
      <c r="N150">
        <f>RigheOfferte[[#This Row],[nr.pezzi ora-unita]]</f>
        <v>0</v>
      </c>
      <c r="O150">
        <f>Tabella1[[#This Row],[superificie]]*Resa</f>
        <v>0</v>
      </c>
      <c r="P150">
        <f>Tabella1[[#This Row],[KgPezzo]]*Tabella1[[#This Row],[q.ta offerta]]</f>
        <v>0</v>
      </c>
      <c r="Q150">
        <f>RigheOfferte[[#This Row],[QtaProtez]]</f>
        <v>0</v>
      </c>
      <c r="R150">
        <f>RigheOfferte[[#This Row],[Tipo Protezione]]</f>
        <v>0</v>
      </c>
    </row>
    <row r="151" spans="1:18">
      <c r="A151">
        <f>RigheOfferte[[#This Row],[Nprev]]</f>
        <v>0</v>
      </c>
      <c r="B151">
        <f>RigheOfferte[[#This Row],[Nriga]]</f>
        <v>0</v>
      </c>
      <c r="C151">
        <f>RigheOfferte[[#This Row],[Cliente]]</f>
        <v>0</v>
      </c>
      <c r="D151">
        <f>RigheOfferte[[#This Row],[sub_cliente]]</f>
        <v>0</v>
      </c>
      <c r="E151">
        <f>RigheOfferte[[#This Row],[cod.Art.]]</f>
        <v>0</v>
      </c>
      <c r="F151">
        <f>RigheOfferte[[#This Row],[Descrizione]]</f>
        <v>0</v>
      </c>
      <c r="G151">
        <f>RigheOfferte[[#This Row],[Q.ta'']]</f>
        <v>0</v>
      </c>
      <c r="H151">
        <f>RigheOfferte[[#This Row],[Lavorazione]]</f>
        <v>0</v>
      </c>
      <c r="I151">
        <f>RigheOfferte[[#This Row],[Colore]]</f>
        <v>0</v>
      </c>
      <c r="J151">
        <f>RigheOfferte[[#This Row],[Velocità]]</f>
        <v>0</v>
      </c>
      <c r="K151">
        <f>RigheOfferte[[#This Row],[Superf.pz Mq]]</f>
        <v>0</v>
      </c>
      <c r="L151">
        <f>RigheOfferte[[#This Row],[passo]]</f>
        <v>0</v>
      </c>
      <c r="M151">
        <f>RigheOfferte[[#This Row],[nr.pezzi Telaio]]</f>
        <v>0</v>
      </c>
      <c r="N151">
        <f>RigheOfferte[[#This Row],[nr.pezzi ora-unita]]</f>
        <v>0</v>
      </c>
      <c r="O151">
        <f>Tabella1[[#This Row],[superificie]]*Resa</f>
        <v>0</v>
      </c>
      <c r="P151">
        <f>Tabella1[[#This Row],[KgPezzo]]*Tabella1[[#This Row],[q.ta offerta]]</f>
        <v>0</v>
      </c>
      <c r="Q151">
        <f>RigheOfferte[[#This Row],[QtaProtez]]</f>
        <v>0</v>
      </c>
      <c r="R151">
        <f>RigheOfferte[[#This Row],[Tipo Protezione]]</f>
        <v>0</v>
      </c>
    </row>
    <row r="152" spans="1:18">
      <c r="A152">
        <f>RigheOfferte[[#This Row],[Nprev]]</f>
        <v>0</v>
      </c>
      <c r="B152">
        <f>RigheOfferte[[#This Row],[Nriga]]</f>
        <v>0</v>
      </c>
      <c r="C152">
        <f>RigheOfferte[[#This Row],[Cliente]]</f>
        <v>0</v>
      </c>
      <c r="D152">
        <f>RigheOfferte[[#This Row],[sub_cliente]]</f>
        <v>0</v>
      </c>
      <c r="E152">
        <f>RigheOfferte[[#This Row],[cod.Art.]]</f>
        <v>0</v>
      </c>
      <c r="F152">
        <f>RigheOfferte[[#This Row],[Descrizione]]</f>
        <v>0</v>
      </c>
      <c r="G152">
        <f>RigheOfferte[[#This Row],[Q.ta'']]</f>
        <v>0</v>
      </c>
      <c r="H152">
        <f>RigheOfferte[[#This Row],[Lavorazione]]</f>
        <v>0</v>
      </c>
      <c r="I152">
        <f>RigheOfferte[[#This Row],[Colore]]</f>
        <v>0</v>
      </c>
      <c r="J152">
        <f>RigheOfferte[[#This Row],[Velocità]]</f>
        <v>0</v>
      </c>
      <c r="K152">
        <f>RigheOfferte[[#This Row],[Superf.pz Mq]]</f>
        <v>0</v>
      </c>
      <c r="L152">
        <f>RigheOfferte[[#This Row],[passo]]</f>
        <v>0</v>
      </c>
      <c r="M152">
        <f>RigheOfferte[[#This Row],[nr.pezzi Telaio]]</f>
        <v>0</v>
      </c>
      <c r="N152">
        <f>RigheOfferte[[#This Row],[nr.pezzi ora-unita]]</f>
        <v>0</v>
      </c>
      <c r="O152">
        <f>Tabella1[[#This Row],[superificie]]*Resa</f>
        <v>0</v>
      </c>
      <c r="P152">
        <f>Tabella1[[#This Row],[KgPezzo]]*Tabella1[[#This Row],[q.ta offerta]]</f>
        <v>0</v>
      </c>
      <c r="Q152">
        <f>RigheOfferte[[#This Row],[QtaProtez]]</f>
        <v>0</v>
      </c>
      <c r="R152">
        <f>RigheOfferte[[#This Row],[Tipo Protezione]]</f>
        <v>0</v>
      </c>
    </row>
    <row r="153" spans="1:18">
      <c r="A153">
        <f>RigheOfferte[[#This Row],[Nprev]]</f>
        <v>0</v>
      </c>
      <c r="B153">
        <f>RigheOfferte[[#This Row],[Nriga]]</f>
        <v>0</v>
      </c>
      <c r="C153">
        <f>RigheOfferte[[#This Row],[Cliente]]</f>
        <v>0</v>
      </c>
      <c r="D153">
        <f>RigheOfferte[[#This Row],[sub_cliente]]</f>
        <v>0</v>
      </c>
      <c r="E153">
        <f>RigheOfferte[[#This Row],[cod.Art.]]</f>
        <v>0</v>
      </c>
      <c r="F153">
        <f>RigheOfferte[[#This Row],[Descrizione]]</f>
        <v>0</v>
      </c>
      <c r="G153">
        <f>RigheOfferte[[#This Row],[Q.ta'']]</f>
        <v>0</v>
      </c>
      <c r="H153">
        <f>RigheOfferte[[#This Row],[Lavorazione]]</f>
        <v>0</v>
      </c>
      <c r="I153">
        <f>RigheOfferte[[#This Row],[Colore]]</f>
        <v>0</v>
      </c>
      <c r="J153">
        <f>RigheOfferte[[#This Row],[Velocità]]</f>
        <v>0</v>
      </c>
      <c r="K153">
        <f>RigheOfferte[[#This Row],[Superf.pz Mq]]</f>
        <v>0</v>
      </c>
      <c r="L153">
        <f>RigheOfferte[[#This Row],[passo]]</f>
        <v>0</v>
      </c>
      <c r="M153">
        <f>RigheOfferte[[#This Row],[nr.pezzi Telaio]]</f>
        <v>0</v>
      </c>
      <c r="N153">
        <f>RigheOfferte[[#This Row],[nr.pezzi ora-unita]]</f>
        <v>0</v>
      </c>
      <c r="O153">
        <f>Tabella1[[#This Row],[superificie]]*Resa</f>
        <v>0</v>
      </c>
      <c r="P153">
        <f>Tabella1[[#This Row],[KgPezzo]]*Tabella1[[#This Row],[q.ta offerta]]</f>
        <v>0</v>
      </c>
      <c r="Q153">
        <f>RigheOfferte[[#This Row],[QtaProtez]]</f>
        <v>0</v>
      </c>
      <c r="R153">
        <f>RigheOfferte[[#This Row],[Tipo Protezione]]</f>
        <v>0</v>
      </c>
    </row>
    <row r="154" spans="1:18">
      <c r="A154">
        <f>RigheOfferte[[#This Row],[Nprev]]</f>
        <v>0</v>
      </c>
      <c r="B154">
        <f>RigheOfferte[[#This Row],[Nriga]]</f>
        <v>0</v>
      </c>
      <c r="C154">
        <f>RigheOfferte[[#This Row],[Cliente]]</f>
        <v>0</v>
      </c>
      <c r="D154">
        <f>RigheOfferte[[#This Row],[sub_cliente]]</f>
        <v>0</v>
      </c>
      <c r="E154">
        <f>RigheOfferte[[#This Row],[cod.Art.]]</f>
        <v>0</v>
      </c>
      <c r="F154">
        <f>RigheOfferte[[#This Row],[Descrizione]]</f>
        <v>0</v>
      </c>
      <c r="G154">
        <f>RigheOfferte[[#This Row],[Q.ta'']]</f>
        <v>0</v>
      </c>
      <c r="H154">
        <f>RigheOfferte[[#This Row],[Lavorazione]]</f>
        <v>0</v>
      </c>
      <c r="I154">
        <f>RigheOfferte[[#This Row],[Colore]]</f>
        <v>0</v>
      </c>
      <c r="J154">
        <f>RigheOfferte[[#This Row],[Velocità]]</f>
        <v>0</v>
      </c>
      <c r="K154">
        <f>RigheOfferte[[#This Row],[Superf.pz Mq]]</f>
        <v>0</v>
      </c>
      <c r="L154">
        <f>RigheOfferte[[#This Row],[passo]]</f>
        <v>0</v>
      </c>
      <c r="M154">
        <f>RigheOfferte[[#This Row],[nr.pezzi Telaio]]</f>
        <v>0</v>
      </c>
      <c r="N154">
        <f>RigheOfferte[[#This Row],[nr.pezzi ora-unita]]</f>
        <v>0</v>
      </c>
      <c r="O154">
        <f>Tabella1[[#This Row],[superificie]]*Resa</f>
        <v>0</v>
      </c>
      <c r="P154">
        <f>Tabella1[[#This Row],[KgPezzo]]*Tabella1[[#This Row],[q.ta offerta]]</f>
        <v>0</v>
      </c>
      <c r="Q154">
        <f>RigheOfferte[[#This Row],[QtaProtez]]</f>
        <v>0</v>
      </c>
      <c r="R154">
        <f>RigheOfferte[[#This Row],[Tipo Protezione]]</f>
        <v>0</v>
      </c>
    </row>
    <row r="155" spans="1:18">
      <c r="A155">
        <f>RigheOfferte[[#This Row],[Nprev]]</f>
        <v>0</v>
      </c>
      <c r="B155">
        <f>RigheOfferte[[#This Row],[Nriga]]</f>
        <v>0</v>
      </c>
      <c r="C155">
        <f>RigheOfferte[[#This Row],[Cliente]]</f>
        <v>0</v>
      </c>
      <c r="D155">
        <f>RigheOfferte[[#This Row],[sub_cliente]]</f>
        <v>0</v>
      </c>
      <c r="E155">
        <f>RigheOfferte[[#This Row],[cod.Art.]]</f>
        <v>0</v>
      </c>
      <c r="F155">
        <f>RigheOfferte[[#This Row],[Descrizione]]</f>
        <v>0</v>
      </c>
      <c r="G155">
        <f>RigheOfferte[[#This Row],[Q.ta'']]</f>
        <v>0</v>
      </c>
      <c r="H155">
        <f>RigheOfferte[[#This Row],[Lavorazione]]</f>
        <v>0</v>
      </c>
      <c r="I155">
        <f>RigheOfferte[[#This Row],[Colore]]</f>
        <v>0</v>
      </c>
      <c r="J155">
        <f>RigheOfferte[[#This Row],[Velocità]]</f>
        <v>0</v>
      </c>
      <c r="K155">
        <f>RigheOfferte[[#This Row],[Superf.pz Mq]]</f>
        <v>0</v>
      </c>
      <c r="L155">
        <f>RigheOfferte[[#This Row],[passo]]</f>
        <v>0</v>
      </c>
      <c r="M155">
        <f>RigheOfferte[[#This Row],[nr.pezzi Telaio]]</f>
        <v>0</v>
      </c>
      <c r="N155">
        <f>RigheOfferte[[#This Row],[nr.pezzi ora-unita]]</f>
        <v>0</v>
      </c>
      <c r="O155">
        <f>Tabella1[[#This Row],[superificie]]*Resa</f>
        <v>0</v>
      </c>
      <c r="P155">
        <f>Tabella1[[#This Row],[KgPezzo]]*Tabella1[[#This Row],[q.ta offerta]]</f>
        <v>0</v>
      </c>
      <c r="Q155">
        <f>RigheOfferte[[#This Row],[QtaProtez]]</f>
        <v>0</v>
      </c>
      <c r="R155">
        <f>RigheOfferte[[#This Row],[Tipo Protezione]]</f>
        <v>0</v>
      </c>
    </row>
    <row r="156" spans="1:18">
      <c r="A156">
        <f>RigheOfferte[[#This Row],[Nprev]]</f>
        <v>0</v>
      </c>
      <c r="B156">
        <f>RigheOfferte[[#This Row],[Nriga]]</f>
        <v>0</v>
      </c>
      <c r="C156">
        <f>RigheOfferte[[#This Row],[Cliente]]</f>
        <v>0</v>
      </c>
      <c r="D156">
        <f>RigheOfferte[[#This Row],[sub_cliente]]</f>
        <v>0</v>
      </c>
      <c r="E156">
        <f>RigheOfferte[[#This Row],[cod.Art.]]</f>
        <v>0</v>
      </c>
      <c r="F156">
        <f>RigheOfferte[[#This Row],[Descrizione]]</f>
        <v>0</v>
      </c>
      <c r="G156">
        <f>RigheOfferte[[#This Row],[Q.ta'']]</f>
        <v>0</v>
      </c>
      <c r="H156">
        <f>RigheOfferte[[#This Row],[Lavorazione]]</f>
        <v>0</v>
      </c>
      <c r="I156">
        <f>RigheOfferte[[#This Row],[Colore]]</f>
        <v>0</v>
      </c>
      <c r="J156">
        <f>RigheOfferte[[#This Row],[Velocità]]</f>
        <v>0</v>
      </c>
      <c r="K156">
        <f>RigheOfferte[[#This Row],[Superf.pz Mq]]</f>
        <v>0</v>
      </c>
      <c r="L156">
        <f>RigheOfferte[[#This Row],[passo]]</f>
        <v>0</v>
      </c>
      <c r="M156">
        <f>RigheOfferte[[#This Row],[nr.pezzi Telaio]]</f>
        <v>0</v>
      </c>
      <c r="N156">
        <f>RigheOfferte[[#This Row],[nr.pezzi ora-unita]]</f>
        <v>0</v>
      </c>
      <c r="O156">
        <f>Tabella1[[#This Row],[superificie]]*Resa</f>
        <v>0</v>
      </c>
      <c r="P156">
        <f>Tabella1[[#This Row],[KgPezzo]]*Tabella1[[#This Row],[q.ta offerta]]</f>
        <v>0</v>
      </c>
      <c r="Q156">
        <f>RigheOfferte[[#This Row],[QtaProtez]]</f>
        <v>0</v>
      </c>
      <c r="R156">
        <f>RigheOfferte[[#This Row],[Tipo Protezione]]</f>
        <v>0</v>
      </c>
    </row>
    <row r="157" spans="1:18">
      <c r="A157">
        <f>RigheOfferte[[#This Row],[Nprev]]</f>
        <v>0</v>
      </c>
      <c r="B157">
        <f>RigheOfferte[[#This Row],[Nriga]]</f>
        <v>0</v>
      </c>
      <c r="C157">
        <f>RigheOfferte[[#This Row],[Cliente]]</f>
        <v>0</v>
      </c>
      <c r="D157">
        <f>RigheOfferte[[#This Row],[sub_cliente]]</f>
        <v>0</v>
      </c>
      <c r="E157">
        <f>RigheOfferte[[#This Row],[cod.Art.]]</f>
        <v>0</v>
      </c>
      <c r="F157">
        <f>RigheOfferte[[#This Row],[Descrizione]]</f>
        <v>0</v>
      </c>
      <c r="G157">
        <f>RigheOfferte[[#This Row],[Q.ta'']]</f>
        <v>0</v>
      </c>
      <c r="H157">
        <f>RigheOfferte[[#This Row],[Lavorazione]]</f>
        <v>0</v>
      </c>
      <c r="I157">
        <f>RigheOfferte[[#This Row],[Colore]]</f>
        <v>0</v>
      </c>
      <c r="J157">
        <f>RigheOfferte[[#This Row],[Velocità]]</f>
        <v>0</v>
      </c>
      <c r="K157">
        <f>RigheOfferte[[#This Row],[Superf.pz Mq]]</f>
        <v>0</v>
      </c>
      <c r="L157">
        <f>RigheOfferte[[#This Row],[passo]]</f>
        <v>0</v>
      </c>
      <c r="M157">
        <f>RigheOfferte[[#This Row],[nr.pezzi Telaio]]</f>
        <v>0</v>
      </c>
      <c r="N157">
        <f>RigheOfferte[[#This Row],[nr.pezzi ora-unita]]</f>
        <v>0</v>
      </c>
      <c r="O157">
        <f>Tabella1[[#This Row],[superificie]]*Resa</f>
        <v>0</v>
      </c>
      <c r="P157">
        <f>Tabella1[[#This Row],[KgPezzo]]*Tabella1[[#This Row],[q.ta offerta]]</f>
        <v>0</v>
      </c>
      <c r="Q157">
        <f>RigheOfferte[[#This Row],[QtaProtez]]</f>
        <v>0</v>
      </c>
      <c r="R157">
        <f>RigheOfferte[[#This Row],[Tipo Protezione]]</f>
        <v>0</v>
      </c>
    </row>
    <row r="158" spans="1:18">
      <c r="A158">
        <f>RigheOfferte[[#This Row],[Nprev]]</f>
        <v>0</v>
      </c>
      <c r="B158">
        <f>RigheOfferte[[#This Row],[Nriga]]</f>
        <v>0</v>
      </c>
      <c r="C158">
        <f>RigheOfferte[[#This Row],[Cliente]]</f>
        <v>0</v>
      </c>
      <c r="D158">
        <f>RigheOfferte[[#This Row],[sub_cliente]]</f>
        <v>0</v>
      </c>
      <c r="E158">
        <f>RigheOfferte[[#This Row],[cod.Art.]]</f>
        <v>0</v>
      </c>
      <c r="F158">
        <f>RigheOfferte[[#This Row],[Descrizione]]</f>
        <v>0</v>
      </c>
      <c r="G158">
        <f>RigheOfferte[[#This Row],[Q.ta'']]</f>
        <v>0</v>
      </c>
      <c r="H158">
        <f>RigheOfferte[[#This Row],[Lavorazione]]</f>
        <v>0</v>
      </c>
      <c r="I158">
        <f>RigheOfferte[[#This Row],[Colore]]</f>
        <v>0</v>
      </c>
      <c r="J158">
        <f>RigheOfferte[[#This Row],[Velocità]]</f>
        <v>0</v>
      </c>
      <c r="K158">
        <f>RigheOfferte[[#This Row],[Superf.pz Mq]]</f>
        <v>0</v>
      </c>
      <c r="L158">
        <f>RigheOfferte[[#This Row],[passo]]</f>
        <v>0</v>
      </c>
      <c r="M158">
        <f>RigheOfferte[[#This Row],[nr.pezzi Telaio]]</f>
        <v>0</v>
      </c>
      <c r="N158">
        <f>RigheOfferte[[#This Row],[nr.pezzi ora-unita]]</f>
        <v>0</v>
      </c>
      <c r="O158">
        <f>Tabella1[[#This Row],[superificie]]*Resa</f>
        <v>0</v>
      </c>
      <c r="P158">
        <f>Tabella1[[#This Row],[KgPezzo]]*Tabella1[[#This Row],[q.ta offerta]]</f>
        <v>0</v>
      </c>
      <c r="Q158">
        <f>RigheOfferte[[#This Row],[QtaProtez]]</f>
        <v>0</v>
      </c>
      <c r="R158">
        <f>RigheOfferte[[#This Row],[Tipo Protezione]]</f>
        <v>0</v>
      </c>
    </row>
    <row r="159" spans="1:18">
      <c r="A159">
        <f>RigheOfferte[[#This Row],[Nprev]]</f>
        <v>0</v>
      </c>
      <c r="B159">
        <f>RigheOfferte[[#This Row],[Nriga]]</f>
        <v>0</v>
      </c>
      <c r="C159">
        <f>RigheOfferte[[#This Row],[Cliente]]</f>
        <v>0</v>
      </c>
      <c r="D159">
        <f>RigheOfferte[[#This Row],[sub_cliente]]</f>
        <v>0</v>
      </c>
      <c r="E159">
        <f>RigheOfferte[[#This Row],[cod.Art.]]</f>
        <v>0</v>
      </c>
      <c r="F159">
        <f>RigheOfferte[[#This Row],[Descrizione]]</f>
        <v>0</v>
      </c>
      <c r="G159">
        <f>RigheOfferte[[#This Row],[Q.ta'']]</f>
        <v>0</v>
      </c>
      <c r="H159">
        <f>RigheOfferte[[#This Row],[Lavorazione]]</f>
        <v>0</v>
      </c>
      <c r="I159">
        <f>RigheOfferte[[#This Row],[Colore]]</f>
        <v>0</v>
      </c>
      <c r="J159">
        <f>RigheOfferte[[#This Row],[Velocità]]</f>
        <v>0</v>
      </c>
      <c r="K159">
        <f>RigheOfferte[[#This Row],[Superf.pz Mq]]</f>
        <v>0</v>
      </c>
      <c r="L159">
        <f>RigheOfferte[[#This Row],[passo]]</f>
        <v>0</v>
      </c>
      <c r="M159">
        <f>RigheOfferte[[#This Row],[nr.pezzi Telaio]]</f>
        <v>0</v>
      </c>
      <c r="N159">
        <f>RigheOfferte[[#This Row],[nr.pezzi ora-unita]]</f>
        <v>0</v>
      </c>
      <c r="O159">
        <f>Tabella1[[#This Row],[superificie]]*Resa</f>
        <v>0</v>
      </c>
      <c r="P159">
        <f>Tabella1[[#This Row],[KgPezzo]]*Tabella1[[#This Row],[q.ta offerta]]</f>
        <v>0</v>
      </c>
      <c r="Q159">
        <f>RigheOfferte[[#This Row],[QtaProtez]]</f>
        <v>0</v>
      </c>
      <c r="R159">
        <f>RigheOfferte[[#This Row],[Tipo Protezione]]</f>
        <v>0</v>
      </c>
    </row>
    <row r="160" spans="1:18">
      <c r="A160" t="e">
        <f>RigheOfferte[[#This Row],[Nprev]]</f>
        <v>#VALUE!</v>
      </c>
      <c r="B160" t="e">
        <f>RigheOfferte[[#This Row],[Nriga]]</f>
        <v>#VALUE!</v>
      </c>
      <c r="C160" t="e">
        <f>RigheOfferte[[#This Row],[Cliente]]</f>
        <v>#VALUE!</v>
      </c>
      <c r="D160" t="e">
        <f>RigheOfferte[[#This Row],[sub_cliente]]</f>
        <v>#VALUE!</v>
      </c>
      <c r="E160" t="e">
        <f>RigheOfferte[[#This Row],[cod.Art.]]</f>
        <v>#VALUE!</v>
      </c>
      <c r="F160" t="e">
        <f>RigheOfferte[[#This Row],[Descrizione]]</f>
        <v>#VALUE!</v>
      </c>
      <c r="G160" t="e">
        <f>RigheOfferte[[#This Row],[Q.ta'']]</f>
        <v>#VALUE!</v>
      </c>
      <c r="H160" t="e">
        <f>RigheOfferte[[#This Row],[Lavorazione]]</f>
        <v>#VALUE!</v>
      </c>
      <c r="I160" t="e">
        <f>RigheOfferte[[#This Row],[Colore]]</f>
        <v>#VALUE!</v>
      </c>
      <c r="J160" t="e">
        <f>RigheOfferte[[#This Row],[Velocità]]</f>
        <v>#VALUE!</v>
      </c>
      <c r="K160" t="e">
        <f>RigheOfferte[[#This Row],[Superf.pz Mq]]</f>
        <v>#VALUE!</v>
      </c>
      <c r="L160" t="e">
        <f>RigheOfferte[[#This Row],[passo]]</f>
        <v>#VALUE!</v>
      </c>
      <c r="M160" t="e">
        <f>RigheOfferte[[#This Row],[nr.pezzi Telaio]]</f>
        <v>#VALUE!</v>
      </c>
      <c r="N160" t="e">
        <f>RigheOfferte[[#This Row],[nr.pezzi ora-unita]]</f>
        <v>#VALUE!</v>
      </c>
      <c r="O160" t="e">
        <f>Tabella1[[#This Row],[superificie]]*Resa</f>
        <v>#VALUE!</v>
      </c>
      <c r="P160" t="e">
        <f>Tabella1[[#This Row],[KgPezzo]]*Tabella1[[#This Row],[q.ta offerta]]</f>
        <v>#VALUE!</v>
      </c>
      <c r="Q160" t="e">
        <f>RigheOfferte[[#This Row],[QtaProtez]]</f>
        <v>#VALUE!</v>
      </c>
      <c r="R160" t="e">
        <f>RigheOfferte[[#This Row],[Tipo Protezione]]</f>
        <v>#VALUE!</v>
      </c>
    </row>
    <row r="161" spans="1:18">
      <c r="A161" t="e">
        <f>RigheOfferte[[#This Row],[Nprev]]</f>
        <v>#VALUE!</v>
      </c>
      <c r="B161" t="e">
        <f>RigheOfferte[[#This Row],[Nriga]]</f>
        <v>#VALUE!</v>
      </c>
      <c r="C161" t="e">
        <f>RigheOfferte[[#This Row],[Cliente]]</f>
        <v>#VALUE!</v>
      </c>
      <c r="D161" t="e">
        <f>RigheOfferte[[#This Row],[sub_cliente]]</f>
        <v>#VALUE!</v>
      </c>
      <c r="E161" t="e">
        <f>RigheOfferte[[#This Row],[cod.Art.]]</f>
        <v>#VALUE!</v>
      </c>
      <c r="F161" t="e">
        <f>RigheOfferte[[#This Row],[Descrizione]]</f>
        <v>#VALUE!</v>
      </c>
      <c r="G161" t="e">
        <f>RigheOfferte[[#This Row],[Q.ta'']]</f>
        <v>#VALUE!</v>
      </c>
      <c r="H161" t="e">
        <f>RigheOfferte[[#This Row],[Lavorazione]]</f>
        <v>#VALUE!</v>
      </c>
      <c r="I161" t="e">
        <f>RigheOfferte[[#This Row],[Colore]]</f>
        <v>#VALUE!</v>
      </c>
      <c r="J161" t="e">
        <f>RigheOfferte[[#This Row],[Velocità]]</f>
        <v>#VALUE!</v>
      </c>
      <c r="K161" t="e">
        <f>RigheOfferte[[#This Row],[Superf.pz Mq]]</f>
        <v>#VALUE!</v>
      </c>
      <c r="L161" t="e">
        <f>RigheOfferte[[#This Row],[passo]]</f>
        <v>#VALUE!</v>
      </c>
      <c r="M161" t="e">
        <f>RigheOfferte[[#This Row],[nr.pezzi Telaio]]</f>
        <v>#VALUE!</v>
      </c>
      <c r="N161" t="e">
        <f>RigheOfferte[[#This Row],[nr.pezzi ora-unita]]</f>
        <v>#VALUE!</v>
      </c>
      <c r="O161" t="e">
        <f>Tabella1[[#This Row],[superificie]]*Resa</f>
        <v>#VALUE!</v>
      </c>
      <c r="P161" t="e">
        <f>Tabella1[[#This Row],[KgPezzo]]*Tabella1[[#This Row],[q.ta offerta]]</f>
        <v>#VALUE!</v>
      </c>
      <c r="Q161" t="e">
        <f>RigheOfferte[[#This Row],[QtaProtez]]</f>
        <v>#VALUE!</v>
      </c>
      <c r="R161" t="e">
        <f>RigheOfferte[[#This Row],[Tipo Protezione]]</f>
        <v>#VALUE!</v>
      </c>
    </row>
    <row r="162" spans="1:18">
      <c r="A162" t="e">
        <f>RigheOfferte[[#This Row],[Nprev]]</f>
        <v>#VALUE!</v>
      </c>
      <c r="B162" t="e">
        <f>RigheOfferte[[#This Row],[Nriga]]</f>
        <v>#VALUE!</v>
      </c>
      <c r="C162" t="e">
        <f>RigheOfferte[[#This Row],[Cliente]]</f>
        <v>#VALUE!</v>
      </c>
      <c r="D162" t="e">
        <f>RigheOfferte[[#This Row],[sub_cliente]]</f>
        <v>#VALUE!</v>
      </c>
      <c r="E162" t="e">
        <f>RigheOfferte[[#This Row],[cod.Art.]]</f>
        <v>#VALUE!</v>
      </c>
      <c r="F162" t="e">
        <f>RigheOfferte[[#This Row],[Descrizione]]</f>
        <v>#VALUE!</v>
      </c>
      <c r="G162" t="e">
        <f>RigheOfferte[[#This Row],[Q.ta'']]</f>
        <v>#VALUE!</v>
      </c>
      <c r="H162" t="e">
        <f>RigheOfferte[[#This Row],[Lavorazione]]</f>
        <v>#VALUE!</v>
      </c>
      <c r="I162" t="e">
        <f>RigheOfferte[[#This Row],[Colore]]</f>
        <v>#VALUE!</v>
      </c>
      <c r="J162" t="e">
        <f>RigheOfferte[[#This Row],[Velocità]]</f>
        <v>#VALUE!</v>
      </c>
      <c r="K162" t="e">
        <f>RigheOfferte[[#This Row],[Superf.pz Mq]]</f>
        <v>#VALUE!</v>
      </c>
      <c r="L162" t="e">
        <f>RigheOfferte[[#This Row],[passo]]</f>
        <v>#VALUE!</v>
      </c>
      <c r="M162" t="e">
        <f>RigheOfferte[[#This Row],[nr.pezzi Telaio]]</f>
        <v>#VALUE!</v>
      </c>
      <c r="N162" t="e">
        <f>RigheOfferte[[#This Row],[nr.pezzi ora-unita]]</f>
        <v>#VALUE!</v>
      </c>
      <c r="O162" t="e">
        <f>Tabella1[[#This Row],[superificie]]*Resa</f>
        <v>#VALUE!</v>
      </c>
      <c r="P162" t="e">
        <f>Tabella1[[#This Row],[KgPezzo]]*Tabella1[[#This Row],[q.ta offerta]]</f>
        <v>#VALUE!</v>
      </c>
      <c r="Q162" t="e">
        <f>RigheOfferte[[#This Row],[QtaProtez]]</f>
        <v>#VALUE!</v>
      </c>
      <c r="R162" t="e">
        <f>RigheOfferte[[#This Row],[Tipo Protezione]]</f>
        <v>#VALUE!</v>
      </c>
    </row>
    <row r="163" spans="1:18">
      <c r="A163" t="e">
        <f>RigheOfferte[[#This Row],[Nprev]]</f>
        <v>#VALUE!</v>
      </c>
      <c r="B163" t="e">
        <f>RigheOfferte[[#This Row],[Nriga]]</f>
        <v>#VALUE!</v>
      </c>
      <c r="C163" t="e">
        <f>RigheOfferte[[#This Row],[Cliente]]</f>
        <v>#VALUE!</v>
      </c>
      <c r="D163" t="e">
        <f>RigheOfferte[[#This Row],[sub_cliente]]</f>
        <v>#VALUE!</v>
      </c>
      <c r="E163" t="e">
        <f>RigheOfferte[[#This Row],[cod.Art.]]</f>
        <v>#VALUE!</v>
      </c>
      <c r="F163" t="e">
        <f>RigheOfferte[[#This Row],[Descrizione]]</f>
        <v>#VALUE!</v>
      </c>
      <c r="G163" t="e">
        <f>RigheOfferte[[#This Row],[Q.ta'']]</f>
        <v>#VALUE!</v>
      </c>
      <c r="H163" t="e">
        <f>RigheOfferte[[#This Row],[Lavorazione]]</f>
        <v>#VALUE!</v>
      </c>
      <c r="I163" t="e">
        <f>RigheOfferte[[#This Row],[Colore]]</f>
        <v>#VALUE!</v>
      </c>
      <c r="J163" t="e">
        <f>RigheOfferte[[#This Row],[Velocità]]</f>
        <v>#VALUE!</v>
      </c>
      <c r="K163" t="e">
        <f>RigheOfferte[[#This Row],[Superf.pz Mq]]</f>
        <v>#VALUE!</v>
      </c>
      <c r="L163" t="e">
        <f>RigheOfferte[[#This Row],[passo]]</f>
        <v>#VALUE!</v>
      </c>
      <c r="M163" t="e">
        <f>RigheOfferte[[#This Row],[nr.pezzi Telaio]]</f>
        <v>#VALUE!</v>
      </c>
      <c r="N163" t="e">
        <f>RigheOfferte[[#This Row],[nr.pezzi ora-unita]]</f>
        <v>#VALUE!</v>
      </c>
      <c r="O163" t="e">
        <f>Tabella1[[#This Row],[superificie]]*Resa</f>
        <v>#VALUE!</v>
      </c>
      <c r="P163" t="e">
        <f>Tabella1[[#This Row],[KgPezzo]]*Tabella1[[#This Row],[q.ta offerta]]</f>
        <v>#VALUE!</v>
      </c>
      <c r="Q163" t="e">
        <f>RigheOfferte[[#This Row],[QtaProtez]]</f>
        <v>#VALUE!</v>
      </c>
      <c r="R163" t="e">
        <f>RigheOfferte[[#This Row],[Tipo Protezione]]</f>
        <v>#VALUE!</v>
      </c>
    </row>
    <row r="164" spans="1:18">
      <c r="A164" t="e">
        <f>RigheOfferte[[#This Row],[Nprev]]</f>
        <v>#VALUE!</v>
      </c>
      <c r="B164" t="e">
        <f>RigheOfferte[[#This Row],[Nriga]]</f>
        <v>#VALUE!</v>
      </c>
      <c r="C164" t="e">
        <f>RigheOfferte[[#This Row],[Cliente]]</f>
        <v>#VALUE!</v>
      </c>
      <c r="D164" t="e">
        <f>RigheOfferte[[#This Row],[sub_cliente]]</f>
        <v>#VALUE!</v>
      </c>
      <c r="E164" t="e">
        <f>RigheOfferte[[#This Row],[cod.Art.]]</f>
        <v>#VALUE!</v>
      </c>
      <c r="F164" t="e">
        <f>RigheOfferte[[#This Row],[Descrizione]]</f>
        <v>#VALUE!</v>
      </c>
      <c r="G164" t="e">
        <f>RigheOfferte[[#This Row],[Q.ta'']]</f>
        <v>#VALUE!</v>
      </c>
      <c r="H164" t="e">
        <f>RigheOfferte[[#This Row],[Lavorazione]]</f>
        <v>#VALUE!</v>
      </c>
      <c r="I164" t="e">
        <f>RigheOfferte[[#This Row],[Colore]]</f>
        <v>#VALUE!</v>
      </c>
      <c r="J164" t="e">
        <f>RigheOfferte[[#This Row],[Velocità]]</f>
        <v>#VALUE!</v>
      </c>
      <c r="K164" t="e">
        <f>RigheOfferte[[#This Row],[Superf.pz Mq]]</f>
        <v>#VALUE!</v>
      </c>
      <c r="L164" t="e">
        <f>RigheOfferte[[#This Row],[passo]]</f>
        <v>#VALUE!</v>
      </c>
      <c r="M164" t="e">
        <f>RigheOfferte[[#This Row],[nr.pezzi Telaio]]</f>
        <v>#VALUE!</v>
      </c>
      <c r="N164" t="e">
        <f>RigheOfferte[[#This Row],[nr.pezzi ora-unita]]</f>
        <v>#VALUE!</v>
      </c>
      <c r="O164" t="e">
        <f>Tabella1[[#This Row],[superificie]]*Resa</f>
        <v>#VALUE!</v>
      </c>
      <c r="P164" t="e">
        <f>Tabella1[[#This Row],[KgPezzo]]*Tabella1[[#This Row],[q.ta offerta]]</f>
        <v>#VALUE!</v>
      </c>
      <c r="Q164" t="e">
        <f>RigheOfferte[[#This Row],[QtaProtez]]</f>
        <v>#VALUE!</v>
      </c>
      <c r="R164" t="e">
        <f>RigheOfferte[[#This Row],[Tipo Protezione]]</f>
        <v>#VALUE!</v>
      </c>
    </row>
    <row r="165" spans="1:18">
      <c r="A165" t="e">
        <f>RigheOfferte[[#This Row],[Nprev]]</f>
        <v>#VALUE!</v>
      </c>
      <c r="B165" t="e">
        <f>RigheOfferte[[#This Row],[Nriga]]</f>
        <v>#VALUE!</v>
      </c>
      <c r="C165" t="e">
        <f>RigheOfferte[[#This Row],[Cliente]]</f>
        <v>#VALUE!</v>
      </c>
      <c r="D165" t="e">
        <f>RigheOfferte[[#This Row],[sub_cliente]]</f>
        <v>#VALUE!</v>
      </c>
      <c r="E165" t="e">
        <f>RigheOfferte[[#This Row],[cod.Art.]]</f>
        <v>#VALUE!</v>
      </c>
      <c r="F165" t="e">
        <f>RigheOfferte[[#This Row],[Descrizione]]</f>
        <v>#VALUE!</v>
      </c>
      <c r="G165" t="e">
        <f>RigheOfferte[[#This Row],[Q.ta'']]</f>
        <v>#VALUE!</v>
      </c>
      <c r="H165" t="e">
        <f>RigheOfferte[[#This Row],[Lavorazione]]</f>
        <v>#VALUE!</v>
      </c>
      <c r="I165" t="e">
        <f>RigheOfferte[[#This Row],[Colore]]</f>
        <v>#VALUE!</v>
      </c>
      <c r="J165" t="e">
        <f>RigheOfferte[[#This Row],[Velocità]]</f>
        <v>#VALUE!</v>
      </c>
      <c r="K165" t="e">
        <f>RigheOfferte[[#This Row],[Superf.pz Mq]]</f>
        <v>#VALUE!</v>
      </c>
      <c r="L165" t="e">
        <f>RigheOfferte[[#This Row],[passo]]</f>
        <v>#VALUE!</v>
      </c>
      <c r="M165" t="e">
        <f>RigheOfferte[[#This Row],[nr.pezzi Telaio]]</f>
        <v>#VALUE!</v>
      </c>
      <c r="N165" t="e">
        <f>RigheOfferte[[#This Row],[nr.pezzi ora-unita]]</f>
        <v>#VALUE!</v>
      </c>
      <c r="O165" t="e">
        <f>Tabella1[[#This Row],[superificie]]*Resa</f>
        <v>#VALUE!</v>
      </c>
      <c r="P165" t="e">
        <f>Tabella1[[#This Row],[KgPezzo]]*Tabella1[[#This Row],[q.ta offerta]]</f>
        <v>#VALUE!</v>
      </c>
      <c r="Q165" t="e">
        <f>RigheOfferte[[#This Row],[QtaProtez]]</f>
        <v>#VALUE!</v>
      </c>
      <c r="R165" t="e">
        <f>RigheOfferte[[#This Row],[Tipo Protezione]]</f>
        <v>#VALUE!</v>
      </c>
    </row>
    <row r="166" spans="1:18">
      <c r="A166" t="e">
        <f>RigheOfferte[[#This Row],[Nprev]]</f>
        <v>#VALUE!</v>
      </c>
      <c r="B166" t="e">
        <f>RigheOfferte[[#This Row],[Nriga]]</f>
        <v>#VALUE!</v>
      </c>
      <c r="C166" t="e">
        <f>RigheOfferte[[#This Row],[Cliente]]</f>
        <v>#VALUE!</v>
      </c>
      <c r="D166" t="e">
        <f>RigheOfferte[[#This Row],[sub_cliente]]</f>
        <v>#VALUE!</v>
      </c>
      <c r="E166" t="e">
        <f>RigheOfferte[[#This Row],[cod.Art.]]</f>
        <v>#VALUE!</v>
      </c>
      <c r="F166" t="e">
        <f>RigheOfferte[[#This Row],[Descrizione]]</f>
        <v>#VALUE!</v>
      </c>
      <c r="G166" t="e">
        <f>RigheOfferte[[#This Row],[Q.ta'']]</f>
        <v>#VALUE!</v>
      </c>
      <c r="H166" t="e">
        <f>RigheOfferte[[#This Row],[Lavorazione]]</f>
        <v>#VALUE!</v>
      </c>
      <c r="I166" t="e">
        <f>RigheOfferte[[#This Row],[Colore]]</f>
        <v>#VALUE!</v>
      </c>
      <c r="J166" t="e">
        <f>RigheOfferte[[#This Row],[Velocità]]</f>
        <v>#VALUE!</v>
      </c>
      <c r="K166" t="e">
        <f>RigheOfferte[[#This Row],[Superf.pz Mq]]</f>
        <v>#VALUE!</v>
      </c>
      <c r="L166" t="e">
        <f>RigheOfferte[[#This Row],[passo]]</f>
        <v>#VALUE!</v>
      </c>
      <c r="M166" t="e">
        <f>RigheOfferte[[#This Row],[nr.pezzi Telaio]]</f>
        <v>#VALUE!</v>
      </c>
      <c r="N166" t="e">
        <f>RigheOfferte[[#This Row],[nr.pezzi ora-unita]]</f>
        <v>#VALUE!</v>
      </c>
      <c r="O166" t="e">
        <f>Tabella1[[#This Row],[superificie]]*Resa</f>
        <v>#VALUE!</v>
      </c>
      <c r="P166" t="e">
        <f>Tabella1[[#This Row],[KgPezzo]]*Tabella1[[#This Row],[q.ta offerta]]</f>
        <v>#VALUE!</v>
      </c>
      <c r="Q166" t="e">
        <f>RigheOfferte[[#This Row],[QtaProtez]]</f>
        <v>#VALUE!</v>
      </c>
      <c r="R166" t="e">
        <f>RigheOfferte[[#This Row],[Tipo Protezione]]</f>
        <v>#VALUE!</v>
      </c>
    </row>
    <row r="167" spans="1:18">
      <c r="A167" t="e">
        <f>RigheOfferte[[#This Row],[Nprev]]</f>
        <v>#VALUE!</v>
      </c>
      <c r="B167" t="e">
        <f>RigheOfferte[[#This Row],[Nriga]]</f>
        <v>#VALUE!</v>
      </c>
      <c r="C167" t="e">
        <f>RigheOfferte[[#This Row],[Cliente]]</f>
        <v>#VALUE!</v>
      </c>
      <c r="D167" t="e">
        <f>RigheOfferte[[#This Row],[sub_cliente]]</f>
        <v>#VALUE!</v>
      </c>
      <c r="E167" t="e">
        <f>RigheOfferte[[#This Row],[cod.Art.]]</f>
        <v>#VALUE!</v>
      </c>
      <c r="F167" t="e">
        <f>RigheOfferte[[#This Row],[Descrizione]]</f>
        <v>#VALUE!</v>
      </c>
      <c r="G167" t="e">
        <f>RigheOfferte[[#This Row],[Q.ta'']]</f>
        <v>#VALUE!</v>
      </c>
      <c r="H167" t="e">
        <f>RigheOfferte[[#This Row],[Lavorazione]]</f>
        <v>#VALUE!</v>
      </c>
      <c r="I167" t="e">
        <f>RigheOfferte[[#This Row],[Colore]]</f>
        <v>#VALUE!</v>
      </c>
      <c r="J167" t="e">
        <f>RigheOfferte[[#This Row],[Velocità]]</f>
        <v>#VALUE!</v>
      </c>
      <c r="K167" t="e">
        <f>RigheOfferte[[#This Row],[Superf.pz Mq]]</f>
        <v>#VALUE!</v>
      </c>
      <c r="L167" t="e">
        <f>RigheOfferte[[#This Row],[passo]]</f>
        <v>#VALUE!</v>
      </c>
      <c r="M167" t="e">
        <f>RigheOfferte[[#This Row],[nr.pezzi Telaio]]</f>
        <v>#VALUE!</v>
      </c>
      <c r="N167" t="e">
        <f>RigheOfferte[[#This Row],[nr.pezzi ora-unita]]</f>
        <v>#VALUE!</v>
      </c>
      <c r="O167" t="e">
        <f>Tabella1[[#This Row],[superificie]]*Resa</f>
        <v>#VALUE!</v>
      </c>
      <c r="P167" t="e">
        <f>Tabella1[[#This Row],[KgPezzo]]*Tabella1[[#This Row],[q.ta offerta]]</f>
        <v>#VALUE!</v>
      </c>
      <c r="Q167" t="e">
        <f>RigheOfferte[[#This Row],[QtaProtez]]</f>
        <v>#VALUE!</v>
      </c>
      <c r="R167" t="e">
        <f>RigheOfferte[[#This Row],[Tipo Protezione]]</f>
        <v>#VALUE!</v>
      </c>
    </row>
    <row r="168" spans="1:18">
      <c r="A168" t="e">
        <f>RigheOfferte[[#This Row],[Nprev]]</f>
        <v>#VALUE!</v>
      </c>
      <c r="B168" t="e">
        <f>RigheOfferte[[#This Row],[Nriga]]</f>
        <v>#VALUE!</v>
      </c>
      <c r="C168" t="e">
        <f>RigheOfferte[[#This Row],[Cliente]]</f>
        <v>#VALUE!</v>
      </c>
      <c r="D168" t="e">
        <f>RigheOfferte[[#This Row],[sub_cliente]]</f>
        <v>#VALUE!</v>
      </c>
      <c r="E168" t="e">
        <f>RigheOfferte[[#This Row],[cod.Art.]]</f>
        <v>#VALUE!</v>
      </c>
      <c r="F168" t="e">
        <f>RigheOfferte[[#This Row],[Descrizione]]</f>
        <v>#VALUE!</v>
      </c>
      <c r="G168" t="e">
        <f>RigheOfferte[[#This Row],[Q.ta'']]</f>
        <v>#VALUE!</v>
      </c>
      <c r="H168" t="e">
        <f>RigheOfferte[[#This Row],[Lavorazione]]</f>
        <v>#VALUE!</v>
      </c>
      <c r="I168" t="e">
        <f>RigheOfferte[[#This Row],[Colore]]</f>
        <v>#VALUE!</v>
      </c>
      <c r="J168" t="e">
        <f>RigheOfferte[[#This Row],[Velocità]]</f>
        <v>#VALUE!</v>
      </c>
      <c r="K168" t="e">
        <f>RigheOfferte[[#This Row],[Superf.pz Mq]]</f>
        <v>#VALUE!</v>
      </c>
      <c r="L168" t="e">
        <f>RigheOfferte[[#This Row],[passo]]</f>
        <v>#VALUE!</v>
      </c>
      <c r="M168" t="e">
        <f>RigheOfferte[[#This Row],[nr.pezzi Telaio]]</f>
        <v>#VALUE!</v>
      </c>
      <c r="N168" t="e">
        <f>RigheOfferte[[#This Row],[nr.pezzi ora-unita]]</f>
        <v>#VALUE!</v>
      </c>
      <c r="O168" t="e">
        <f>Tabella1[[#This Row],[superificie]]*Resa</f>
        <v>#VALUE!</v>
      </c>
      <c r="P168" t="e">
        <f>Tabella1[[#This Row],[KgPezzo]]*Tabella1[[#This Row],[q.ta offerta]]</f>
        <v>#VALUE!</v>
      </c>
      <c r="Q168" t="e">
        <f>RigheOfferte[[#This Row],[QtaProtez]]</f>
        <v>#VALUE!</v>
      </c>
      <c r="R168" t="e">
        <f>RigheOfferte[[#This Row],[Tipo Protezione]]</f>
        <v>#VALUE!</v>
      </c>
    </row>
    <row r="169" spans="1:18">
      <c r="A169" t="e">
        <f>RigheOfferte[[#This Row],[Nprev]]</f>
        <v>#VALUE!</v>
      </c>
      <c r="B169" t="e">
        <f>RigheOfferte[[#This Row],[Nriga]]</f>
        <v>#VALUE!</v>
      </c>
      <c r="C169" t="e">
        <f>RigheOfferte[[#This Row],[Cliente]]</f>
        <v>#VALUE!</v>
      </c>
      <c r="D169" t="e">
        <f>RigheOfferte[[#This Row],[sub_cliente]]</f>
        <v>#VALUE!</v>
      </c>
      <c r="E169" t="e">
        <f>RigheOfferte[[#This Row],[cod.Art.]]</f>
        <v>#VALUE!</v>
      </c>
      <c r="F169" t="e">
        <f>RigheOfferte[[#This Row],[Descrizione]]</f>
        <v>#VALUE!</v>
      </c>
      <c r="G169" t="e">
        <f>RigheOfferte[[#This Row],[Q.ta'']]</f>
        <v>#VALUE!</v>
      </c>
      <c r="H169" t="e">
        <f>RigheOfferte[[#This Row],[Lavorazione]]</f>
        <v>#VALUE!</v>
      </c>
      <c r="I169" t="e">
        <f>RigheOfferte[[#This Row],[Colore]]</f>
        <v>#VALUE!</v>
      </c>
      <c r="J169" t="e">
        <f>RigheOfferte[[#This Row],[Velocità]]</f>
        <v>#VALUE!</v>
      </c>
      <c r="K169" t="e">
        <f>RigheOfferte[[#This Row],[Superf.pz Mq]]</f>
        <v>#VALUE!</v>
      </c>
      <c r="L169" t="e">
        <f>RigheOfferte[[#This Row],[passo]]</f>
        <v>#VALUE!</v>
      </c>
      <c r="M169" t="e">
        <f>RigheOfferte[[#This Row],[nr.pezzi Telaio]]</f>
        <v>#VALUE!</v>
      </c>
      <c r="N169" t="e">
        <f>RigheOfferte[[#This Row],[nr.pezzi ora-unita]]</f>
        <v>#VALUE!</v>
      </c>
      <c r="O169" t="e">
        <f>Tabella1[[#This Row],[superificie]]*Resa</f>
        <v>#VALUE!</v>
      </c>
      <c r="P169" t="e">
        <f>Tabella1[[#This Row],[KgPezzo]]*Tabella1[[#This Row],[q.ta offerta]]</f>
        <v>#VALUE!</v>
      </c>
      <c r="Q169" t="e">
        <f>RigheOfferte[[#This Row],[QtaProtez]]</f>
        <v>#VALUE!</v>
      </c>
      <c r="R169" t="e">
        <f>RigheOfferte[[#This Row],[Tipo Protezione]]</f>
        <v>#VALUE!</v>
      </c>
    </row>
    <row r="170" spans="1:18">
      <c r="A170" t="e">
        <f>RigheOfferte[[#This Row],[Nprev]]</f>
        <v>#VALUE!</v>
      </c>
      <c r="B170" t="e">
        <f>RigheOfferte[[#This Row],[Nriga]]</f>
        <v>#VALUE!</v>
      </c>
      <c r="C170" t="e">
        <f>RigheOfferte[[#This Row],[Cliente]]</f>
        <v>#VALUE!</v>
      </c>
      <c r="D170" t="e">
        <f>RigheOfferte[[#This Row],[sub_cliente]]</f>
        <v>#VALUE!</v>
      </c>
      <c r="E170" t="e">
        <f>RigheOfferte[[#This Row],[cod.Art.]]</f>
        <v>#VALUE!</v>
      </c>
      <c r="F170" t="e">
        <f>RigheOfferte[[#This Row],[Descrizione]]</f>
        <v>#VALUE!</v>
      </c>
      <c r="G170" t="e">
        <f>RigheOfferte[[#This Row],[Q.ta'']]</f>
        <v>#VALUE!</v>
      </c>
      <c r="H170" t="e">
        <f>RigheOfferte[[#This Row],[Lavorazione]]</f>
        <v>#VALUE!</v>
      </c>
      <c r="I170" t="e">
        <f>RigheOfferte[[#This Row],[Colore]]</f>
        <v>#VALUE!</v>
      </c>
      <c r="J170" t="e">
        <f>RigheOfferte[[#This Row],[Velocità]]</f>
        <v>#VALUE!</v>
      </c>
      <c r="K170" t="e">
        <f>RigheOfferte[[#This Row],[Superf.pz Mq]]</f>
        <v>#VALUE!</v>
      </c>
      <c r="L170" t="e">
        <f>RigheOfferte[[#This Row],[passo]]</f>
        <v>#VALUE!</v>
      </c>
      <c r="M170" t="e">
        <f>RigheOfferte[[#This Row],[nr.pezzi Telaio]]</f>
        <v>#VALUE!</v>
      </c>
      <c r="N170" t="e">
        <f>RigheOfferte[[#This Row],[nr.pezzi ora-unita]]</f>
        <v>#VALUE!</v>
      </c>
      <c r="O170" t="e">
        <f>Tabella1[[#This Row],[superificie]]*Resa</f>
        <v>#VALUE!</v>
      </c>
      <c r="P170" t="e">
        <f>Tabella1[[#This Row],[KgPezzo]]*Tabella1[[#This Row],[q.ta offerta]]</f>
        <v>#VALUE!</v>
      </c>
      <c r="Q170" t="e">
        <f>RigheOfferte[[#This Row],[QtaProtez]]</f>
        <v>#VALUE!</v>
      </c>
      <c r="R170" t="e">
        <f>RigheOfferte[[#This Row],[Tipo Protezione]]</f>
        <v>#VALUE!</v>
      </c>
    </row>
    <row r="171" spans="1:18">
      <c r="A171" t="e">
        <f>RigheOfferte[[#This Row],[Nprev]]</f>
        <v>#VALUE!</v>
      </c>
      <c r="B171" t="e">
        <f>RigheOfferte[[#This Row],[Nriga]]</f>
        <v>#VALUE!</v>
      </c>
      <c r="C171" t="e">
        <f>RigheOfferte[[#This Row],[Cliente]]</f>
        <v>#VALUE!</v>
      </c>
      <c r="D171" t="e">
        <f>RigheOfferte[[#This Row],[sub_cliente]]</f>
        <v>#VALUE!</v>
      </c>
      <c r="E171" t="e">
        <f>RigheOfferte[[#This Row],[cod.Art.]]</f>
        <v>#VALUE!</v>
      </c>
      <c r="F171" t="e">
        <f>RigheOfferte[[#This Row],[Descrizione]]</f>
        <v>#VALUE!</v>
      </c>
      <c r="G171" t="e">
        <f>RigheOfferte[[#This Row],[Q.ta'']]</f>
        <v>#VALUE!</v>
      </c>
      <c r="H171" t="e">
        <f>RigheOfferte[[#This Row],[Lavorazione]]</f>
        <v>#VALUE!</v>
      </c>
      <c r="I171" t="e">
        <f>RigheOfferte[[#This Row],[Colore]]</f>
        <v>#VALUE!</v>
      </c>
      <c r="J171" t="e">
        <f>RigheOfferte[[#This Row],[Velocità]]</f>
        <v>#VALUE!</v>
      </c>
      <c r="K171" t="e">
        <f>RigheOfferte[[#This Row],[Superf.pz Mq]]</f>
        <v>#VALUE!</v>
      </c>
      <c r="L171" t="e">
        <f>RigheOfferte[[#This Row],[passo]]</f>
        <v>#VALUE!</v>
      </c>
      <c r="M171" t="e">
        <f>RigheOfferte[[#This Row],[nr.pezzi Telaio]]</f>
        <v>#VALUE!</v>
      </c>
      <c r="N171" t="e">
        <f>RigheOfferte[[#This Row],[nr.pezzi ora-unita]]</f>
        <v>#VALUE!</v>
      </c>
      <c r="O171" t="e">
        <f>Tabella1[[#This Row],[superificie]]*Resa</f>
        <v>#VALUE!</v>
      </c>
      <c r="P171" t="e">
        <f>Tabella1[[#This Row],[KgPezzo]]*Tabella1[[#This Row],[q.ta offerta]]</f>
        <v>#VALUE!</v>
      </c>
      <c r="Q171" t="e">
        <f>RigheOfferte[[#This Row],[QtaProtez]]</f>
        <v>#VALUE!</v>
      </c>
      <c r="R171" t="e">
        <f>RigheOfferte[[#This Row],[Tipo Protezione]]</f>
        <v>#VALUE!</v>
      </c>
    </row>
    <row r="172" spans="1:18">
      <c r="A172" t="e">
        <f>RigheOfferte[[#This Row],[Nprev]]</f>
        <v>#VALUE!</v>
      </c>
      <c r="B172" t="e">
        <f>RigheOfferte[[#This Row],[Nriga]]</f>
        <v>#VALUE!</v>
      </c>
      <c r="C172" t="e">
        <f>RigheOfferte[[#This Row],[Cliente]]</f>
        <v>#VALUE!</v>
      </c>
      <c r="D172" t="e">
        <f>RigheOfferte[[#This Row],[sub_cliente]]</f>
        <v>#VALUE!</v>
      </c>
      <c r="E172" t="e">
        <f>RigheOfferte[[#This Row],[cod.Art.]]</f>
        <v>#VALUE!</v>
      </c>
      <c r="F172" t="e">
        <f>RigheOfferte[[#This Row],[Descrizione]]</f>
        <v>#VALUE!</v>
      </c>
      <c r="G172" t="e">
        <f>RigheOfferte[[#This Row],[Q.ta'']]</f>
        <v>#VALUE!</v>
      </c>
      <c r="H172" t="e">
        <f>RigheOfferte[[#This Row],[Lavorazione]]</f>
        <v>#VALUE!</v>
      </c>
      <c r="I172" t="e">
        <f>RigheOfferte[[#This Row],[Colore]]</f>
        <v>#VALUE!</v>
      </c>
      <c r="J172" t="e">
        <f>RigheOfferte[[#This Row],[Velocità]]</f>
        <v>#VALUE!</v>
      </c>
      <c r="K172" t="e">
        <f>RigheOfferte[[#This Row],[Superf.pz Mq]]</f>
        <v>#VALUE!</v>
      </c>
      <c r="L172" t="e">
        <f>RigheOfferte[[#This Row],[passo]]</f>
        <v>#VALUE!</v>
      </c>
      <c r="M172" t="e">
        <f>RigheOfferte[[#This Row],[nr.pezzi Telaio]]</f>
        <v>#VALUE!</v>
      </c>
      <c r="N172" t="e">
        <f>RigheOfferte[[#This Row],[nr.pezzi ora-unita]]</f>
        <v>#VALUE!</v>
      </c>
      <c r="O172" t="e">
        <f>Tabella1[[#This Row],[superificie]]*Resa</f>
        <v>#VALUE!</v>
      </c>
      <c r="P172" t="e">
        <f>Tabella1[[#This Row],[KgPezzo]]*Tabella1[[#This Row],[q.ta offerta]]</f>
        <v>#VALUE!</v>
      </c>
      <c r="Q172" t="e">
        <f>RigheOfferte[[#This Row],[QtaProtez]]</f>
        <v>#VALUE!</v>
      </c>
      <c r="R172" t="e">
        <f>RigheOfferte[[#This Row],[Tipo Protezione]]</f>
        <v>#VALUE!</v>
      </c>
    </row>
    <row r="173" spans="1:18">
      <c r="A173" t="e">
        <f>RigheOfferte[[#This Row],[Nprev]]</f>
        <v>#VALUE!</v>
      </c>
      <c r="B173" t="e">
        <f>RigheOfferte[[#This Row],[Nriga]]</f>
        <v>#VALUE!</v>
      </c>
      <c r="C173" t="e">
        <f>RigheOfferte[[#This Row],[Cliente]]</f>
        <v>#VALUE!</v>
      </c>
      <c r="D173" t="e">
        <f>RigheOfferte[[#This Row],[sub_cliente]]</f>
        <v>#VALUE!</v>
      </c>
      <c r="E173" t="e">
        <f>RigheOfferte[[#This Row],[cod.Art.]]</f>
        <v>#VALUE!</v>
      </c>
      <c r="F173" t="e">
        <f>RigheOfferte[[#This Row],[Descrizione]]</f>
        <v>#VALUE!</v>
      </c>
      <c r="G173" t="e">
        <f>RigheOfferte[[#This Row],[Q.ta'']]</f>
        <v>#VALUE!</v>
      </c>
      <c r="H173" t="e">
        <f>RigheOfferte[[#This Row],[Lavorazione]]</f>
        <v>#VALUE!</v>
      </c>
      <c r="I173" t="e">
        <f>RigheOfferte[[#This Row],[Colore]]</f>
        <v>#VALUE!</v>
      </c>
      <c r="J173" t="e">
        <f>RigheOfferte[[#This Row],[Velocità]]</f>
        <v>#VALUE!</v>
      </c>
      <c r="K173" t="e">
        <f>RigheOfferte[[#This Row],[Superf.pz Mq]]</f>
        <v>#VALUE!</v>
      </c>
      <c r="L173" t="e">
        <f>RigheOfferte[[#This Row],[passo]]</f>
        <v>#VALUE!</v>
      </c>
      <c r="M173" t="e">
        <f>RigheOfferte[[#This Row],[nr.pezzi Telaio]]</f>
        <v>#VALUE!</v>
      </c>
      <c r="N173" t="e">
        <f>RigheOfferte[[#This Row],[nr.pezzi ora-unita]]</f>
        <v>#VALUE!</v>
      </c>
      <c r="O173" t="e">
        <f>Tabella1[[#This Row],[superificie]]*Resa</f>
        <v>#VALUE!</v>
      </c>
      <c r="P173" t="e">
        <f>Tabella1[[#This Row],[KgPezzo]]*Tabella1[[#This Row],[q.ta offerta]]</f>
        <v>#VALUE!</v>
      </c>
      <c r="Q173" t="e">
        <f>RigheOfferte[[#This Row],[QtaProtez]]</f>
        <v>#VALUE!</v>
      </c>
      <c r="R173" t="e">
        <f>RigheOfferte[[#This Row],[Tipo Protezione]]</f>
        <v>#VALUE!</v>
      </c>
    </row>
    <row r="174" spans="1:18">
      <c r="A174" t="e">
        <f>RigheOfferte[[#This Row],[Nprev]]</f>
        <v>#VALUE!</v>
      </c>
      <c r="B174" t="e">
        <f>RigheOfferte[[#This Row],[Nriga]]</f>
        <v>#VALUE!</v>
      </c>
      <c r="C174" t="e">
        <f>RigheOfferte[[#This Row],[Cliente]]</f>
        <v>#VALUE!</v>
      </c>
      <c r="D174" t="e">
        <f>RigheOfferte[[#This Row],[sub_cliente]]</f>
        <v>#VALUE!</v>
      </c>
      <c r="E174" t="e">
        <f>RigheOfferte[[#This Row],[cod.Art.]]</f>
        <v>#VALUE!</v>
      </c>
      <c r="F174" t="e">
        <f>RigheOfferte[[#This Row],[Descrizione]]</f>
        <v>#VALUE!</v>
      </c>
      <c r="G174" t="e">
        <f>RigheOfferte[[#This Row],[Q.ta'']]</f>
        <v>#VALUE!</v>
      </c>
      <c r="H174" t="e">
        <f>RigheOfferte[[#This Row],[Lavorazione]]</f>
        <v>#VALUE!</v>
      </c>
      <c r="I174" t="e">
        <f>RigheOfferte[[#This Row],[Colore]]</f>
        <v>#VALUE!</v>
      </c>
      <c r="J174" t="e">
        <f>RigheOfferte[[#This Row],[Velocità]]</f>
        <v>#VALUE!</v>
      </c>
      <c r="K174" t="e">
        <f>RigheOfferte[[#This Row],[Superf.pz Mq]]</f>
        <v>#VALUE!</v>
      </c>
      <c r="L174" t="e">
        <f>RigheOfferte[[#This Row],[passo]]</f>
        <v>#VALUE!</v>
      </c>
      <c r="M174" t="e">
        <f>RigheOfferte[[#This Row],[nr.pezzi Telaio]]</f>
        <v>#VALUE!</v>
      </c>
      <c r="N174" t="e">
        <f>RigheOfferte[[#This Row],[nr.pezzi ora-unita]]</f>
        <v>#VALUE!</v>
      </c>
      <c r="O174" t="e">
        <f>Tabella1[[#This Row],[superificie]]*Resa</f>
        <v>#VALUE!</v>
      </c>
      <c r="P174" t="e">
        <f>Tabella1[[#This Row],[KgPezzo]]*Tabella1[[#This Row],[q.ta offerta]]</f>
        <v>#VALUE!</v>
      </c>
      <c r="Q174" t="e">
        <f>RigheOfferte[[#This Row],[QtaProtez]]</f>
        <v>#VALUE!</v>
      </c>
      <c r="R174" t="e">
        <f>RigheOfferte[[#This Row],[Tipo Protezione]]</f>
        <v>#VALUE!</v>
      </c>
    </row>
    <row r="175" spans="1:18">
      <c r="A175" t="e">
        <f>RigheOfferte[[#This Row],[Nprev]]</f>
        <v>#VALUE!</v>
      </c>
      <c r="B175" t="e">
        <f>RigheOfferte[[#This Row],[Nriga]]</f>
        <v>#VALUE!</v>
      </c>
      <c r="C175" t="e">
        <f>RigheOfferte[[#This Row],[Cliente]]</f>
        <v>#VALUE!</v>
      </c>
      <c r="D175" t="e">
        <f>RigheOfferte[[#This Row],[sub_cliente]]</f>
        <v>#VALUE!</v>
      </c>
      <c r="E175" t="e">
        <f>RigheOfferte[[#This Row],[cod.Art.]]</f>
        <v>#VALUE!</v>
      </c>
      <c r="F175" t="e">
        <f>RigheOfferte[[#This Row],[Descrizione]]</f>
        <v>#VALUE!</v>
      </c>
      <c r="G175" t="e">
        <f>RigheOfferte[[#This Row],[Q.ta'']]</f>
        <v>#VALUE!</v>
      </c>
      <c r="H175" t="e">
        <f>RigheOfferte[[#This Row],[Lavorazione]]</f>
        <v>#VALUE!</v>
      </c>
      <c r="I175" t="e">
        <f>RigheOfferte[[#This Row],[Colore]]</f>
        <v>#VALUE!</v>
      </c>
      <c r="J175" t="e">
        <f>RigheOfferte[[#This Row],[Velocità]]</f>
        <v>#VALUE!</v>
      </c>
      <c r="K175" t="e">
        <f>RigheOfferte[[#This Row],[Superf.pz Mq]]</f>
        <v>#VALUE!</v>
      </c>
      <c r="L175" t="e">
        <f>RigheOfferte[[#This Row],[passo]]</f>
        <v>#VALUE!</v>
      </c>
      <c r="M175" t="e">
        <f>RigheOfferte[[#This Row],[nr.pezzi Telaio]]</f>
        <v>#VALUE!</v>
      </c>
      <c r="N175" t="e">
        <f>RigheOfferte[[#This Row],[nr.pezzi ora-unita]]</f>
        <v>#VALUE!</v>
      </c>
      <c r="O175" t="e">
        <f>Tabella1[[#This Row],[superificie]]*Resa</f>
        <v>#VALUE!</v>
      </c>
      <c r="P175" t="e">
        <f>Tabella1[[#This Row],[KgPezzo]]*Tabella1[[#This Row],[q.ta offerta]]</f>
        <v>#VALUE!</v>
      </c>
      <c r="Q175" t="e">
        <f>RigheOfferte[[#This Row],[QtaProtez]]</f>
        <v>#VALUE!</v>
      </c>
      <c r="R175" t="e">
        <f>RigheOfferte[[#This Row],[Tipo Protezione]]</f>
        <v>#VALUE!</v>
      </c>
    </row>
    <row r="176" spans="1:18">
      <c r="A176" t="e">
        <f>RigheOfferte[[#This Row],[Nprev]]</f>
        <v>#VALUE!</v>
      </c>
      <c r="B176" t="e">
        <f>RigheOfferte[[#This Row],[Nriga]]</f>
        <v>#VALUE!</v>
      </c>
      <c r="C176" t="e">
        <f>RigheOfferte[[#This Row],[Cliente]]</f>
        <v>#VALUE!</v>
      </c>
      <c r="D176" t="e">
        <f>RigheOfferte[[#This Row],[sub_cliente]]</f>
        <v>#VALUE!</v>
      </c>
      <c r="E176" t="e">
        <f>RigheOfferte[[#This Row],[cod.Art.]]</f>
        <v>#VALUE!</v>
      </c>
      <c r="F176" t="e">
        <f>RigheOfferte[[#This Row],[Descrizione]]</f>
        <v>#VALUE!</v>
      </c>
      <c r="G176" t="e">
        <f>RigheOfferte[[#This Row],[Q.ta'']]</f>
        <v>#VALUE!</v>
      </c>
      <c r="H176" t="e">
        <f>RigheOfferte[[#This Row],[Lavorazione]]</f>
        <v>#VALUE!</v>
      </c>
      <c r="I176" t="e">
        <f>RigheOfferte[[#This Row],[Colore]]</f>
        <v>#VALUE!</v>
      </c>
      <c r="J176" t="e">
        <f>RigheOfferte[[#This Row],[Velocità]]</f>
        <v>#VALUE!</v>
      </c>
      <c r="K176" t="e">
        <f>RigheOfferte[[#This Row],[Superf.pz Mq]]</f>
        <v>#VALUE!</v>
      </c>
      <c r="L176" t="e">
        <f>RigheOfferte[[#This Row],[passo]]</f>
        <v>#VALUE!</v>
      </c>
      <c r="M176" t="e">
        <f>RigheOfferte[[#This Row],[nr.pezzi Telaio]]</f>
        <v>#VALUE!</v>
      </c>
      <c r="N176" t="e">
        <f>RigheOfferte[[#This Row],[nr.pezzi ora-unita]]</f>
        <v>#VALUE!</v>
      </c>
      <c r="O176" t="e">
        <f>Tabella1[[#This Row],[superificie]]*Resa</f>
        <v>#VALUE!</v>
      </c>
      <c r="P176" t="e">
        <f>Tabella1[[#This Row],[KgPezzo]]*Tabella1[[#This Row],[q.ta offerta]]</f>
        <v>#VALUE!</v>
      </c>
      <c r="Q176" t="e">
        <f>RigheOfferte[[#This Row],[QtaProtez]]</f>
        <v>#VALUE!</v>
      </c>
      <c r="R176" t="e">
        <f>RigheOfferte[[#This Row],[Tipo Protezione]]</f>
        <v>#VALUE!</v>
      </c>
    </row>
    <row r="177" spans="1:18">
      <c r="A177" t="e">
        <f>RigheOfferte[[#This Row],[Nprev]]</f>
        <v>#VALUE!</v>
      </c>
      <c r="B177" t="e">
        <f>RigheOfferte[[#This Row],[Nriga]]</f>
        <v>#VALUE!</v>
      </c>
      <c r="C177" t="e">
        <f>RigheOfferte[[#This Row],[Cliente]]</f>
        <v>#VALUE!</v>
      </c>
      <c r="D177" t="e">
        <f>RigheOfferte[[#This Row],[sub_cliente]]</f>
        <v>#VALUE!</v>
      </c>
      <c r="E177" t="e">
        <f>RigheOfferte[[#This Row],[cod.Art.]]</f>
        <v>#VALUE!</v>
      </c>
      <c r="F177" t="e">
        <f>RigheOfferte[[#This Row],[Descrizione]]</f>
        <v>#VALUE!</v>
      </c>
      <c r="G177" t="e">
        <f>RigheOfferte[[#This Row],[Q.ta'']]</f>
        <v>#VALUE!</v>
      </c>
      <c r="H177" t="e">
        <f>RigheOfferte[[#This Row],[Lavorazione]]</f>
        <v>#VALUE!</v>
      </c>
      <c r="I177" t="e">
        <f>RigheOfferte[[#This Row],[Colore]]</f>
        <v>#VALUE!</v>
      </c>
      <c r="J177" t="e">
        <f>RigheOfferte[[#This Row],[Velocità]]</f>
        <v>#VALUE!</v>
      </c>
      <c r="K177" t="e">
        <f>RigheOfferte[[#This Row],[Superf.pz Mq]]</f>
        <v>#VALUE!</v>
      </c>
      <c r="L177" t="e">
        <f>RigheOfferte[[#This Row],[passo]]</f>
        <v>#VALUE!</v>
      </c>
      <c r="M177" t="e">
        <f>RigheOfferte[[#This Row],[nr.pezzi Telaio]]</f>
        <v>#VALUE!</v>
      </c>
      <c r="N177" t="e">
        <f>RigheOfferte[[#This Row],[nr.pezzi ora-unita]]</f>
        <v>#VALUE!</v>
      </c>
      <c r="O177" t="e">
        <f>Tabella1[[#This Row],[superificie]]*Resa</f>
        <v>#VALUE!</v>
      </c>
      <c r="P177" t="e">
        <f>Tabella1[[#This Row],[KgPezzo]]*Tabella1[[#This Row],[q.ta offerta]]</f>
        <v>#VALUE!</v>
      </c>
      <c r="Q177" t="e">
        <f>RigheOfferte[[#This Row],[QtaProtez]]</f>
        <v>#VALUE!</v>
      </c>
      <c r="R177" t="e">
        <f>RigheOfferte[[#This Row],[Tipo Protezione]]</f>
        <v>#VALUE!</v>
      </c>
    </row>
    <row r="178" spans="1:18">
      <c r="A178" t="e">
        <f>RigheOfferte[[#This Row],[Nprev]]</f>
        <v>#VALUE!</v>
      </c>
      <c r="B178" t="e">
        <f>RigheOfferte[[#This Row],[Nriga]]</f>
        <v>#VALUE!</v>
      </c>
      <c r="C178" t="e">
        <f>RigheOfferte[[#This Row],[Cliente]]</f>
        <v>#VALUE!</v>
      </c>
      <c r="D178" t="e">
        <f>RigheOfferte[[#This Row],[sub_cliente]]</f>
        <v>#VALUE!</v>
      </c>
      <c r="E178" t="e">
        <f>RigheOfferte[[#This Row],[cod.Art.]]</f>
        <v>#VALUE!</v>
      </c>
      <c r="F178" t="e">
        <f>RigheOfferte[[#This Row],[Descrizione]]</f>
        <v>#VALUE!</v>
      </c>
      <c r="G178" t="e">
        <f>RigheOfferte[[#This Row],[Q.ta'']]</f>
        <v>#VALUE!</v>
      </c>
      <c r="H178" t="e">
        <f>RigheOfferte[[#This Row],[Lavorazione]]</f>
        <v>#VALUE!</v>
      </c>
      <c r="I178" t="e">
        <f>RigheOfferte[[#This Row],[Colore]]</f>
        <v>#VALUE!</v>
      </c>
      <c r="J178" t="e">
        <f>RigheOfferte[[#This Row],[Velocità]]</f>
        <v>#VALUE!</v>
      </c>
      <c r="K178" t="e">
        <f>RigheOfferte[[#This Row],[Superf.pz Mq]]</f>
        <v>#VALUE!</v>
      </c>
      <c r="L178" t="e">
        <f>RigheOfferte[[#This Row],[passo]]</f>
        <v>#VALUE!</v>
      </c>
      <c r="M178" t="e">
        <f>RigheOfferte[[#This Row],[nr.pezzi Telaio]]</f>
        <v>#VALUE!</v>
      </c>
      <c r="N178" t="e">
        <f>RigheOfferte[[#This Row],[nr.pezzi ora-unita]]</f>
        <v>#VALUE!</v>
      </c>
      <c r="O178" t="e">
        <f>Tabella1[[#This Row],[superificie]]*Resa</f>
        <v>#VALUE!</v>
      </c>
      <c r="P178" t="e">
        <f>Tabella1[[#This Row],[KgPezzo]]*Tabella1[[#This Row],[q.ta offerta]]</f>
        <v>#VALUE!</v>
      </c>
      <c r="Q178" t="e">
        <f>RigheOfferte[[#This Row],[QtaProtez]]</f>
        <v>#VALUE!</v>
      </c>
      <c r="R178" t="e">
        <f>RigheOfferte[[#This Row],[Tipo Protezione]]</f>
        <v>#VALUE!</v>
      </c>
    </row>
    <row r="179" spans="1:18">
      <c r="A179" t="e">
        <f>RigheOfferte[[#This Row],[Nprev]]</f>
        <v>#VALUE!</v>
      </c>
      <c r="B179" t="e">
        <f>RigheOfferte[[#This Row],[Nriga]]</f>
        <v>#VALUE!</v>
      </c>
      <c r="C179" t="e">
        <f>RigheOfferte[[#This Row],[Cliente]]</f>
        <v>#VALUE!</v>
      </c>
      <c r="D179" t="e">
        <f>RigheOfferte[[#This Row],[sub_cliente]]</f>
        <v>#VALUE!</v>
      </c>
      <c r="E179" t="e">
        <f>RigheOfferte[[#This Row],[cod.Art.]]</f>
        <v>#VALUE!</v>
      </c>
      <c r="F179" t="e">
        <f>RigheOfferte[[#This Row],[Descrizione]]</f>
        <v>#VALUE!</v>
      </c>
      <c r="G179" t="e">
        <f>RigheOfferte[[#This Row],[Q.ta'']]</f>
        <v>#VALUE!</v>
      </c>
      <c r="H179" t="e">
        <f>RigheOfferte[[#This Row],[Lavorazione]]</f>
        <v>#VALUE!</v>
      </c>
      <c r="I179" t="e">
        <f>RigheOfferte[[#This Row],[Colore]]</f>
        <v>#VALUE!</v>
      </c>
      <c r="J179" t="e">
        <f>RigheOfferte[[#This Row],[Velocità]]</f>
        <v>#VALUE!</v>
      </c>
      <c r="K179" t="e">
        <f>RigheOfferte[[#This Row],[Superf.pz Mq]]</f>
        <v>#VALUE!</v>
      </c>
      <c r="L179" t="e">
        <f>RigheOfferte[[#This Row],[passo]]</f>
        <v>#VALUE!</v>
      </c>
      <c r="M179" t="e">
        <f>RigheOfferte[[#This Row],[nr.pezzi Telaio]]</f>
        <v>#VALUE!</v>
      </c>
      <c r="N179" t="e">
        <f>RigheOfferte[[#This Row],[nr.pezzi ora-unita]]</f>
        <v>#VALUE!</v>
      </c>
      <c r="O179" t="e">
        <f>Tabella1[[#This Row],[superificie]]*Resa</f>
        <v>#VALUE!</v>
      </c>
      <c r="P179" t="e">
        <f>Tabella1[[#This Row],[KgPezzo]]*Tabella1[[#This Row],[q.ta offerta]]</f>
        <v>#VALUE!</v>
      </c>
      <c r="Q179" t="e">
        <f>RigheOfferte[[#This Row],[QtaProtez]]</f>
        <v>#VALUE!</v>
      </c>
      <c r="R179" t="e">
        <f>RigheOfferte[[#This Row],[Tipo Protezione]]</f>
        <v>#VALUE!</v>
      </c>
    </row>
    <row r="180" spans="1:18">
      <c r="A180" t="e">
        <f>RigheOfferte[[#This Row],[Nprev]]</f>
        <v>#VALUE!</v>
      </c>
      <c r="B180" t="e">
        <f>RigheOfferte[[#This Row],[Nriga]]</f>
        <v>#VALUE!</v>
      </c>
      <c r="C180" t="e">
        <f>RigheOfferte[[#This Row],[Cliente]]</f>
        <v>#VALUE!</v>
      </c>
      <c r="D180" t="e">
        <f>RigheOfferte[[#This Row],[sub_cliente]]</f>
        <v>#VALUE!</v>
      </c>
      <c r="E180" t="e">
        <f>RigheOfferte[[#This Row],[cod.Art.]]</f>
        <v>#VALUE!</v>
      </c>
      <c r="F180" t="e">
        <f>RigheOfferte[[#This Row],[Descrizione]]</f>
        <v>#VALUE!</v>
      </c>
      <c r="G180" t="e">
        <f>RigheOfferte[[#This Row],[Q.ta'']]</f>
        <v>#VALUE!</v>
      </c>
      <c r="H180" t="e">
        <f>RigheOfferte[[#This Row],[Lavorazione]]</f>
        <v>#VALUE!</v>
      </c>
      <c r="I180" t="e">
        <f>RigheOfferte[[#This Row],[Colore]]</f>
        <v>#VALUE!</v>
      </c>
      <c r="J180" t="e">
        <f>RigheOfferte[[#This Row],[Velocità]]</f>
        <v>#VALUE!</v>
      </c>
      <c r="K180" t="e">
        <f>RigheOfferte[[#This Row],[Superf.pz Mq]]</f>
        <v>#VALUE!</v>
      </c>
      <c r="L180" t="e">
        <f>RigheOfferte[[#This Row],[passo]]</f>
        <v>#VALUE!</v>
      </c>
      <c r="M180" t="e">
        <f>RigheOfferte[[#This Row],[nr.pezzi Telaio]]</f>
        <v>#VALUE!</v>
      </c>
      <c r="N180" t="e">
        <f>RigheOfferte[[#This Row],[nr.pezzi ora-unita]]</f>
        <v>#VALUE!</v>
      </c>
      <c r="O180" t="e">
        <f>Tabella1[[#This Row],[superificie]]*Resa</f>
        <v>#VALUE!</v>
      </c>
      <c r="P180" t="e">
        <f>Tabella1[[#This Row],[KgPezzo]]*Tabella1[[#This Row],[q.ta offerta]]</f>
        <v>#VALUE!</v>
      </c>
      <c r="Q180" t="e">
        <f>RigheOfferte[[#This Row],[QtaProtez]]</f>
        <v>#VALUE!</v>
      </c>
      <c r="R180" t="e">
        <f>RigheOfferte[[#This Row],[Tipo Protezione]]</f>
        <v>#VALUE!</v>
      </c>
    </row>
    <row r="181" spans="1:18">
      <c r="A181" t="e">
        <f>RigheOfferte[[#This Row],[Nprev]]</f>
        <v>#VALUE!</v>
      </c>
      <c r="B181" t="e">
        <f>RigheOfferte[[#This Row],[Nriga]]</f>
        <v>#VALUE!</v>
      </c>
      <c r="C181" t="e">
        <f>RigheOfferte[[#This Row],[Cliente]]</f>
        <v>#VALUE!</v>
      </c>
      <c r="D181" t="e">
        <f>RigheOfferte[[#This Row],[sub_cliente]]</f>
        <v>#VALUE!</v>
      </c>
      <c r="E181" t="e">
        <f>RigheOfferte[[#This Row],[cod.Art.]]</f>
        <v>#VALUE!</v>
      </c>
      <c r="F181" t="e">
        <f>RigheOfferte[[#This Row],[Descrizione]]</f>
        <v>#VALUE!</v>
      </c>
      <c r="G181" t="e">
        <f>RigheOfferte[[#This Row],[Q.ta'']]</f>
        <v>#VALUE!</v>
      </c>
      <c r="H181" t="e">
        <f>RigheOfferte[[#This Row],[Lavorazione]]</f>
        <v>#VALUE!</v>
      </c>
      <c r="I181" t="e">
        <f>RigheOfferte[[#This Row],[Colore]]</f>
        <v>#VALUE!</v>
      </c>
      <c r="J181" t="e">
        <f>RigheOfferte[[#This Row],[Velocità]]</f>
        <v>#VALUE!</v>
      </c>
      <c r="K181" t="e">
        <f>RigheOfferte[[#This Row],[Superf.pz Mq]]</f>
        <v>#VALUE!</v>
      </c>
      <c r="L181" t="e">
        <f>RigheOfferte[[#This Row],[passo]]</f>
        <v>#VALUE!</v>
      </c>
      <c r="M181" t="e">
        <f>RigheOfferte[[#This Row],[nr.pezzi Telaio]]</f>
        <v>#VALUE!</v>
      </c>
      <c r="N181" t="e">
        <f>RigheOfferte[[#This Row],[nr.pezzi ora-unita]]</f>
        <v>#VALUE!</v>
      </c>
      <c r="O181" t="e">
        <f>Tabella1[[#This Row],[superificie]]*Resa</f>
        <v>#VALUE!</v>
      </c>
      <c r="P181" t="e">
        <f>Tabella1[[#This Row],[KgPezzo]]*Tabella1[[#This Row],[q.ta offerta]]</f>
        <v>#VALUE!</v>
      </c>
      <c r="Q181" t="e">
        <f>RigheOfferte[[#This Row],[QtaProtez]]</f>
        <v>#VALUE!</v>
      </c>
      <c r="R181" t="e">
        <f>RigheOfferte[[#This Row],[Tipo Protezione]]</f>
        <v>#VALUE!</v>
      </c>
    </row>
    <row r="182" spans="1:18">
      <c r="A182" t="e">
        <f>RigheOfferte[[#This Row],[Nprev]]</f>
        <v>#VALUE!</v>
      </c>
      <c r="B182" t="e">
        <f>RigheOfferte[[#This Row],[Nriga]]</f>
        <v>#VALUE!</v>
      </c>
      <c r="C182" t="e">
        <f>RigheOfferte[[#This Row],[Cliente]]</f>
        <v>#VALUE!</v>
      </c>
      <c r="D182" t="e">
        <f>RigheOfferte[[#This Row],[sub_cliente]]</f>
        <v>#VALUE!</v>
      </c>
      <c r="E182" t="e">
        <f>RigheOfferte[[#This Row],[cod.Art.]]</f>
        <v>#VALUE!</v>
      </c>
      <c r="F182" t="e">
        <f>RigheOfferte[[#This Row],[Descrizione]]</f>
        <v>#VALUE!</v>
      </c>
      <c r="G182" t="e">
        <f>RigheOfferte[[#This Row],[Q.ta'']]</f>
        <v>#VALUE!</v>
      </c>
      <c r="H182" t="e">
        <f>RigheOfferte[[#This Row],[Lavorazione]]</f>
        <v>#VALUE!</v>
      </c>
      <c r="I182" t="e">
        <f>RigheOfferte[[#This Row],[Colore]]</f>
        <v>#VALUE!</v>
      </c>
      <c r="J182" t="e">
        <f>RigheOfferte[[#This Row],[Velocità]]</f>
        <v>#VALUE!</v>
      </c>
      <c r="K182" t="e">
        <f>RigheOfferte[[#This Row],[Superf.pz Mq]]</f>
        <v>#VALUE!</v>
      </c>
      <c r="L182" t="e">
        <f>RigheOfferte[[#This Row],[passo]]</f>
        <v>#VALUE!</v>
      </c>
      <c r="M182" t="e">
        <f>RigheOfferte[[#This Row],[nr.pezzi Telaio]]</f>
        <v>#VALUE!</v>
      </c>
      <c r="N182" t="e">
        <f>RigheOfferte[[#This Row],[nr.pezzi ora-unita]]</f>
        <v>#VALUE!</v>
      </c>
      <c r="O182" t="e">
        <f>Tabella1[[#This Row],[superificie]]*Resa</f>
        <v>#VALUE!</v>
      </c>
      <c r="P182" t="e">
        <f>Tabella1[[#This Row],[KgPezzo]]*Tabella1[[#This Row],[q.ta offerta]]</f>
        <v>#VALUE!</v>
      </c>
      <c r="Q182" t="e">
        <f>RigheOfferte[[#This Row],[QtaProtez]]</f>
        <v>#VALUE!</v>
      </c>
      <c r="R182" t="e">
        <f>RigheOfferte[[#This Row],[Tipo Protezione]]</f>
        <v>#VALUE!</v>
      </c>
    </row>
    <row r="183" spans="1:18">
      <c r="A183" t="e">
        <f>RigheOfferte[[#This Row],[Nprev]]</f>
        <v>#VALUE!</v>
      </c>
      <c r="B183" t="e">
        <f>RigheOfferte[[#This Row],[Nriga]]</f>
        <v>#VALUE!</v>
      </c>
      <c r="C183" t="e">
        <f>RigheOfferte[[#This Row],[Cliente]]</f>
        <v>#VALUE!</v>
      </c>
      <c r="D183" t="e">
        <f>RigheOfferte[[#This Row],[sub_cliente]]</f>
        <v>#VALUE!</v>
      </c>
      <c r="E183" t="e">
        <f>RigheOfferte[[#This Row],[cod.Art.]]</f>
        <v>#VALUE!</v>
      </c>
      <c r="F183" t="e">
        <f>RigheOfferte[[#This Row],[Descrizione]]</f>
        <v>#VALUE!</v>
      </c>
      <c r="G183" t="e">
        <f>RigheOfferte[[#This Row],[Q.ta'']]</f>
        <v>#VALUE!</v>
      </c>
      <c r="H183" t="e">
        <f>RigheOfferte[[#This Row],[Lavorazione]]</f>
        <v>#VALUE!</v>
      </c>
      <c r="I183" t="e">
        <f>RigheOfferte[[#This Row],[Colore]]</f>
        <v>#VALUE!</v>
      </c>
      <c r="J183" t="e">
        <f>RigheOfferte[[#This Row],[Velocità]]</f>
        <v>#VALUE!</v>
      </c>
      <c r="K183" t="e">
        <f>RigheOfferte[[#This Row],[Superf.pz Mq]]</f>
        <v>#VALUE!</v>
      </c>
      <c r="L183" t="e">
        <f>RigheOfferte[[#This Row],[passo]]</f>
        <v>#VALUE!</v>
      </c>
      <c r="M183" t="e">
        <f>RigheOfferte[[#This Row],[nr.pezzi Telaio]]</f>
        <v>#VALUE!</v>
      </c>
      <c r="N183" t="e">
        <f>RigheOfferte[[#This Row],[nr.pezzi ora-unita]]</f>
        <v>#VALUE!</v>
      </c>
      <c r="O183" t="e">
        <f>Tabella1[[#This Row],[superificie]]*Resa</f>
        <v>#VALUE!</v>
      </c>
      <c r="P183" t="e">
        <f>Tabella1[[#This Row],[KgPezzo]]*Tabella1[[#This Row],[q.ta offerta]]</f>
        <v>#VALUE!</v>
      </c>
      <c r="Q183" t="e">
        <f>RigheOfferte[[#This Row],[QtaProtez]]</f>
        <v>#VALUE!</v>
      </c>
      <c r="R183" t="e">
        <f>RigheOfferte[[#This Row],[Tipo Protezione]]</f>
        <v>#VALUE!</v>
      </c>
    </row>
    <row r="184" spans="1:18">
      <c r="A184" t="e">
        <f>RigheOfferte[[#This Row],[Nprev]]</f>
        <v>#VALUE!</v>
      </c>
      <c r="B184" t="e">
        <f>RigheOfferte[[#This Row],[Nriga]]</f>
        <v>#VALUE!</v>
      </c>
      <c r="C184" t="e">
        <f>RigheOfferte[[#This Row],[Cliente]]</f>
        <v>#VALUE!</v>
      </c>
      <c r="D184" t="e">
        <f>RigheOfferte[[#This Row],[sub_cliente]]</f>
        <v>#VALUE!</v>
      </c>
      <c r="E184" t="e">
        <f>RigheOfferte[[#This Row],[cod.Art.]]</f>
        <v>#VALUE!</v>
      </c>
      <c r="F184" t="e">
        <f>RigheOfferte[[#This Row],[Descrizione]]</f>
        <v>#VALUE!</v>
      </c>
      <c r="G184" t="e">
        <f>RigheOfferte[[#This Row],[Q.ta'']]</f>
        <v>#VALUE!</v>
      </c>
      <c r="H184" t="e">
        <f>RigheOfferte[[#This Row],[Lavorazione]]</f>
        <v>#VALUE!</v>
      </c>
      <c r="I184" t="e">
        <f>RigheOfferte[[#This Row],[Colore]]</f>
        <v>#VALUE!</v>
      </c>
      <c r="J184" t="e">
        <f>RigheOfferte[[#This Row],[Velocità]]</f>
        <v>#VALUE!</v>
      </c>
      <c r="K184" t="e">
        <f>RigheOfferte[[#This Row],[Superf.pz Mq]]</f>
        <v>#VALUE!</v>
      </c>
      <c r="L184" t="e">
        <f>RigheOfferte[[#This Row],[passo]]</f>
        <v>#VALUE!</v>
      </c>
      <c r="M184" t="e">
        <f>RigheOfferte[[#This Row],[nr.pezzi Telaio]]</f>
        <v>#VALUE!</v>
      </c>
      <c r="N184" t="e">
        <f>RigheOfferte[[#This Row],[nr.pezzi ora-unita]]</f>
        <v>#VALUE!</v>
      </c>
      <c r="O184" t="e">
        <f>Tabella1[[#This Row],[superificie]]*Resa</f>
        <v>#VALUE!</v>
      </c>
      <c r="P184" t="e">
        <f>Tabella1[[#This Row],[KgPezzo]]*Tabella1[[#This Row],[q.ta offerta]]</f>
        <v>#VALUE!</v>
      </c>
      <c r="Q184" t="e">
        <f>RigheOfferte[[#This Row],[QtaProtez]]</f>
        <v>#VALUE!</v>
      </c>
      <c r="R184" t="e">
        <f>RigheOfferte[[#This Row],[Tipo Protezione]]</f>
        <v>#VALUE!</v>
      </c>
    </row>
    <row r="185" spans="1:18">
      <c r="A185" t="e">
        <f>RigheOfferte[[#This Row],[Nprev]]</f>
        <v>#VALUE!</v>
      </c>
      <c r="B185" t="e">
        <f>RigheOfferte[[#This Row],[Nriga]]</f>
        <v>#VALUE!</v>
      </c>
      <c r="C185" t="e">
        <f>RigheOfferte[[#This Row],[Cliente]]</f>
        <v>#VALUE!</v>
      </c>
      <c r="D185" t="e">
        <f>RigheOfferte[[#This Row],[sub_cliente]]</f>
        <v>#VALUE!</v>
      </c>
      <c r="E185" t="e">
        <f>RigheOfferte[[#This Row],[cod.Art.]]</f>
        <v>#VALUE!</v>
      </c>
      <c r="F185" t="e">
        <f>RigheOfferte[[#This Row],[Descrizione]]</f>
        <v>#VALUE!</v>
      </c>
      <c r="G185" t="e">
        <f>RigheOfferte[[#This Row],[Q.ta'']]</f>
        <v>#VALUE!</v>
      </c>
      <c r="H185" t="e">
        <f>RigheOfferte[[#This Row],[Lavorazione]]</f>
        <v>#VALUE!</v>
      </c>
      <c r="I185" t="e">
        <f>RigheOfferte[[#This Row],[Colore]]</f>
        <v>#VALUE!</v>
      </c>
      <c r="J185" t="e">
        <f>RigheOfferte[[#This Row],[Velocità]]</f>
        <v>#VALUE!</v>
      </c>
      <c r="K185" t="e">
        <f>RigheOfferte[[#This Row],[Superf.pz Mq]]</f>
        <v>#VALUE!</v>
      </c>
      <c r="L185" t="e">
        <f>RigheOfferte[[#This Row],[passo]]</f>
        <v>#VALUE!</v>
      </c>
      <c r="M185" t="e">
        <f>RigheOfferte[[#This Row],[nr.pezzi Telaio]]</f>
        <v>#VALUE!</v>
      </c>
      <c r="N185" t="e">
        <f>RigheOfferte[[#This Row],[nr.pezzi ora-unita]]</f>
        <v>#VALUE!</v>
      </c>
      <c r="O185" t="e">
        <f>Tabella1[[#This Row],[superificie]]*Resa</f>
        <v>#VALUE!</v>
      </c>
      <c r="P185" t="e">
        <f>Tabella1[[#This Row],[KgPezzo]]*Tabella1[[#This Row],[q.ta offerta]]</f>
        <v>#VALUE!</v>
      </c>
      <c r="Q185" t="e">
        <f>RigheOfferte[[#This Row],[QtaProtez]]</f>
        <v>#VALUE!</v>
      </c>
      <c r="R185" t="e">
        <f>RigheOfferte[[#This Row],[Tipo Protezione]]</f>
        <v>#VALUE!</v>
      </c>
    </row>
    <row r="186" spans="1:18">
      <c r="A186" t="e">
        <f>RigheOfferte[[#This Row],[Nprev]]</f>
        <v>#VALUE!</v>
      </c>
      <c r="B186" t="e">
        <f>RigheOfferte[[#This Row],[Nriga]]</f>
        <v>#VALUE!</v>
      </c>
      <c r="C186" t="e">
        <f>RigheOfferte[[#This Row],[Cliente]]</f>
        <v>#VALUE!</v>
      </c>
      <c r="D186" t="e">
        <f>RigheOfferte[[#This Row],[sub_cliente]]</f>
        <v>#VALUE!</v>
      </c>
      <c r="E186" t="e">
        <f>RigheOfferte[[#This Row],[cod.Art.]]</f>
        <v>#VALUE!</v>
      </c>
      <c r="F186" t="e">
        <f>RigheOfferte[[#This Row],[Descrizione]]</f>
        <v>#VALUE!</v>
      </c>
      <c r="G186" t="e">
        <f>RigheOfferte[[#This Row],[Q.ta'']]</f>
        <v>#VALUE!</v>
      </c>
      <c r="H186" t="e">
        <f>RigheOfferte[[#This Row],[Lavorazione]]</f>
        <v>#VALUE!</v>
      </c>
      <c r="I186" t="e">
        <f>RigheOfferte[[#This Row],[Colore]]</f>
        <v>#VALUE!</v>
      </c>
      <c r="J186" t="e">
        <f>RigheOfferte[[#This Row],[Velocità]]</f>
        <v>#VALUE!</v>
      </c>
      <c r="K186" t="e">
        <f>RigheOfferte[[#This Row],[Superf.pz Mq]]</f>
        <v>#VALUE!</v>
      </c>
      <c r="L186" t="e">
        <f>RigheOfferte[[#This Row],[passo]]</f>
        <v>#VALUE!</v>
      </c>
      <c r="M186" t="e">
        <f>RigheOfferte[[#This Row],[nr.pezzi Telaio]]</f>
        <v>#VALUE!</v>
      </c>
      <c r="N186" t="e">
        <f>RigheOfferte[[#This Row],[nr.pezzi ora-unita]]</f>
        <v>#VALUE!</v>
      </c>
      <c r="O186" t="e">
        <f>Tabella1[[#This Row],[superificie]]*Resa</f>
        <v>#VALUE!</v>
      </c>
      <c r="P186" t="e">
        <f>Tabella1[[#This Row],[KgPezzo]]*Tabella1[[#This Row],[q.ta offerta]]</f>
        <v>#VALUE!</v>
      </c>
      <c r="Q186" t="e">
        <f>RigheOfferte[[#This Row],[QtaProtez]]</f>
        <v>#VALUE!</v>
      </c>
      <c r="R186" t="e">
        <f>RigheOfferte[[#This Row],[Tipo Protezione]]</f>
        <v>#VALUE!</v>
      </c>
    </row>
    <row r="187" spans="1:18">
      <c r="A187" t="e">
        <f>RigheOfferte[[#This Row],[Nprev]]</f>
        <v>#VALUE!</v>
      </c>
      <c r="B187" t="e">
        <f>RigheOfferte[[#This Row],[Nriga]]</f>
        <v>#VALUE!</v>
      </c>
      <c r="C187" t="e">
        <f>RigheOfferte[[#This Row],[Cliente]]</f>
        <v>#VALUE!</v>
      </c>
      <c r="D187" t="e">
        <f>RigheOfferte[[#This Row],[sub_cliente]]</f>
        <v>#VALUE!</v>
      </c>
      <c r="E187" t="e">
        <f>RigheOfferte[[#This Row],[cod.Art.]]</f>
        <v>#VALUE!</v>
      </c>
      <c r="F187" t="e">
        <f>RigheOfferte[[#This Row],[Descrizione]]</f>
        <v>#VALUE!</v>
      </c>
      <c r="G187" t="e">
        <f>RigheOfferte[[#This Row],[Q.ta'']]</f>
        <v>#VALUE!</v>
      </c>
      <c r="H187" t="e">
        <f>RigheOfferte[[#This Row],[Lavorazione]]</f>
        <v>#VALUE!</v>
      </c>
      <c r="I187" t="e">
        <f>RigheOfferte[[#This Row],[Colore]]</f>
        <v>#VALUE!</v>
      </c>
      <c r="J187" t="e">
        <f>RigheOfferte[[#This Row],[Velocità]]</f>
        <v>#VALUE!</v>
      </c>
      <c r="K187" t="e">
        <f>RigheOfferte[[#This Row],[Superf.pz Mq]]</f>
        <v>#VALUE!</v>
      </c>
      <c r="L187" t="e">
        <f>RigheOfferte[[#This Row],[passo]]</f>
        <v>#VALUE!</v>
      </c>
      <c r="M187" t="e">
        <f>RigheOfferte[[#This Row],[nr.pezzi Telaio]]</f>
        <v>#VALUE!</v>
      </c>
      <c r="N187" t="e">
        <f>RigheOfferte[[#This Row],[nr.pezzi ora-unita]]</f>
        <v>#VALUE!</v>
      </c>
      <c r="O187" t="e">
        <f>Tabella1[[#This Row],[superificie]]*Resa</f>
        <v>#VALUE!</v>
      </c>
      <c r="P187" t="e">
        <f>Tabella1[[#This Row],[KgPezzo]]*Tabella1[[#This Row],[q.ta offerta]]</f>
        <v>#VALUE!</v>
      </c>
      <c r="Q187" t="e">
        <f>RigheOfferte[[#This Row],[QtaProtez]]</f>
        <v>#VALUE!</v>
      </c>
      <c r="R187" t="e">
        <f>RigheOfferte[[#This Row],[Tipo Protezione]]</f>
        <v>#VALUE!</v>
      </c>
    </row>
    <row r="188" spans="1:18">
      <c r="A188" t="e">
        <f>RigheOfferte[[#This Row],[Nprev]]</f>
        <v>#VALUE!</v>
      </c>
      <c r="B188" t="e">
        <f>RigheOfferte[[#This Row],[Nriga]]</f>
        <v>#VALUE!</v>
      </c>
      <c r="C188" t="e">
        <f>RigheOfferte[[#This Row],[Cliente]]</f>
        <v>#VALUE!</v>
      </c>
      <c r="D188" t="e">
        <f>RigheOfferte[[#This Row],[sub_cliente]]</f>
        <v>#VALUE!</v>
      </c>
      <c r="E188" t="e">
        <f>RigheOfferte[[#This Row],[cod.Art.]]</f>
        <v>#VALUE!</v>
      </c>
      <c r="F188" t="e">
        <f>RigheOfferte[[#This Row],[Descrizione]]</f>
        <v>#VALUE!</v>
      </c>
      <c r="G188" t="e">
        <f>RigheOfferte[[#This Row],[Q.ta'']]</f>
        <v>#VALUE!</v>
      </c>
      <c r="H188" t="e">
        <f>RigheOfferte[[#This Row],[Lavorazione]]</f>
        <v>#VALUE!</v>
      </c>
      <c r="I188" t="e">
        <f>RigheOfferte[[#This Row],[Colore]]</f>
        <v>#VALUE!</v>
      </c>
      <c r="J188" t="e">
        <f>RigheOfferte[[#This Row],[Velocità]]</f>
        <v>#VALUE!</v>
      </c>
      <c r="K188" t="e">
        <f>RigheOfferte[[#This Row],[Superf.pz Mq]]</f>
        <v>#VALUE!</v>
      </c>
      <c r="L188" t="e">
        <f>RigheOfferte[[#This Row],[passo]]</f>
        <v>#VALUE!</v>
      </c>
      <c r="M188" t="e">
        <f>RigheOfferte[[#This Row],[nr.pezzi Telaio]]</f>
        <v>#VALUE!</v>
      </c>
      <c r="N188" t="e">
        <f>RigheOfferte[[#This Row],[nr.pezzi ora-unita]]</f>
        <v>#VALUE!</v>
      </c>
      <c r="O188" t="e">
        <f>Tabella1[[#This Row],[superificie]]*Resa</f>
        <v>#VALUE!</v>
      </c>
      <c r="P188" t="e">
        <f>Tabella1[[#This Row],[KgPezzo]]*Tabella1[[#This Row],[q.ta offerta]]</f>
        <v>#VALUE!</v>
      </c>
      <c r="Q188" t="e">
        <f>RigheOfferte[[#This Row],[QtaProtez]]</f>
        <v>#VALUE!</v>
      </c>
      <c r="R188" t="e">
        <f>RigheOfferte[[#This Row],[Tipo Protezione]]</f>
        <v>#VALUE!</v>
      </c>
    </row>
    <row r="189" spans="1:18">
      <c r="A189" t="e">
        <f>RigheOfferte[[#This Row],[Nprev]]</f>
        <v>#VALUE!</v>
      </c>
      <c r="B189" t="e">
        <f>RigheOfferte[[#This Row],[Nriga]]</f>
        <v>#VALUE!</v>
      </c>
      <c r="C189" t="e">
        <f>RigheOfferte[[#This Row],[Cliente]]</f>
        <v>#VALUE!</v>
      </c>
      <c r="D189" t="e">
        <f>RigheOfferte[[#This Row],[sub_cliente]]</f>
        <v>#VALUE!</v>
      </c>
      <c r="E189" t="e">
        <f>RigheOfferte[[#This Row],[cod.Art.]]</f>
        <v>#VALUE!</v>
      </c>
      <c r="F189" t="e">
        <f>RigheOfferte[[#This Row],[Descrizione]]</f>
        <v>#VALUE!</v>
      </c>
      <c r="G189" t="e">
        <f>RigheOfferte[[#This Row],[Q.ta'']]</f>
        <v>#VALUE!</v>
      </c>
      <c r="H189" t="e">
        <f>RigheOfferte[[#This Row],[Lavorazione]]</f>
        <v>#VALUE!</v>
      </c>
      <c r="I189" t="e">
        <f>RigheOfferte[[#This Row],[Colore]]</f>
        <v>#VALUE!</v>
      </c>
      <c r="J189" t="e">
        <f>RigheOfferte[[#This Row],[Velocità]]</f>
        <v>#VALUE!</v>
      </c>
      <c r="K189" t="e">
        <f>RigheOfferte[[#This Row],[Superf.pz Mq]]</f>
        <v>#VALUE!</v>
      </c>
      <c r="L189" t="e">
        <f>RigheOfferte[[#This Row],[passo]]</f>
        <v>#VALUE!</v>
      </c>
      <c r="M189" t="e">
        <f>RigheOfferte[[#This Row],[nr.pezzi Telaio]]</f>
        <v>#VALUE!</v>
      </c>
      <c r="N189" t="e">
        <f>RigheOfferte[[#This Row],[nr.pezzi ora-unita]]</f>
        <v>#VALUE!</v>
      </c>
      <c r="O189" t="e">
        <f>Tabella1[[#This Row],[superificie]]*Resa</f>
        <v>#VALUE!</v>
      </c>
      <c r="P189" t="e">
        <f>Tabella1[[#This Row],[KgPezzo]]*Tabella1[[#This Row],[q.ta offerta]]</f>
        <v>#VALUE!</v>
      </c>
      <c r="Q189" t="e">
        <f>RigheOfferte[[#This Row],[QtaProtez]]</f>
        <v>#VALUE!</v>
      </c>
      <c r="R189" t="e">
        <f>RigheOfferte[[#This Row],[Tipo Protezione]]</f>
        <v>#VALUE!</v>
      </c>
    </row>
    <row r="190" spans="1:18">
      <c r="A190" t="e">
        <f>RigheOfferte[[#This Row],[Nprev]]</f>
        <v>#VALUE!</v>
      </c>
      <c r="B190" t="e">
        <f>RigheOfferte[[#This Row],[Nriga]]</f>
        <v>#VALUE!</v>
      </c>
      <c r="C190" t="e">
        <f>RigheOfferte[[#This Row],[Cliente]]</f>
        <v>#VALUE!</v>
      </c>
      <c r="D190" t="e">
        <f>RigheOfferte[[#This Row],[sub_cliente]]</f>
        <v>#VALUE!</v>
      </c>
      <c r="E190" t="e">
        <f>RigheOfferte[[#This Row],[cod.Art.]]</f>
        <v>#VALUE!</v>
      </c>
      <c r="F190" t="e">
        <f>RigheOfferte[[#This Row],[Descrizione]]</f>
        <v>#VALUE!</v>
      </c>
      <c r="G190" t="e">
        <f>RigheOfferte[[#This Row],[Q.ta'']]</f>
        <v>#VALUE!</v>
      </c>
      <c r="H190" t="e">
        <f>RigheOfferte[[#This Row],[Lavorazione]]</f>
        <v>#VALUE!</v>
      </c>
      <c r="I190" t="e">
        <f>RigheOfferte[[#This Row],[Colore]]</f>
        <v>#VALUE!</v>
      </c>
      <c r="J190" t="e">
        <f>RigheOfferte[[#This Row],[Velocità]]</f>
        <v>#VALUE!</v>
      </c>
      <c r="K190" t="e">
        <f>RigheOfferte[[#This Row],[Superf.pz Mq]]</f>
        <v>#VALUE!</v>
      </c>
      <c r="L190" t="e">
        <f>RigheOfferte[[#This Row],[passo]]</f>
        <v>#VALUE!</v>
      </c>
      <c r="M190" t="e">
        <f>RigheOfferte[[#This Row],[nr.pezzi Telaio]]</f>
        <v>#VALUE!</v>
      </c>
      <c r="N190" t="e">
        <f>RigheOfferte[[#This Row],[nr.pezzi ora-unita]]</f>
        <v>#VALUE!</v>
      </c>
      <c r="O190" t="e">
        <f>Tabella1[[#This Row],[superificie]]*Resa</f>
        <v>#VALUE!</v>
      </c>
      <c r="P190" t="e">
        <f>Tabella1[[#This Row],[KgPezzo]]*Tabella1[[#This Row],[q.ta offerta]]</f>
        <v>#VALUE!</v>
      </c>
      <c r="Q190" t="e">
        <f>RigheOfferte[[#This Row],[QtaProtez]]</f>
        <v>#VALUE!</v>
      </c>
      <c r="R190" t="e">
        <f>RigheOfferte[[#This Row],[Tipo Protezione]]</f>
        <v>#VALUE!</v>
      </c>
    </row>
    <row r="191" spans="1:18">
      <c r="A191" t="e">
        <f>RigheOfferte[[#This Row],[Nprev]]</f>
        <v>#VALUE!</v>
      </c>
      <c r="B191" t="e">
        <f>RigheOfferte[[#This Row],[Nriga]]</f>
        <v>#VALUE!</v>
      </c>
      <c r="C191" t="e">
        <f>RigheOfferte[[#This Row],[Cliente]]</f>
        <v>#VALUE!</v>
      </c>
      <c r="D191" t="e">
        <f>RigheOfferte[[#This Row],[sub_cliente]]</f>
        <v>#VALUE!</v>
      </c>
      <c r="E191" t="e">
        <f>RigheOfferte[[#This Row],[cod.Art.]]</f>
        <v>#VALUE!</v>
      </c>
      <c r="F191" t="e">
        <f>RigheOfferte[[#This Row],[Descrizione]]</f>
        <v>#VALUE!</v>
      </c>
      <c r="G191" t="e">
        <f>RigheOfferte[[#This Row],[Q.ta'']]</f>
        <v>#VALUE!</v>
      </c>
      <c r="H191" t="e">
        <f>RigheOfferte[[#This Row],[Lavorazione]]</f>
        <v>#VALUE!</v>
      </c>
      <c r="I191" t="e">
        <f>RigheOfferte[[#This Row],[Colore]]</f>
        <v>#VALUE!</v>
      </c>
      <c r="J191" t="e">
        <f>RigheOfferte[[#This Row],[Velocità]]</f>
        <v>#VALUE!</v>
      </c>
      <c r="K191" t="e">
        <f>RigheOfferte[[#This Row],[Superf.pz Mq]]</f>
        <v>#VALUE!</v>
      </c>
      <c r="L191" t="e">
        <f>RigheOfferte[[#This Row],[passo]]</f>
        <v>#VALUE!</v>
      </c>
      <c r="M191" t="e">
        <f>RigheOfferte[[#This Row],[nr.pezzi Telaio]]</f>
        <v>#VALUE!</v>
      </c>
      <c r="N191" t="e">
        <f>RigheOfferte[[#This Row],[nr.pezzi ora-unita]]</f>
        <v>#VALUE!</v>
      </c>
      <c r="O191" t="e">
        <f>Tabella1[[#This Row],[superificie]]*Resa</f>
        <v>#VALUE!</v>
      </c>
      <c r="P191" t="e">
        <f>Tabella1[[#This Row],[KgPezzo]]*Tabella1[[#This Row],[q.ta offerta]]</f>
        <v>#VALUE!</v>
      </c>
      <c r="Q191" t="e">
        <f>RigheOfferte[[#This Row],[QtaProtez]]</f>
        <v>#VALUE!</v>
      </c>
      <c r="R191" t="e">
        <f>RigheOfferte[[#This Row],[Tipo Protezione]]</f>
        <v>#VALUE!</v>
      </c>
    </row>
    <row r="192" spans="1:18">
      <c r="A192" t="e">
        <f>RigheOfferte[[#This Row],[Nprev]]</f>
        <v>#VALUE!</v>
      </c>
      <c r="B192" t="e">
        <f>RigheOfferte[[#This Row],[Nriga]]</f>
        <v>#VALUE!</v>
      </c>
      <c r="C192" t="e">
        <f>RigheOfferte[[#This Row],[Cliente]]</f>
        <v>#VALUE!</v>
      </c>
      <c r="D192" t="e">
        <f>RigheOfferte[[#This Row],[sub_cliente]]</f>
        <v>#VALUE!</v>
      </c>
      <c r="E192" t="e">
        <f>RigheOfferte[[#This Row],[cod.Art.]]</f>
        <v>#VALUE!</v>
      </c>
      <c r="F192" t="e">
        <f>RigheOfferte[[#This Row],[Descrizione]]</f>
        <v>#VALUE!</v>
      </c>
      <c r="G192" t="e">
        <f>RigheOfferte[[#This Row],[Q.ta'']]</f>
        <v>#VALUE!</v>
      </c>
      <c r="H192" t="e">
        <f>RigheOfferte[[#This Row],[Lavorazione]]</f>
        <v>#VALUE!</v>
      </c>
      <c r="I192" t="e">
        <f>RigheOfferte[[#This Row],[Colore]]</f>
        <v>#VALUE!</v>
      </c>
      <c r="J192" t="e">
        <f>RigheOfferte[[#This Row],[Velocità]]</f>
        <v>#VALUE!</v>
      </c>
      <c r="K192" t="e">
        <f>RigheOfferte[[#This Row],[Superf.pz Mq]]</f>
        <v>#VALUE!</v>
      </c>
      <c r="L192" t="e">
        <f>RigheOfferte[[#This Row],[passo]]</f>
        <v>#VALUE!</v>
      </c>
      <c r="M192" t="e">
        <f>RigheOfferte[[#This Row],[nr.pezzi Telaio]]</f>
        <v>#VALUE!</v>
      </c>
      <c r="N192" t="e">
        <f>RigheOfferte[[#This Row],[nr.pezzi ora-unita]]</f>
        <v>#VALUE!</v>
      </c>
      <c r="O192" t="e">
        <f>Tabella1[[#This Row],[superificie]]*Resa</f>
        <v>#VALUE!</v>
      </c>
      <c r="P192" t="e">
        <f>Tabella1[[#This Row],[KgPezzo]]*Tabella1[[#This Row],[q.ta offerta]]</f>
        <v>#VALUE!</v>
      </c>
      <c r="Q192" t="e">
        <f>RigheOfferte[[#This Row],[QtaProtez]]</f>
        <v>#VALUE!</v>
      </c>
      <c r="R192" t="e">
        <f>RigheOfferte[[#This Row],[Tipo Protezione]]</f>
        <v>#VALUE!</v>
      </c>
    </row>
    <row r="193" spans="1:18">
      <c r="A193" t="e">
        <f>RigheOfferte[[#This Row],[Nprev]]</f>
        <v>#VALUE!</v>
      </c>
      <c r="B193" t="e">
        <f>RigheOfferte[[#This Row],[Nriga]]</f>
        <v>#VALUE!</v>
      </c>
      <c r="C193" t="e">
        <f>RigheOfferte[[#This Row],[Cliente]]</f>
        <v>#VALUE!</v>
      </c>
      <c r="D193" t="e">
        <f>RigheOfferte[[#This Row],[sub_cliente]]</f>
        <v>#VALUE!</v>
      </c>
      <c r="E193" t="e">
        <f>RigheOfferte[[#This Row],[cod.Art.]]</f>
        <v>#VALUE!</v>
      </c>
      <c r="F193" t="e">
        <f>RigheOfferte[[#This Row],[Descrizione]]</f>
        <v>#VALUE!</v>
      </c>
      <c r="G193" t="e">
        <f>RigheOfferte[[#This Row],[Q.ta'']]</f>
        <v>#VALUE!</v>
      </c>
      <c r="H193" t="e">
        <f>RigheOfferte[[#This Row],[Lavorazione]]</f>
        <v>#VALUE!</v>
      </c>
      <c r="I193" t="e">
        <f>RigheOfferte[[#This Row],[Colore]]</f>
        <v>#VALUE!</v>
      </c>
      <c r="J193" t="e">
        <f>RigheOfferte[[#This Row],[Velocità]]</f>
        <v>#VALUE!</v>
      </c>
      <c r="K193" t="e">
        <f>RigheOfferte[[#This Row],[Superf.pz Mq]]</f>
        <v>#VALUE!</v>
      </c>
      <c r="L193" t="e">
        <f>RigheOfferte[[#This Row],[passo]]</f>
        <v>#VALUE!</v>
      </c>
      <c r="M193" t="e">
        <f>RigheOfferte[[#This Row],[nr.pezzi Telaio]]</f>
        <v>#VALUE!</v>
      </c>
      <c r="N193" t="e">
        <f>RigheOfferte[[#This Row],[nr.pezzi ora-unita]]</f>
        <v>#VALUE!</v>
      </c>
      <c r="O193" t="e">
        <f>Tabella1[[#This Row],[superificie]]*Resa</f>
        <v>#VALUE!</v>
      </c>
      <c r="P193" t="e">
        <f>Tabella1[[#This Row],[KgPezzo]]*Tabella1[[#This Row],[q.ta offerta]]</f>
        <v>#VALUE!</v>
      </c>
      <c r="Q193" t="e">
        <f>RigheOfferte[[#This Row],[QtaProtez]]</f>
        <v>#VALUE!</v>
      </c>
      <c r="R193" t="e">
        <f>RigheOfferte[[#This Row],[Tipo Protezione]]</f>
        <v>#VALUE!</v>
      </c>
    </row>
    <row r="194" spans="1:18">
      <c r="A194" t="e">
        <f>RigheOfferte[[#This Row],[Nprev]]</f>
        <v>#VALUE!</v>
      </c>
      <c r="B194" t="e">
        <f>RigheOfferte[[#This Row],[Nriga]]</f>
        <v>#VALUE!</v>
      </c>
      <c r="C194" t="e">
        <f>RigheOfferte[[#This Row],[Cliente]]</f>
        <v>#VALUE!</v>
      </c>
      <c r="D194" t="e">
        <f>RigheOfferte[[#This Row],[sub_cliente]]</f>
        <v>#VALUE!</v>
      </c>
      <c r="E194" t="e">
        <f>RigheOfferte[[#This Row],[cod.Art.]]</f>
        <v>#VALUE!</v>
      </c>
      <c r="F194" t="e">
        <f>RigheOfferte[[#This Row],[Descrizione]]</f>
        <v>#VALUE!</v>
      </c>
      <c r="G194" t="e">
        <f>RigheOfferte[[#This Row],[Q.ta'']]</f>
        <v>#VALUE!</v>
      </c>
      <c r="H194" t="e">
        <f>RigheOfferte[[#This Row],[Lavorazione]]</f>
        <v>#VALUE!</v>
      </c>
      <c r="I194" t="e">
        <f>RigheOfferte[[#This Row],[Colore]]</f>
        <v>#VALUE!</v>
      </c>
      <c r="J194" t="e">
        <f>RigheOfferte[[#This Row],[Velocità]]</f>
        <v>#VALUE!</v>
      </c>
      <c r="K194" t="e">
        <f>RigheOfferte[[#This Row],[Superf.pz Mq]]</f>
        <v>#VALUE!</v>
      </c>
      <c r="L194" t="e">
        <f>RigheOfferte[[#This Row],[passo]]</f>
        <v>#VALUE!</v>
      </c>
      <c r="M194" t="e">
        <f>RigheOfferte[[#This Row],[nr.pezzi Telaio]]</f>
        <v>#VALUE!</v>
      </c>
      <c r="N194" t="e">
        <f>RigheOfferte[[#This Row],[nr.pezzi ora-unita]]</f>
        <v>#VALUE!</v>
      </c>
      <c r="O194" t="e">
        <f>Tabella1[[#This Row],[superificie]]*Resa</f>
        <v>#VALUE!</v>
      </c>
      <c r="P194" t="e">
        <f>Tabella1[[#This Row],[KgPezzo]]*Tabella1[[#This Row],[q.ta offerta]]</f>
        <v>#VALUE!</v>
      </c>
      <c r="Q194" t="e">
        <f>RigheOfferte[[#This Row],[QtaProtez]]</f>
        <v>#VALUE!</v>
      </c>
      <c r="R194" t="e">
        <f>RigheOfferte[[#This Row],[Tipo Protezione]]</f>
        <v>#VALUE!</v>
      </c>
    </row>
    <row r="195" spans="1:18">
      <c r="A195" t="e">
        <f>RigheOfferte[[#This Row],[Nprev]]</f>
        <v>#VALUE!</v>
      </c>
      <c r="B195" t="e">
        <f>RigheOfferte[[#This Row],[Nriga]]</f>
        <v>#VALUE!</v>
      </c>
      <c r="C195" t="e">
        <f>RigheOfferte[[#This Row],[Cliente]]</f>
        <v>#VALUE!</v>
      </c>
      <c r="D195" t="e">
        <f>RigheOfferte[[#This Row],[sub_cliente]]</f>
        <v>#VALUE!</v>
      </c>
      <c r="E195" t="e">
        <f>RigheOfferte[[#This Row],[cod.Art.]]</f>
        <v>#VALUE!</v>
      </c>
      <c r="F195" t="e">
        <f>RigheOfferte[[#This Row],[Descrizione]]</f>
        <v>#VALUE!</v>
      </c>
      <c r="G195" t="e">
        <f>RigheOfferte[[#This Row],[Q.ta'']]</f>
        <v>#VALUE!</v>
      </c>
      <c r="H195" t="e">
        <f>RigheOfferte[[#This Row],[Lavorazione]]</f>
        <v>#VALUE!</v>
      </c>
      <c r="I195" t="e">
        <f>RigheOfferte[[#This Row],[Colore]]</f>
        <v>#VALUE!</v>
      </c>
      <c r="J195" t="e">
        <f>RigheOfferte[[#This Row],[Velocità]]</f>
        <v>#VALUE!</v>
      </c>
      <c r="K195" t="e">
        <f>RigheOfferte[[#This Row],[Superf.pz Mq]]</f>
        <v>#VALUE!</v>
      </c>
      <c r="L195" t="e">
        <f>RigheOfferte[[#This Row],[passo]]</f>
        <v>#VALUE!</v>
      </c>
      <c r="M195" t="e">
        <f>RigheOfferte[[#This Row],[nr.pezzi Telaio]]</f>
        <v>#VALUE!</v>
      </c>
      <c r="N195" t="e">
        <f>RigheOfferte[[#This Row],[nr.pezzi ora-unita]]</f>
        <v>#VALUE!</v>
      </c>
      <c r="O195" t="e">
        <f>Tabella1[[#This Row],[superificie]]*Resa</f>
        <v>#VALUE!</v>
      </c>
      <c r="P195" t="e">
        <f>Tabella1[[#This Row],[KgPezzo]]*Tabella1[[#This Row],[q.ta offerta]]</f>
        <v>#VALUE!</v>
      </c>
      <c r="Q195" t="e">
        <f>RigheOfferte[[#This Row],[QtaProtez]]</f>
        <v>#VALUE!</v>
      </c>
      <c r="R195" t="e">
        <f>RigheOfferte[[#This Row],[Tipo Protezione]]</f>
        <v>#VALUE!</v>
      </c>
    </row>
    <row r="196" spans="1:18">
      <c r="A196" t="e">
        <f>RigheOfferte[[#This Row],[Nprev]]</f>
        <v>#VALUE!</v>
      </c>
      <c r="B196" t="e">
        <f>RigheOfferte[[#This Row],[Nriga]]</f>
        <v>#VALUE!</v>
      </c>
      <c r="C196" t="e">
        <f>RigheOfferte[[#This Row],[Cliente]]</f>
        <v>#VALUE!</v>
      </c>
      <c r="D196" t="e">
        <f>RigheOfferte[[#This Row],[sub_cliente]]</f>
        <v>#VALUE!</v>
      </c>
      <c r="E196" t="e">
        <f>RigheOfferte[[#This Row],[cod.Art.]]</f>
        <v>#VALUE!</v>
      </c>
      <c r="F196" t="e">
        <f>RigheOfferte[[#This Row],[Descrizione]]</f>
        <v>#VALUE!</v>
      </c>
      <c r="G196" t="e">
        <f>RigheOfferte[[#This Row],[Q.ta'']]</f>
        <v>#VALUE!</v>
      </c>
      <c r="H196" t="e">
        <f>RigheOfferte[[#This Row],[Lavorazione]]</f>
        <v>#VALUE!</v>
      </c>
      <c r="I196" t="e">
        <f>RigheOfferte[[#This Row],[Colore]]</f>
        <v>#VALUE!</v>
      </c>
      <c r="J196" t="e">
        <f>RigheOfferte[[#This Row],[Velocità]]</f>
        <v>#VALUE!</v>
      </c>
      <c r="K196" t="e">
        <f>RigheOfferte[[#This Row],[Superf.pz Mq]]</f>
        <v>#VALUE!</v>
      </c>
      <c r="L196" t="e">
        <f>RigheOfferte[[#This Row],[passo]]</f>
        <v>#VALUE!</v>
      </c>
      <c r="M196" t="e">
        <f>RigheOfferte[[#This Row],[nr.pezzi Telaio]]</f>
        <v>#VALUE!</v>
      </c>
      <c r="N196" t="e">
        <f>RigheOfferte[[#This Row],[nr.pezzi ora-unita]]</f>
        <v>#VALUE!</v>
      </c>
      <c r="O196" t="e">
        <f>Tabella1[[#This Row],[superificie]]*Resa</f>
        <v>#VALUE!</v>
      </c>
      <c r="P196" t="e">
        <f>Tabella1[[#This Row],[KgPezzo]]*Tabella1[[#This Row],[q.ta offerta]]</f>
        <v>#VALUE!</v>
      </c>
      <c r="Q196" t="e">
        <f>RigheOfferte[[#This Row],[QtaProtez]]</f>
        <v>#VALUE!</v>
      </c>
      <c r="R196" t="e">
        <f>RigheOfferte[[#This Row],[Tipo Protezione]]</f>
        <v>#VALUE!</v>
      </c>
    </row>
    <row r="197" spans="1:18">
      <c r="A197" t="e">
        <f>RigheOfferte[[#This Row],[Nprev]]</f>
        <v>#VALUE!</v>
      </c>
      <c r="B197" t="e">
        <f>RigheOfferte[[#This Row],[Nriga]]</f>
        <v>#VALUE!</v>
      </c>
      <c r="C197" t="e">
        <f>RigheOfferte[[#This Row],[Cliente]]</f>
        <v>#VALUE!</v>
      </c>
      <c r="D197" t="e">
        <f>RigheOfferte[[#This Row],[sub_cliente]]</f>
        <v>#VALUE!</v>
      </c>
      <c r="E197" t="e">
        <f>RigheOfferte[[#This Row],[cod.Art.]]</f>
        <v>#VALUE!</v>
      </c>
      <c r="F197" t="e">
        <f>RigheOfferte[[#This Row],[Descrizione]]</f>
        <v>#VALUE!</v>
      </c>
      <c r="G197" t="e">
        <f>RigheOfferte[[#This Row],[Q.ta'']]</f>
        <v>#VALUE!</v>
      </c>
      <c r="H197" t="e">
        <f>RigheOfferte[[#This Row],[Lavorazione]]</f>
        <v>#VALUE!</v>
      </c>
      <c r="I197" t="e">
        <f>RigheOfferte[[#This Row],[Colore]]</f>
        <v>#VALUE!</v>
      </c>
      <c r="J197" t="e">
        <f>RigheOfferte[[#This Row],[Velocità]]</f>
        <v>#VALUE!</v>
      </c>
      <c r="K197" t="e">
        <f>RigheOfferte[[#This Row],[Superf.pz Mq]]</f>
        <v>#VALUE!</v>
      </c>
      <c r="L197" t="e">
        <f>RigheOfferte[[#This Row],[passo]]</f>
        <v>#VALUE!</v>
      </c>
      <c r="M197" t="e">
        <f>RigheOfferte[[#This Row],[nr.pezzi Telaio]]</f>
        <v>#VALUE!</v>
      </c>
      <c r="N197" t="e">
        <f>RigheOfferte[[#This Row],[nr.pezzi ora-unita]]</f>
        <v>#VALUE!</v>
      </c>
      <c r="O197" t="e">
        <f>Tabella1[[#This Row],[superificie]]*Resa</f>
        <v>#VALUE!</v>
      </c>
      <c r="P197" t="e">
        <f>Tabella1[[#This Row],[KgPezzo]]*Tabella1[[#This Row],[q.ta offerta]]</f>
        <v>#VALUE!</v>
      </c>
      <c r="Q197" t="e">
        <f>RigheOfferte[[#This Row],[QtaProtez]]</f>
        <v>#VALUE!</v>
      </c>
      <c r="R197" t="e">
        <f>RigheOfferte[[#This Row],[Tipo Protezione]]</f>
        <v>#VALUE!</v>
      </c>
    </row>
    <row r="198" spans="1:18">
      <c r="A198" t="e">
        <f>RigheOfferte[[#This Row],[Nprev]]</f>
        <v>#VALUE!</v>
      </c>
      <c r="B198" t="e">
        <f>RigheOfferte[[#This Row],[Nriga]]</f>
        <v>#VALUE!</v>
      </c>
      <c r="C198" t="e">
        <f>RigheOfferte[[#This Row],[Cliente]]</f>
        <v>#VALUE!</v>
      </c>
      <c r="D198" t="e">
        <f>RigheOfferte[[#This Row],[sub_cliente]]</f>
        <v>#VALUE!</v>
      </c>
      <c r="E198" t="e">
        <f>RigheOfferte[[#This Row],[cod.Art.]]</f>
        <v>#VALUE!</v>
      </c>
      <c r="F198" t="e">
        <f>RigheOfferte[[#This Row],[Descrizione]]</f>
        <v>#VALUE!</v>
      </c>
      <c r="G198" t="e">
        <f>RigheOfferte[[#This Row],[Q.ta'']]</f>
        <v>#VALUE!</v>
      </c>
      <c r="H198" t="e">
        <f>RigheOfferte[[#This Row],[Lavorazione]]</f>
        <v>#VALUE!</v>
      </c>
      <c r="I198" t="e">
        <f>RigheOfferte[[#This Row],[Colore]]</f>
        <v>#VALUE!</v>
      </c>
      <c r="J198" t="e">
        <f>RigheOfferte[[#This Row],[Velocità]]</f>
        <v>#VALUE!</v>
      </c>
      <c r="K198" t="e">
        <f>RigheOfferte[[#This Row],[Superf.pz Mq]]</f>
        <v>#VALUE!</v>
      </c>
      <c r="L198" t="e">
        <f>RigheOfferte[[#This Row],[passo]]</f>
        <v>#VALUE!</v>
      </c>
      <c r="M198" t="e">
        <f>RigheOfferte[[#This Row],[nr.pezzi Telaio]]</f>
        <v>#VALUE!</v>
      </c>
      <c r="N198" t="e">
        <f>RigheOfferte[[#This Row],[nr.pezzi ora-unita]]</f>
        <v>#VALUE!</v>
      </c>
      <c r="O198" t="e">
        <f>Tabella1[[#This Row],[superificie]]*Resa</f>
        <v>#VALUE!</v>
      </c>
      <c r="P198" t="e">
        <f>Tabella1[[#This Row],[KgPezzo]]*Tabella1[[#This Row],[q.ta offerta]]</f>
        <v>#VALUE!</v>
      </c>
      <c r="Q198" t="e">
        <f>RigheOfferte[[#This Row],[QtaProtez]]</f>
        <v>#VALUE!</v>
      </c>
      <c r="R198" t="e">
        <f>RigheOfferte[[#This Row],[Tipo Protezione]]</f>
        <v>#VALUE!</v>
      </c>
    </row>
    <row r="199" spans="1:18">
      <c r="A199" t="e">
        <f>RigheOfferte[[#This Row],[Nprev]]</f>
        <v>#VALUE!</v>
      </c>
      <c r="B199" t="e">
        <f>RigheOfferte[[#This Row],[Nriga]]</f>
        <v>#VALUE!</v>
      </c>
      <c r="C199" t="e">
        <f>RigheOfferte[[#This Row],[Cliente]]</f>
        <v>#VALUE!</v>
      </c>
      <c r="D199" t="e">
        <f>RigheOfferte[[#This Row],[sub_cliente]]</f>
        <v>#VALUE!</v>
      </c>
      <c r="E199" t="e">
        <f>RigheOfferte[[#This Row],[cod.Art.]]</f>
        <v>#VALUE!</v>
      </c>
      <c r="F199" t="e">
        <f>RigheOfferte[[#This Row],[Descrizione]]</f>
        <v>#VALUE!</v>
      </c>
      <c r="G199" t="e">
        <f>RigheOfferte[[#This Row],[Q.ta'']]</f>
        <v>#VALUE!</v>
      </c>
      <c r="H199" t="e">
        <f>RigheOfferte[[#This Row],[Lavorazione]]</f>
        <v>#VALUE!</v>
      </c>
      <c r="I199" t="e">
        <f>RigheOfferte[[#This Row],[Colore]]</f>
        <v>#VALUE!</v>
      </c>
      <c r="J199" t="e">
        <f>RigheOfferte[[#This Row],[Velocità]]</f>
        <v>#VALUE!</v>
      </c>
      <c r="K199" t="e">
        <f>RigheOfferte[[#This Row],[Superf.pz Mq]]</f>
        <v>#VALUE!</v>
      </c>
      <c r="L199" t="e">
        <f>RigheOfferte[[#This Row],[passo]]</f>
        <v>#VALUE!</v>
      </c>
      <c r="M199" t="e">
        <f>RigheOfferte[[#This Row],[nr.pezzi Telaio]]</f>
        <v>#VALUE!</v>
      </c>
      <c r="N199" t="e">
        <f>RigheOfferte[[#This Row],[nr.pezzi ora-unita]]</f>
        <v>#VALUE!</v>
      </c>
      <c r="O199" t="e">
        <f>Tabella1[[#This Row],[superificie]]*Resa</f>
        <v>#VALUE!</v>
      </c>
      <c r="P199" t="e">
        <f>Tabella1[[#This Row],[KgPezzo]]*Tabella1[[#This Row],[q.ta offerta]]</f>
        <v>#VALUE!</v>
      </c>
      <c r="Q199" t="e">
        <f>RigheOfferte[[#This Row],[QtaProtez]]</f>
        <v>#VALUE!</v>
      </c>
      <c r="R199" t="e">
        <f>RigheOfferte[[#This Row],[Tipo Protezione]]</f>
        <v>#VALUE!</v>
      </c>
    </row>
    <row r="200" spans="1:18">
      <c r="A200" t="e">
        <f>RigheOfferte[[#This Row],[Nprev]]</f>
        <v>#VALUE!</v>
      </c>
      <c r="B200" t="e">
        <f>RigheOfferte[[#This Row],[Nriga]]</f>
        <v>#VALUE!</v>
      </c>
      <c r="C200" t="e">
        <f>RigheOfferte[[#This Row],[Cliente]]</f>
        <v>#VALUE!</v>
      </c>
      <c r="D200" t="e">
        <f>RigheOfferte[[#This Row],[sub_cliente]]</f>
        <v>#VALUE!</v>
      </c>
      <c r="E200" t="e">
        <f>RigheOfferte[[#This Row],[cod.Art.]]</f>
        <v>#VALUE!</v>
      </c>
      <c r="F200" t="e">
        <f>RigheOfferte[[#This Row],[Descrizione]]</f>
        <v>#VALUE!</v>
      </c>
      <c r="G200" t="e">
        <f>RigheOfferte[[#This Row],[Q.ta'']]</f>
        <v>#VALUE!</v>
      </c>
      <c r="H200" t="e">
        <f>RigheOfferte[[#This Row],[Lavorazione]]</f>
        <v>#VALUE!</v>
      </c>
      <c r="I200" t="e">
        <f>RigheOfferte[[#This Row],[Colore]]</f>
        <v>#VALUE!</v>
      </c>
      <c r="J200" t="e">
        <f>RigheOfferte[[#This Row],[Velocità]]</f>
        <v>#VALUE!</v>
      </c>
      <c r="K200" t="e">
        <f>RigheOfferte[[#This Row],[Superf.pz Mq]]</f>
        <v>#VALUE!</v>
      </c>
      <c r="L200" t="e">
        <f>RigheOfferte[[#This Row],[passo]]</f>
        <v>#VALUE!</v>
      </c>
      <c r="M200" t="e">
        <f>RigheOfferte[[#This Row],[nr.pezzi Telaio]]</f>
        <v>#VALUE!</v>
      </c>
      <c r="N200" t="e">
        <f>RigheOfferte[[#This Row],[nr.pezzi ora-unita]]</f>
        <v>#VALUE!</v>
      </c>
      <c r="O200" t="e">
        <f>Tabella1[[#This Row],[superificie]]*Resa</f>
        <v>#VALUE!</v>
      </c>
      <c r="P200" t="e">
        <f>Tabella1[[#This Row],[KgPezzo]]*Tabella1[[#This Row],[q.ta offerta]]</f>
        <v>#VALUE!</v>
      </c>
      <c r="Q200" t="e">
        <f>RigheOfferte[[#This Row],[QtaProtez]]</f>
        <v>#VALUE!</v>
      </c>
      <c r="R200" t="e">
        <f>RigheOfferte[[#This Row],[Tipo Protezione]]</f>
        <v>#VALUE!</v>
      </c>
    </row>
    <row r="201" spans="1:18">
      <c r="A201" t="e">
        <f>RigheOfferte[[#This Row],[Nprev]]</f>
        <v>#VALUE!</v>
      </c>
      <c r="B201" t="e">
        <f>RigheOfferte[[#This Row],[Nriga]]</f>
        <v>#VALUE!</v>
      </c>
      <c r="C201" t="e">
        <f>RigheOfferte[[#This Row],[Cliente]]</f>
        <v>#VALUE!</v>
      </c>
      <c r="D201" t="e">
        <f>RigheOfferte[[#This Row],[sub_cliente]]</f>
        <v>#VALUE!</v>
      </c>
      <c r="E201" t="e">
        <f>RigheOfferte[[#This Row],[cod.Art.]]</f>
        <v>#VALUE!</v>
      </c>
      <c r="F201" t="e">
        <f>RigheOfferte[[#This Row],[Descrizione]]</f>
        <v>#VALUE!</v>
      </c>
      <c r="G201" t="e">
        <f>RigheOfferte[[#This Row],[Q.ta'']]</f>
        <v>#VALUE!</v>
      </c>
      <c r="H201" t="e">
        <f>RigheOfferte[[#This Row],[Lavorazione]]</f>
        <v>#VALUE!</v>
      </c>
      <c r="I201" t="e">
        <f>RigheOfferte[[#This Row],[Colore]]</f>
        <v>#VALUE!</v>
      </c>
      <c r="J201" t="e">
        <f>RigheOfferte[[#This Row],[Velocità]]</f>
        <v>#VALUE!</v>
      </c>
      <c r="K201" t="e">
        <f>RigheOfferte[[#This Row],[Superf.pz Mq]]</f>
        <v>#VALUE!</v>
      </c>
      <c r="L201" t="e">
        <f>RigheOfferte[[#This Row],[passo]]</f>
        <v>#VALUE!</v>
      </c>
      <c r="M201" t="e">
        <f>RigheOfferte[[#This Row],[nr.pezzi Telaio]]</f>
        <v>#VALUE!</v>
      </c>
      <c r="N201" t="e">
        <f>RigheOfferte[[#This Row],[nr.pezzi ora-unita]]</f>
        <v>#VALUE!</v>
      </c>
      <c r="O201" t="e">
        <f>Tabella1[[#This Row],[superificie]]*Resa</f>
        <v>#VALUE!</v>
      </c>
      <c r="P201" t="e">
        <f>Tabella1[[#This Row],[KgPezzo]]*Tabella1[[#This Row],[q.ta offerta]]</f>
        <v>#VALUE!</v>
      </c>
      <c r="Q201" t="e">
        <f>RigheOfferte[[#This Row],[QtaProtez]]</f>
        <v>#VALUE!</v>
      </c>
      <c r="R201" t="e">
        <f>RigheOfferte[[#This Row],[Tipo Protezione]]</f>
        <v>#VALUE!</v>
      </c>
    </row>
    <row r="202" spans="1:18">
      <c r="A202" t="e">
        <f>RigheOfferte[[#This Row],[Nprev]]</f>
        <v>#VALUE!</v>
      </c>
      <c r="B202" t="e">
        <f>RigheOfferte[[#This Row],[Nriga]]</f>
        <v>#VALUE!</v>
      </c>
      <c r="C202" t="e">
        <f>RigheOfferte[[#This Row],[Cliente]]</f>
        <v>#VALUE!</v>
      </c>
      <c r="D202" t="e">
        <f>RigheOfferte[[#This Row],[sub_cliente]]</f>
        <v>#VALUE!</v>
      </c>
      <c r="E202" t="e">
        <f>RigheOfferte[[#This Row],[cod.Art.]]</f>
        <v>#VALUE!</v>
      </c>
      <c r="F202" t="e">
        <f>RigheOfferte[[#This Row],[Descrizione]]</f>
        <v>#VALUE!</v>
      </c>
      <c r="G202" t="e">
        <f>RigheOfferte[[#This Row],[Q.ta'']]</f>
        <v>#VALUE!</v>
      </c>
      <c r="H202" t="e">
        <f>RigheOfferte[[#This Row],[Lavorazione]]</f>
        <v>#VALUE!</v>
      </c>
      <c r="I202" t="e">
        <f>RigheOfferte[[#This Row],[Colore]]</f>
        <v>#VALUE!</v>
      </c>
      <c r="J202" t="e">
        <f>RigheOfferte[[#This Row],[Velocità]]</f>
        <v>#VALUE!</v>
      </c>
      <c r="K202" t="e">
        <f>RigheOfferte[[#This Row],[Superf.pz Mq]]</f>
        <v>#VALUE!</v>
      </c>
      <c r="L202" t="e">
        <f>RigheOfferte[[#This Row],[passo]]</f>
        <v>#VALUE!</v>
      </c>
      <c r="M202" t="e">
        <f>RigheOfferte[[#This Row],[nr.pezzi Telaio]]</f>
        <v>#VALUE!</v>
      </c>
      <c r="N202" t="e">
        <f>RigheOfferte[[#This Row],[nr.pezzi ora-unita]]</f>
        <v>#VALUE!</v>
      </c>
      <c r="O202" t="e">
        <f>Tabella1[[#This Row],[superificie]]*Resa</f>
        <v>#VALUE!</v>
      </c>
      <c r="P202" t="e">
        <f>Tabella1[[#This Row],[KgPezzo]]*Tabella1[[#This Row],[q.ta offerta]]</f>
        <v>#VALUE!</v>
      </c>
      <c r="Q202" t="e">
        <f>RigheOfferte[[#This Row],[QtaProtez]]</f>
        <v>#VALUE!</v>
      </c>
      <c r="R202" t="e">
        <f>RigheOfferte[[#This Row],[Tipo Protezione]]</f>
        <v>#VALUE!</v>
      </c>
    </row>
    <row r="203" spans="1:18">
      <c r="A203" t="e">
        <f>RigheOfferte[[#This Row],[Nprev]]</f>
        <v>#VALUE!</v>
      </c>
      <c r="B203" t="e">
        <f>RigheOfferte[[#This Row],[Nriga]]</f>
        <v>#VALUE!</v>
      </c>
      <c r="C203" t="e">
        <f>RigheOfferte[[#This Row],[Cliente]]</f>
        <v>#VALUE!</v>
      </c>
      <c r="D203" t="e">
        <f>RigheOfferte[[#This Row],[sub_cliente]]</f>
        <v>#VALUE!</v>
      </c>
      <c r="E203" t="e">
        <f>RigheOfferte[[#This Row],[cod.Art.]]</f>
        <v>#VALUE!</v>
      </c>
      <c r="F203" t="e">
        <f>RigheOfferte[[#This Row],[Descrizione]]</f>
        <v>#VALUE!</v>
      </c>
      <c r="G203" t="e">
        <f>RigheOfferte[[#This Row],[Q.ta'']]</f>
        <v>#VALUE!</v>
      </c>
      <c r="H203" t="e">
        <f>RigheOfferte[[#This Row],[Lavorazione]]</f>
        <v>#VALUE!</v>
      </c>
      <c r="I203" t="e">
        <f>RigheOfferte[[#This Row],[Colore]]</f>
        <v>#VALUE!</v>
      </c>
      <c r="J203" t="e">
        <f>RigheOfferte[[#This Row],[Velocità]]</f>
        <v>#VALUE!</v>
      </c>
      <c r="K203" t="e">
        <f>RigheOfferte[[#This Row],[Superf.pz Mq]]</f>
        <v>#VALUE!</v>
      </c>
      <c r="L203" t="e">
        <f>RigheOfferte[[#This Row],[passo]]</f>
        <v>#VALUE!</v>
      </c>
      <c r="M203" t="e">
        <f>RigheOfferte[[#This Row],[nr.pezzi Telaio]]</f>
        <v>#VALUE!</v>
      </c>
      <c r="N203" t="e">
        <f>RigheOfferte[[#This Row],[nr.pezzi ora-unita]]</f>
        <v>#VALUE!</v>
      </c>
      <c r="O203" t="e">
        <f>Tabella1[[#This Row],[superificie]]*Resa</f>
        <v>#VALUE!</v>
      </c>
      <c r="P203" t="e">
        <f>Tabella1[[#This Row],[KgPezzo]]*Tabella1[[#This Row],[q.ta offerta]]</f>
        <v>#VALUE!</v>
      </c>
      <c r="Q203" t="e">
        <f>RigheOfferte[[#This Row],[QtaProtez]]</f>
        <v>#VALUE!</v>
      </c>
      <c r="R203" t="e">
        <f>RigheOfferte[[#This Row],[Tipo Protezione]]</f>
        <v>#VALUE!</v>
      </c>
    </row>
    <row r="204" spans="1:18">
      <c r="A204" t="e">
        <f>RigheOfferte[[#This Row],[Nprev]]</f>
        <v>#VALUE!</v>
      </c>
      <c r="B204" t="e">
        <f>RigheOfferte[[#This Row],[Nriga]]</f>
        <v>#VALUE!</v>
      </c>
      <c r="C204" t="e">
        <f>RigheOfferte[[#This Row],[Cliente]]</f>
        <v>#VALUE!</v>
      </c>
      <c r="D204" t="e">
        <f>RigheOfferte[[#This Row],[sub_cliente]]</f>
        <v>#VALUE!</v>
      </c>
      <c r="E204" t="e">
        <f>RigheOfferte[[#This Row],[cod.Art.]]</f>
        <v>#VALUE!</v>
      </c>
      <c r="F204" t="e">
        <f>RigheOfferte[[#This Row],[Descrizione]]</f>
        <v>#VALUE!</v>
      </c>
      <c r="G204" t="e">
        <f>RigheOfferte[[#This Row],[Q.ta'']]</f>
        <v>#VALUE!</v>
      </c>
      <c r="H204" t="e">
        <f>RigheOfferte[[#This Row],[Lavorazione]]</f>
        <v>#VALUE!</v>
      </c>
      <c r="I204" t="e">
        <f>RigheOfferte[[#This Row],[Colore]]</f>
        <v>#VALUE!</v>
      </c>
      <c r="J204" t="e">
        <f>RigheOfferte[[#This Row],[Velocità]]</f>
        <v>#VALUE!</v>
      </c>
      <c r="K204" t="e">
        <f>RigheOfferte[[#This Row],[Superf.pz Mq]]</f>
        <v>#VALUE!</v>
      </c>
      <c r="L204" t="e">
        <f>RigheOfferte[[#This Row],[passo]]</f>
        <v>#VALUE!</v>
      </c>
      <c r="M204" t="e">
        <f>RigheOfferte[[#This Row],[nr.pezzi Telaio]]</f>
        <v>#VALUE!</v>
      </c>
      <c r="N204" t="e">
        <f>RigheOfferte[[#This Row],[nr.pezzi ora-unita]]</f>
        <v>#VALUE!</v>
      </c>
      <c r="O204" t="e">
        <f>Tabella1[[#This Row],[superificie]]*Resa</f>
        <v>#VALUE!</v>
      </c>
      <c r="P204" t="e">
        <f>Tabella1[[#This Row],[KgPezzo]]*Tabella1[[#This Row],[q.ta offerta]]</f>
        <v>#VALUE!</v>
      </c>
      <c r="Q204" t="e">
        <f>RigheOfferte[[#This Row],[QtaProtez]]</f>
        <v>#VALUE!</v>
      </c>
      <c r="R204" t="e">
        <f>RigheOfferte[[#This Row],[Tipo Protezione]]</f>
        <v>#VALUE!</v>
      </c>
    </row>
    <row r="205" spans="1:18">
      <c r="A205" t="e">
        <f>RigheOfferte[[#This Row],[Nprev]]</f>
        <v>#VALUE!</v>
      </c>
      <c r="B205" t="e">
        <f>RigheOfferte[[#This Row],[Nriga]]</f>
        <v>#VALUE!</v>
      </c>
      <c r="C205" t="e">
        <f>RigheOfferte[[#This Row],[Cliente]]</f>
        <v>#VALUE!</v>
      </c>
      <c r="D205" t="e">
        <f>RigheOfferte[[#This Row],[sub_cliente]]</f>
        <v>#VALUE!</v>
      </c>
      <c r="E205" t="e">
        <f>RigheOfferte[[#This Row],[cod.Art.]]</f>
        <v>#VALUE!</v>
      </c>
      <c r="F205" t="e">
        <f>RigheOfferte[[#This Row],[Descrizione]]</f>
        <v>#VALUE!</v>
      </c>
      <c r="G205" t="e">
        <f>RigheOfferte[[#This Row],[Q.ta'']]</f>
        <v>#VALUE!</v>
      </c>
      <c r="H205" t="e">
        <f>RigheOfferte[[#This Row],[Lavorazione]]</f>
        <v>#VALUE!</v>
      </c>
      <c r="I205" t="e">
        <f>RigheOfferte[[#This Row],[Colore]]</f>
        <v>#VALUE!</v>
      </c>
      <c r="J205" t="e">
        <f>RigheOfferte[[#This Row],[Velocità]]</f>
        <v>#VALUE!</v>
      </c>
      <c r="K205" t="e">
        <f>RigheOfferte[[#This Row],[Superf.pz Mq]]</f>
        <v>#VALUE!</v>
      </c>
      <c r="L205" t="e">
        <f>RigheOfferte[[#This Row],[passo]]</f>
        <v>#VALUE!</v>
      </c>
      <c r="M205" t="e">
        <f>RigheOfferte[[#This Row],[nr.pezzi Telaio]]</f>
        <v>#VALUE!</v>
      </c>
      <c r="N205" t="e">
        <f>RigheOfferte[[#This Row],[nr.pezzi ora-unita]]</f>
        <v>#VALUE!</v>
      </c>
      <c r="O205" t="e">
        <f>Tabella1[[#This Row],[superificie]]*Resa</f>
        <v>#VALUE!</v>
      </c>
      <c r="P205" t="e">
        <f>Tabella1[[#This Row],[KgPezzo]]*Tabella1[[#This Row],[q.ta offerta]]</f>
        <v>#VALUE!</v>
      </c>
      <c r="Q205" t="e">
        <f>RigheOfferte[[#This Row],[QtaProtez]]</f>
        <v>#VALUE!</v>
      </c>
      <c r="R205" t="e">
        <f>RigheOfferte[[#This Row],[Tipo Protezione]]</f>
        <v>#VALUE!</v>
      </c>
    </row>
    <row r="206" spans="1:18">
      <c r="A206" t="e">
        <f>RigheOfferte[[#This Row],[Nprev]]</f>
        <v>#VALUE!</v>
      </c>
      <c r="B206" t="e">
        <f>RigheOfferte[[#This Row],[Nriga]]</f>
        <v>#VALUE!</v>
      </c>
      <c r="C206" t="e">
        <f>RigheOfferte[[#This Row],[Cliente]]</f>
        <v>#VALUE!</v>
      </c>
      <c r="D206" t="e">
        <f>RigheOfferte[[#This Row],[sub_cliente]]</f>
        <v>#VALUE!</v>
      </c>
      <c r="E206" t="e">
        <f>RigheOfferte[[#This Row],[cod.Art.]]</f>
        <v>#VALUE!</v>
      </c>
      <c r="F206" t="e">
        <f>RigheOfferte[[#This Row],[Descrizione]]</f>
        <v>#VALUE!</v>
      </c>
      <c r="G206" t="e">
        <f>RigheOfferte[[#This Row],[Q.ta'']]</f>
        <v>#VALUE!</v>
      </c>
      <c r="H206" t="e">
        <f>RigheOfferte[[#This Row],[Lavorazione]]</f>
        <v>#VALUE!</v>
      </c>
      <c r="I206" t="e">
        <f>RigheOfferte[[#This Row],[Colore]]</f>
        <v>#VALUE!</v>
      </c>
      <c r="J206" t="e">
        <f>RigheOfferte[[#This Row],[Velocità]]</f>
        <v>#VALUE!</v>
      </c>
      <c r="K206" t="e">
        <f>RigheOfferte[[#This Row],[Superf.pz Mq]]</f>
        <v>#VALUE!</v>
      </c>
      <c r="L206" t="e">
        <f>RigheOfferte[[#This Row],[passo]]</f>
        <v>#VALUE!</v>
      </c>
      <c r="M206" t="e">
        <f>RigheOfferte[[#This Row],[nr.pezzi Telaio]]</f>
        <v>#VALUE!</v>
      </c>
      <c r="N206" t="e">
        <f>RigheOfferte[[#This Row],[nr.pezzi ora-unita]]</f>
        <v>#VALUE!</v>
      </c>
      <c r="O206" t="e">
        <f>Tabella1[[#This Row],[superificie]]*Resa</f>
        <v>#VALUE!</v>
      </c>
      <c r="P206" t="e">
        <f>Tabella1[[#This Row],[KgPezzo]]*Tabella1[[#This Row],[q.ta offerta]]</f>
        <v>#VALUE!</v>
      </c>
      <c r="Q206" t="e">
        <f>RigheOfferte[[#This Row],[QtaProtez]]</f>
        <v>#VALUE!</v>
      </c>
      <c r="R206" t="e">
        <f>RigheOfferte[[#This Row],[Tipo Protezione]]</f>
        <v>#VALUE!</v>
      </c>
    </row>
    <row r="207" spans="1:18">
      <c r="A207" t="e">
        <f>RigheOfferte[[#This Row],[Nprev]]</f>
        <v>#VALUE!</v>
      </c>
      <c r="B207" t="e">
        <f>RigheOfferte[[#This Row],[Nriga]]</f>
        <v>#VALUE!</v>
      </c>
      <c r="C207" t="e">
        <f>RigheOfferte[[#This Row],[Cliente]]</f>
        <v>#VALUE!</v>
      </c>
      <c r="D207" t="e">
        <f>RigheOfferte[[#This Row],[sub_cliente]]</f>
        <v>#VALUE!</v>
      </c>
      <c r="E207" t="e">
        <f>RigheOfferte[[#This Row],[cod.Art.]]</f>
        <v>#VALUE!</v>
      </c>
      <c r="F207" t="e">
        <f>RigheOfferte[[#This Row],[Descrizione]]</f>
        <v>#VALUE!</v>
      </c>
      <c r="G207" t="e">
        <f>RigheOfferte[[#This Row],[Q.ta'']]</f>
        <v>#VALUE!</v>
      </c>
      <c r="H207" t="e">
        <f>RigheOfferte[[#This Row],[Lavorazione]]</f>
        <v>#VALUE!</v>
      </c>
      <c r="I207" t="e">
        <f>RigheOfferte[[#This Row],[Colore]]</f>
        <v>#VALUE!</v>
      </c>
      <c r="J207" t="e">
        <f>RigheOfferte[[#This Row],[Velocità]]</f>
        <v>#VALUE!</v>
      </c>
      <c r="K207" t="e">
        <f>RigheOfferte[[#This Row],[Superf.pz Mq]]</f>
        <v>#VALUE!</v>
      </c>
      <c r="L207" t="e">
        <f>RigheOfferte[[#This Row],[passo]]</f>
        <v>#VALUE!</v>
      </c>
      <c r="M207" t="e">
        <f>RigheOfferte[[#This Row],[nr.pezzi Telaio]]</f>
        <v>#VALUE!</v>
      </c>
      <c r="N207" t="e">
        <f>RigheOfferte[[#This Row],[nr.pezzi ora-unita]]</f>
        <v>#VALUE!</v>
      </c>
      <c r="O207" t="e">
        <f>Tabella1[[#This Row],[superificie]]*Resa</f>
        <v>#VALUE!</v>
      </c>
      <c r="P207" t="e">
        <f>Tabella1[[#This Row],[KgPezzo]]*Tabella1[[#This Row],[q.ta offerta]]</f>
        <v>#VALUE!</v>
      </c>
      <c r="Q207" t="e">
        <f>RigheOfferte[[#This Row],[QtaProtez]]</f>
        <v>#VALUE!</v>
      </c>
      <c r="R207" t="e">
        <f>RigheOfferte[[#This Row],[Tipo Protezione]]</f>
        <v>#VALUE!</v>
      </c>
    </row>
    <row r="208" spans="1:18">
      <c r="A208" t="e">
        <f>RigheOfferte[[#This Row],[Nprev]]</f>
        <v>#VALUE!</v>
      </c>
      <c r="B208" t="e">
        <f>RigheOfferte[[#This Row],[Nriga]]</f>
        <v>#VALUE!</v>
      </c>
      <c r="C208" t="e">
        <f>RigheOfferte[[#This Row],[Cliente]]</f>
        <v>#VALUE!</v>
      </c>
      <c r="D208" t="e">
        <f>RigheOfferte[[#This Row],[sub_cliente]]</f>
        <v>#VALUE!</v>
      </c>
      <c r="E208" t="e">
        <f>RigheOfferte[[#This Row],[cod.Art.]]</f>
        <v>#VALUE!</v>
      </c>
      <c r="F208" t="e">
        <f>RigheOfferte[[#This Row],[Descrizione]]</f>
        <v>#VALUE!</v>
      </c>
      <c r="G208" t="e">
        <f>RigheOfferte[[#This Row],[Q.ta'']]</f>
        <v>#VALUE!</v>
      </c>
      <c r="H208" t="e">
        <f>RigheOfferte[[#This Row],[Lavorazione]]</f>
        <v>#VALUE!</v>
      </c>
      <c r="I208" t="e">
        <f>RigheOfferte[[#This Row],[Colore]]</f>
        <v>#VALUE!</v>
      </c>
      <c r="J208" t="e">
        <f>RigheOfferte[[#This Row],[Velocità]]</f>
        <v>#VALUE!</v>
      </c>
      <c r="K208" t="e">
        <f>RigheOfferte[[#This Row],[Superf.pz Mq]]</f>
        <v>#VALUE!</v>
      </c>
      <c r="L208" t="e">
        <f>RigheOfferte[[#This Row],[passo]]</f>
        <v>#VALUE!</v>
      </c>
      <c r="M208" t="e">
        <f>RigheOfferte[[#This Row],[nr.pezzi Telaio]]</f>
        <v>#VALUE!</v>
      </c>
      <c r="N208" t="e">
        <f>RigheOfferte[[#This Row],[nr.pezzi ora-unita]]</f>
        <v>#VALUE!</v>
      </c>
      <c r="O208" t="e">
        <f>Tabella1[[#This Row],[superificie]]*Resa</f>
        <v>#VALUE!</v>
      </c>
      <c r="P208" t="e">
        <f>Tabella1[[#This Row],[KgPezzo]]*Tabella1[[#This Row],[q.ta offerta]]</f>
        <v>#VALUE!</v>
      </c>
      <c r="Q208" t="e">
        <f>RigheOfferte[[#This Row],[QtaProtez]]</f>
        <v>#VALUE!</v>
      </c>
      <c r="R208" t="e">
        <f>RigheOfferte[[#This Row],[Tipo Protezione]]</f>
        <v>#VALUE!</v>
      </c>
    </row>
    <row r="209" spans="1:18">
      <c r="A209" t="e">
        <f>RigheOfferte[[#This Row],[Nprev]]</f>
        <v>#VALUE!</v>
      </c>
      <c r="B209" t="e">
        <f>RigheOfferte[[#This Row],[Nriga]]</f>
        <v>#VALUE!</v>
      </c>
      <c r="C209" t="e">
        <f>RigheOfferte[[#This Row],[Cliente]]</f>
        <v>#VALUE!</v>
      </c>
      <c r="D209" t="e">
        <f>RigheOfferte[[#This Row],[sub_cliente]]</f>
        <v>#VALUE!</v>
      </c>
      <c r="E209" t="e">
        <f>RigheOfferte[[#This Row],[cod.Art.]]</f>
        <v>#VALUE!</v>
      </c>
      <c r="F209" t="e">
        <f>RigheOfferte[[#This Row],[Descrizione]]</f>
        <v>#VALUE!</v>
      </c>
      <c r="G209" t="e">
        <f>RigheOfferte[[#This Row],[Q.ta'']]</f>
        <v>#VALUE!</v>
      </c>
      <c r="H209" t="e">
        <f>RigheOfferte[[#This Row],[Lavorazione]]</f>
        <v>#VALUE!</v>
      </c>
      <c r="I209" t="e">
        <f>RigheOfferte[[#This Row],[Colore]]</f>
        <v>#VALUE!</v>
      </c>
      <c r="J209" t="e">
        <f>RigheOfferte[[#This Row],[Velocità]]</f>
        <v>#VALUE!</v>
      </c>
      <c r="K209" t="e">
        <f>RigheOfferte[[#This Row],[Superf.pz Mq]]</f>
        <v>#VALUE!</v>
      </c>
      <c r="L209" t="e">
        <f>RigheOfferte[[#This Row],[passo]]</f>
        <v>#VALUE!</v>
      </c>
      <c r="M209" t="e">
        <f>RigheOfferte[[#This Row],[nr.pezzi Telaio]]</f>
        <v>#VALUE!</v>
      </c>
      <c r="N209" t="e">
        <f>RigheOfferte[[#This Row],[nr.pezzi ora-unita]]</f>
        <v>#VALUE!</v>
      </c>
      <c r="O209" t="e">
        <f>Tabella1[[#This Row],[superificie]]*Resa</f>
        <v>#VALUE!</v>
      </c>
      <c r="P209" t="e">
        <f>Tabella1[[#This Row],[KgPezzo]]*Tabella1[[#This Row],[q.ta offerta]]</f>
        <v>#VALUE!</v>
      </c>
      <c r="Q209" t="e">
        <f>RigheOfferte[[#This Row],[QtaProtez]]</f>
        <v>#VALUE!</v>
      </c>
      <c r="R209" t="e">
        <f>RigheOfferte[[#This Row],[Tipo Protezione]]</f>
        <v>#VALUE!</v>
      </c>
    </row>
    <row r="210" spans="1:18">
      <c r="A210" t="e">
        <f>RigheOfferte[[#This Row],[Nprev]]</f>
        <v>#VALUE!</v>
      </c>
      <c r="B210" t="e">
        <f>RigheOfferte[[#This Row],[Nriga]]</f>
        <v>#VALUE!</v>
      </c>
      <c r="C210" t="e">
        <f>RigheOfferte[[#This Row],[Cliente]]</f>
        <v>#VALUE!</v>
      </c>
      <c r="D210" t="e">
        <f>RigheOfferte[[#This Row],[sub_cliente]]</f>
        <v>#VALUE!</v>
      </c>
      <c r="E210" t="e">
        <f>RigheOfferte[[#This Row],[cod.Art.]]</f>
        <v>#VALUE!</v>
      </c>
      <c r="F210" t="e">
        <f>RigheOfferte[[#This Row],[Descrizione]]</f>
        <v>#VALUE!</v>
      </c>
      <c r="G210" t="e">
        <f>RigheOfferte[[#This Row],[Q.ta'']]</f>
        <v>#VALUE!</v>
      </c>
      <c r="H210" t="e">
        <f>RigheOfferte[[#This Row],[Lavorazione]]</f>
        <v>#VALUE!</v>
      </c>
      <c r="I210" t="e">
        <f>RigheOfferte[[#This Row],[Colore]]</f>
        <v>#VALUE!</v>
      </c>
      <c r="J210" t="e">
        <f>RigheOfferte[[#This Row],[Velocità]]</f>
        <v>#VALUE!</v>
      </c>
      <c r="K210" t="e">
        <f>RigheOfferte[[#This Row],[Superf.pz Mq]]</f>
        <v>#VALUE!</v>
      </c>
      <c r="L210" t="e">
        <f>RigheOfferte[[#This Row],[passo]]</f>
        <v>#VALUE!</v>
      </c>
      <c r="M210" t="e">
        <f>RigheOfferte[[#This Row],[nr.pezzi Telaio]]</f>
        <v>#VALUE!</v>
      </c>
      <c r="N210" t="e">
        <f>RigheOfferte[[#This Row],[nr.pezzi ora-unita]]</f>
        <v>#VALUE!</v>
      </c>
      <c r="O210" t="e">
        <f>Tabella1[[#This Row],[superificie]]*Resa</f>
        <v>#VALUE!</v>
      </c>
      <c r="P210" t="e">
        <f>Tabella1[[#This Row],[KgPezzo]]*Tabella1[[#This Row],[q.ta offerta]]</f>
        <v>#VALUE!</v>
      </c>
      <c r="Q210" t="e">
        <f>RigheOfferte[[#This Row],[QtaProtez]]</f>
        <v>#VALUE!</v>
      </c>
      <c r="R210" t="e">
        <f>RigheOfferte[[#This Row],[Tipo Protezione]]</f>
        <v>#VALUE!</v>
      </c>
    </row>
    <row r="211" spans="1:18">
      <c r="A211" t="e">
        <f>RigheOfferte[[#This Row],[Nprev]]</f>
        <v>#VALUE!</v>
      </c>
      <c r="B211" t="e">
        <f>RigheOfferte[[#This Row],[Nriga]]</f>
        <v>#VALUE!</v>
      </c>
      <c r="C211" t="e">
        <f>RigheOfferte[[#This Row],[Cliente]]</f>
        <v>#VALUE!</v>
      </c>
      <c r="D211" t="e">
        <f>RigheOfferte[[#This Row],[sub_cliente]]</f>
        <v>#VALUE!</v>
      </c>
      <c r="E211" t="e">
        <f>RigheOfferte[[#This Row],[cod.Art.]]</f>
        <v>#VALUE!</v>
      </c>
      <c r="F211" t="e">
        <f>RigheOfferte[[#This Row],[Descrizione]]</f>
        <v>#VALUE!</v>
      </c>
      <c r="G211" t="e">
        <f>RigheOfferte[[#This Row],[Q.ta'']]</f>
        <v>#VALUE!</v>
      </c>
      <c r="H211" t="e">
        <f>RigheOfferte[[#This Row],[Lavorazione]]</f>
        <v>#VALUE!</v>
      </c>
      <c r="I211" t="e">
        <f>RigheOfferte[[#This Row],[Colore]]</f>
        <v>#VALUE!</v>
      </c>
      <c r="J211" t="e">
        <f>RigheOfferte[[#This Row],[Velocità]]</f>
        <v>#VALUE!</v>
      </c>
      <c r="K211" t="e">
        <f>RigheOfferte[[#This Row],[Superf.pz Mq]]</f>
        <v>#VALUE!</v>
      </c>
      <c r="L211" t="e">
        <f>RigheOfferte[[#This Row],[passo]]</f>
        <v>#VALUE!</v>
      </c>
      <c r="M211" t="e">
        <f>RigheOfferte[[#This Row],[nr.pezzi Telaio]]</f>
        <v>#VALUE!</v>
      </c>
      <c r="N211" t="e">
        <f>RigheOfferte[[#This Row],[nr.pezzi ora-unita]]</f>
        <v>#VALUE!</v>
      </c>
      <c r="O211" t="e">
        <f>Tabella1[[#This Row],[superificie]]*Resa</f>
        <v>#VALUE!</v>
      </c>
      <c r="P211" t="e">
        <f>Tabella1[[#This Row],[KgPezzo]]*Tabella1[[#This Row],[q.ta offerta]]</f>
        <v>#VALUE!</v>
      </c>
      <c r="Q211" t="e">
        <f>RigheOfferte[[#This Row],[QtaProtez]]</f>
        <v>#VALUE!</v>
      </c>
      <c r="R211" t="e">
        <f>RigheOfferte[[#This Row],[Tipo Protezione]]</f>
        <v>#VALUE!</v>
      </c>
    </row>
    <row r="212" spans="1:18">
      <c r="A212" t="e">
        <f>RigheOfferte[[#This Row],[Nprev]]</f>
        <v>#VALUE!</v>
      </c>
      <c r="B212" t="e">
        <f>RigheOfferte[[#This Row],[Nriga]]</f>
        <v>#VALUE!</v>
      </c>
      <c r="C212" t="e">
        <f>RigheOfferte[[#This Row],[Cliente]]</f>
        <v>#VALUE!</v>
      </c>
      <c r="D212" t="e">
        <f>RigheOfferte[[#This Row],[sub_cliente]]</f>
        <v>#VALUE!</v>
      </c>
      <c r="E212" t="e">
        <f>RigheOfferte[[#This Row],[cod.Art.]]</f>
        <v>#VALUE!</v>
      </c>
      <c r="F212" t="e">
        <f>RigheOfferte[[#This Row],[Descrizione]]</f>
        <v>#VALUE!</v>
      </c>
      <c r="G212" t="e">
        <f>RigheOfferte[[#This Row],[Q.ta'']]</f>
        <v>#VALUE!</v>
      </c>
      <c r="H212" t="e">
        <f>RigheOfferte[[#This Row],[Lavorazione]]</f>
        <v>#VALUE!</v>
      </c>
      <c r="I212" t="e">
        <f>RigheOfferte[[#This Row],[Colore]]</f>
        <v>#VALUE!</v>
      </c>
      <c r="J212" t="e">
        <f>RigheOfferte[[#This Row],[Velocità]]</f>
        <v>#VALUE!</v>
      </c>
      <c r="K212" t="e">
        <f>RigheOfferte[[#This Row],[Superf.pz Mq]]</f>
        <v>#VALUE!</v>
      </c>
      <c r="L212" t="e">
        <f>RigheOfferte[[#This Row],[passo]]</f>
        <v>#VALUE!</v>
      </c>
      <c r="M212" t="e">
        <f>RigheOfferte[[#This Row],[nr.pezzi Telaio]]</f>
        <v>#VALUE!</v>
      </c>
      <c r="N212" t="e">
        <f>RigheOfferte[[#This Row],[nr.pezzi ora-unita]]</f>
        <v>#VALUE!</v>
      </c>
      <c r="O212" t="e">
        <f>Tabella1[[#This Row],[superificie]]*Resa</f>
        <v>#VALUE!</v>
      </c>
      <c r="P212" t="e">
        <f>Tabella1[[#This Row],[KgPezzo]]*Tabella1[[#This Row],[q.ta offerta]]</f>
        <v>#VALUE!</v>
      </c>
      <c r="Q212" t="e">
        <f>RigheOfferte[[#This Row],[QtaProtez]]</f>
        <v>#VALUE!</v>
      </c>
      <c r="R212" t="e">
        <f>RigheOfferte[[#This Row],[Tipo Protezione]]</f>
        <v>#VALUE!</v>
      </c>
    </row>
    <row r="213" spans="1:18">
      <c r="A213" t="e">
        <f>RigheOfferte[[#This Row],[Nprev]]</f>
        <v>#VALUE!</v>
      </c>
      <c r="B213" t="e">
        <f>RigheOfferte[[#This Row],[Nriga]]</f>
        <v>#VALUE!</v>
      </c>
      <c r="C213" t="e">
        <f>RigheOfferte[[#This Row],[Cliente]]</f>
        <v>#VALUE!</v>
      </c>
      <c r="D213" t="e">
        <f>RigheOfferte[[#This Row],[sub_cliente]]</f>
        <v>#VALUE!</v>
      </c>
      <c r="E213" t="e">
        <f>RigheOfferte[[#This Row],[cod.Art.]]</f>
        <v>#VALUE!</v>
      </c>
      <c r="F213" t="e">
        <f>RigheOfferte[[#This Row],[Descrizione]]</f>
        <v>#VALUE!</v>
      </c>
      <c r="G213" t="e">
        <f>RigheOfferte[[#This Row],[Q.ta'']]</f>
        <v>#VALUE!</v>
      </c>
      <c r="H213" t="e">
        <f>RigheOfferte[[#This Row],[Lavorazione]]</f>
        <v>#VALUE!</v>
      </c>
      <c r="I213" t="e">
        <f>RigheOfferte[[#This Row],[Colore]]</f>
        <v>#VALUE!</v>
      </c>
      <c r="J213" t="e">
        <f>RigheOfferte[[#This Row],[Velocità]]</f>
        <v>#VALUE!</v>
      </c>
      <c r="K213" t="e">
        <f>RigheOfferte[[#This Row],[Superf.pz Mq]]</f>
        <v>#VALUE!</v>
      </c>
      <c r="L213" t="e">
        <f>RigheOfferte[[#This Row],[passo]]</f>
        <v>#VALUE!</v>
      </c>
      <c r="M213" t="e">
        <f>RigheOfferte[[#This Row],[nr.pezzi Telaio]]</f>
        <v>#VALUE!</v>
      </c>
      <c r="N213" t="e">
        <f>RigheOfferte[[#This Row],[nr.pezzi ora-unita]]</f>
        <v>#VALUE!</v>
      </c>
      <c r="O213" t="e">
        <f>Tabella1[[#This Row],[superificie]]*Resa</f>
        <v>#VALUE!</v>
      </c>
      <c r="P213" t="e">
        <f>Tabella1[[#This Row],[KgPezzo]]*Tabella1[[#This Row],[q.ta offerta]]</f>
        <v>#VALUE!</v>
      </c>
      <c r="Q213" t="e">
        <f>RigheOfferte[[#This Row],[QtaProtez]]</f>
        <v>#VALUE!</v>
      </c>
      <c r="R213" t="e">
        <f>RigheOfferte[[#This Row],[Tipo Protezione]]</f>
        <v>#VALUE!</v>
      </c>
    </row>
    <row r="214" spans="1:18">
      <c r="A214" t="e">
        <f>RigheOfferte[[#This Row],[Nprev]]</f>
        <v>#VALUE!</v>
      </c>
      <c r="B214" t="e">
        <f>RigheOfferte[[#This Row],[Nriga]]</f>
        <v>#VALUE!</v>
      </c>
      <c r="C214" t="e">
        <f>RigheOfferte[[#This Row],[Cliente]]</f>
        <v>#VALUE!</v>
      </c>
      <c r="D214" t="e">
        <f>RigheOfferte[[#This Row],[sub_cliente]]</f>
        <v>#VALUE!</v>
      </c>
      <c r="E214" t="e">
        <f>RigheOfferte[[#This Row],[cod.Art.]]</f>
        <v>#VALUE!</v>
      </c>
      <c r="F214" t="e">
        <f>RigheOfferte[[#This Row],[Descrizione]]</f>
        <v>#VALUE!</v>
      </c>
      <c r="G214" t="e">
        <f>RigheOfferte[[#This Row],[Q.ta'']]</f>
        <v>#VALUE!</v>
      </c>
      <c r="H214" t="e">
        <f>RigheOfferte[[#This Row],[Lavorazione]]</f>
        <v>#VALUE!</v>
      </c>
      <c r="I214" t="e">
        <f>RigheOfferte[[#This Row],[Colore]]</f>
        <v>#VALUE!</v>
      </c>
      <c r="J214" t="e">
        <f>RigheOfferte[[#This Row],[Velocità]]</f>
        <v>#VALUE!</v>
      </c>
      <c r="K214" t="e">
        <f>RigheOfferte[[#This Row],[Superf.pz Mq]]</f>
        <v>#VALUE!</v>
      </c>
      <c r="L214" t="e">
        <f>RigheOfferte[[#This Row],[passo]]</f>
        <v>#VALUE!</v>
      </c>
      <c r="M214" t="e">
        <f>RigheOfferte[[#This Row],[nr.pezzi Telaio]]</f>
        <v>#VALUE!</v>
      </c>
      <c r="N214" t="e">
        <f>RigheOfferte[[#This Row],[nr.pezzi ora-unita]]</f>
        <v>#VALUE!</v>
      </c>
      <c r="O214" t="e">
        <f>Tabella1[[#This Row],[superificie]]*Resa</f>
        <v>#VALUE!</v>
      </c>
      <c r="P214" t="e">
        <f>Tabella1[[#This Row],[KgPezzo]]*Tabella1[[#This Row],[q.ta offerta]]</f>
        <v>#VALUE!</v>
      </c>
      <c r="Q214" t="e">
        <f>RigheOfferte[[#This Row],[QtaProtez]]</f>
        <v>#VALUE!</v>
      </c>
      <c r="R214" t="e">
        <f>RigheOfferte[[#This Row],[Tipo Protezione]]</f>
        <v>#VALUE!</v>
      </c>
    </row>
    <row r="215" spans="1:18">
      <c r="A215" t="e">
        <f>RigheOfferte[[#This Row],[Nprev]]</f>
        <v>#VALUE!</v>
      </c>
      <c r="B215" t="e">
        <f>RigheOfferte[[#This Row],[Nriga]]</f>
        <v>#VALUE!</v>
      </c>
      <c r="C215" t="e">
        <f>RigheOfferte[[#This Row],[Cliente]]</f>
        <v>#VALUE!</v>
      </c>
      <c r="D215" t="e">
        <f>RigheOfferte[[#This Row],[sub_cliente]]</f>
        <v>#VALUE!</v>
      </c>
      <c r="E215" t="e">
        <f>RigheOfferte[[#This Row],[cod.Art.]]</f>
        <v>#VALUE!</v>
      </c>
      <c r="F215" t="e">
        <f>RigheOfferte[[#This Row],[Descrizione]]</f>
        <v>#VALUE!</v>
      </c>
      <c r="G215" t="e">
        <f>RigheOfferte[[#This Row],[Q.ta'']]</f>
        <v>#VALUE!</v>
      </c>
      <c r="H215" t="e">
        <f>RigheOfferte[[#This Row],[Lavorazione]]</f>
        <v>#VALUE!</v>
      </c>
      <c r="I215" t="e">
        <f>RigheOfferte[[#This Row],[Colore]]</f>
        <v>#VALUE!</v>
      </c>
      <c r="J215" t="e">
        <f>RigheOfferte[[#This Row],[Velocità]]</f>
        <v>#VALUE!</v>
      </c>
      <c r="K215" t="e">
        <f>RigheOfferte[[#This Row],[Superf.pz Mq]]</f>
        <v>#VALUE!</v>
      </c>
      <c r="L215" t="e">
        <f>RigheOfferte[[#This Row],[passo]]</f>
        <v>#VALUE!</v>
      </c>
      <c r="M215" t="e">
        <f>RigheOfferte[[#This Row],[nr.pezzi Telaio]]</f>
        <v>#VALUE!</v>
      </c>
      <c r="N215" t="e">
        <f>RigheOfferte[[#This Row],[nr.pezzi ora-unita]]</f>
        <v>#VALUE!</v>
      </c>
      <c r="O215" t="e">
        <f>Tabella1[[#This Row],[superificie]]*Resa</f>
        <v>#VALUE!</v>
      </c>
      <c r="P215" t="e">
        <f>Tabella1[[#This Row],[KgPezzo]]*Tabella1[[#This Row],[q.ta offerta]]</f>
        <v>#VALUE!</v>
      </c>
      <c r="Q215" t="e">
        <f>RigheOfferte[[#This Row],[QtaProtez]]</f>
        <v>#VALUE!</v>
      </c>
      <c r="R215" t="e">
        <f>RigheOfferte[[#This Row],[Tipo Protezione]]</f>
        <v>#VALUE!</v>
      </c>
    </row>
    <row r="216" spans="1:18">
      <c r="A216" t="e">
        <f>RigheOfferte[[#This Row],[Nprev]]</f>
        <v>#VALUE!</v>
      </c>
      <c r="B216" t="e">
        <f>RigheOfferte[[#This Row],[Nriga]]</f>
        <v>#VALUE!</v>
      </c>
      <c r="C216" t="e">
        <f>RigheOfferte[[#This Row],[Cliente]]</f>
        <v>#VALUE!</v>
      </c>
      <c r="D216" t="e">
        <f>RigheOfferte[[#This Row],[sub_cliente]]</f>
        <v>#VALUE!</v>
      </c>
      <c r="E216" t="e">
        <f>RigheOfferte[[#This Row],[cod.Art.]]</f>
        <v>#VALUE!</v>
      </c>
      <c r="F216" t="e">
        <f>RigheOfferte[[#This Row],[Descrizione]]</f>
        <v>#VALUE!</v>
      </c>
      <c r="G216" t="e">
        <f>RigheOfferte[[#This Row],[Q.ta'']]</f>
        <v>#VALUE!</v>
      </c>
      <c r="H216" t="e">
        <f>RigheOfferte[[#This Row],[Lavorazione]]</f>
        <v>#VALUE!</v>
      </c>
      <c r="I216" t="e">
        <f>RigheOfferte[[#This Row],[Colore]]</f>
        <v>#VALUE!</v>
      </c>
      <c r="J216" t="e">
        <f>RigheOfferte[[#This Row],[Velocità]]</f>
        <v>#VALUE!</v>
      </c>
      <c r="K216" t="e">
        <f>RigheOfferte[[#This Row],[Superf.pz Mq]]</f>
        <v>#VALUE!</v>
      </c>
      <c r="L216" t="e">
        <f>RigheOfferte[[#This Row],[passo]]</f>
        <v>#VALUE!</v>
      </c>
      <c r="M216" t="e">
        <f>RigheOfferte[[#This Row],[nr.pezzi Telaio]]</f>
        <v>#VALUE!</v>
      </c>
      <c r="N216" t="e">
        <f>RigheOfferte[[#This Row],[nr.pezzi ora-unita]]</f>
        <v>#VALUE!</v>
      </c>
      <c r="O216" t="e">
        <f>Tabella1[[#This Row],[superificie]]*Resa</f>
        <v>#VALUE!</v>
      </c>
      <c r="P216" t="e">
        <f>Tabella1[[#This Row],[KgPezzo]]*Tabella1[[#This Row],[q.ta offerta]]</f>
        <v>#VALUE!</v>
      </c>
      <c r="Q216" t="e">
        <f>RigheOfferte[[#This Row],[QtaProtez]]</f>
        <v>#VALUE!</v>
      </c>
      <c r="R216" t="e">
        <f>RigheOfferte[[#This Row],[Tipo Protezione]]</f>
        <v>#VALUE!</v>
      </c>
    </row>
    <row r="217" spans="1:18">
      <c r="A217" t="e">
        <f>RigheOfferte[[#This Row],[Nprev]]</f>
        <v>#VALUE!</v>
      </c>
      <c r="B217" t="e">
        <f>RigheOfferte[[#This Row],[Nriga]]</f>
        <v>#VALUE!</v>
      </c>
      <c r="C217" t="e">
        <f>RigheOfferte[[#This Row],[Cliente]]</f>
        <v>#VALUE!</v>
      </c>
      <c r="D217" t="e">
        <f>RigheOfferte[[#This Row],[sub_cliente]]</f>
        <v>#VALUE!</v>
      </c>
      <c r="E217" t="e">
        <f>RigheOfferte[[#This Row],[cod.Art.]]</f>
        <v>#VALUE!</v>
      </c>
      <c r="F217" t="e">
        <f>RigheOfferte[[#This Row],[Descrizione]]</f>
        <v>#VALUE!</v>
      </c>
      <c r="G217" t="e">
        <f>RigheOfferte[[#This Row],[Q.ta'']]</f>
        <v>#VALUE!</v>
      </c>
      <c r="H217" t="e">
        <f>RigheOfferte[[#This Row],[Lavorazione]]</f>
        <v>#VALUE!</v>
      </c>
      <c r="I217" t="e">
        <f>RigheOfferte[[#This Row],[Colore]]</f>
        <v>#VALUE!</v>
      </c>
      <c r="J217" t="e">
        <f>RigheOfferte[[#This Row],[Velocità]]</f>
        <v>#VALUE!</v>
      </c>
      <c r="K217" t="e">
        <f>RigheOfferte[[#This Row],[Superf.pz Mq]]</f>
        <v>#VALUE!</v>
      </c>
      <c r="L217" t="e">
        <f>RigheOfferte[[#This Row],[passo]]</f>
        <v>#VALUE!</v>
      </c>
      <c r="M217" t="e">
        <f>RigheOfferte[[#This Row],[nr.pezzi Telaio]]</f>
        <v>#VALUE!</v>
      </c>
      <c r="N217" t="e">
        <f>RigheOfferte[[#This Row],[nr.pezzi ora-unita]]</f>
        <v>#VALUE!</v>
      </c>
      <c r="O217" t="e">
        <f>Tabella1[[#This Row],[superificie]]*Resa</f>
        <v>#VALUE!</v>
      </c>
      <c r="P217" t="e">
        <f>Tabella1[[#This Row],[KgPezzo]]*Tabella1[[#This Row],[q.ta offerta]]</f>
        <v>#VALUE!</v>
      </c>
      <c r="Q217" t="e">
        <f>RigheOfferte[[#This Row],[QtaProtez]]</f>
        <v>#VALUE!</v>
      </c>
      <c r="R217" t="e">
        <f>RigheOfferte[[#This Row],[Tipo Protezione]]</f>
        <v>#VALUE!</v>
      </c>
    </row>
    <row r="218" spans="1:18">
      <c r="A218" t="e">
        <f>RigheOfferte[[#This Row],[Nprev]]</f>
        <v>#VALUE!</v>
      </c>
      <c r="B218" t="e">
        <f>RigheOfferte[[#This Row],[Nriga]]</f>
        <v>#VALUE!</v>
      </c>
      <c r="C218" t="e">
        <f>RigheOfferte[[#This Row],[Cliente]]</f>
        <v>#VALUE!</v>
      </c>
      <c r="D218" t="e">
        <f>RigheOfferte[[#This Row],[sub_cliente]]</f>
        <v>#VALUE!</v>
      </c>
      <c r="E218" t="e">
        <f>RigheOfferte[[#This Row],[cod.Art.]]</f>
        <v>#VALUE!</v>
      </c>
      <c r="F218" t="e">
        <f>RigheOfferte[[#This Row],[Descrizione]]</f>
        <v>#VALUE!</v>
      </c>
      <c r="G218" t="e">
        <f>RigheOfferte[[#This Row],[Q.ta'']]</f>
        <v>#VALUE!</v>
      </c>
      <c r="H218" t="e">
        <f>RigheOfferte[[#This Row],[Lavorazione]]</f>
        <v>#VALUE!</v>
      </c>
      <c r="I218" t="e">
        <f>RigheOfferte[[#This Row],[Colore]]</f>
        <v>#VALUE!</v>
      </c>
      <c r="J218" t="e">
        <f>RigheOfferte[[#This Row],[Velocità]]</f>
        <v>#VALUE!</v>
      </c>
      <c r="K218" t="e">
        <f>RigheOfferte[[#This Row],[Superf.pz Mq]]</f>
        <v>#VALUE!</v>
      </c>
      <c r="L218" t="e">
        <f>RigheOfferte[[#This Row],[passo]]</f>
        <v>#VALUE!</v>
      </c>
      <c r="M218" t="e">
        <f>RigheOfferte[[#This Row],[nr.pezzi Telaio]]</f>
        <v>#VALUE!</v>
      </c>
      <c r="N218" t="e">
        <f>RigheOfferte[[#This Row],[nr.pezzi ora-unita]]</f>
        <v>#VALUE!</v>
      </c>
      <c r="O218" t="e">
        <f>Tabella1[[#This Row],[superificie]]*Resa</f>
        <v>#VALUE!</v>
      </c>
      <c r="P218" t="e">
        <f>Tabella1[[#This Row],[KgPezzo]]*Tabella1[[#This Row],[q.ta offerta]]</f>
        <v>#VALUE!</v>
      </c>
      <c r="Q218" t="e">
        <f>RigheOfferte[[#This Row],[QtaProtez]]</f>
        <v>#VALUE!</v>
      </c>
      <c r="R218" t="e">
        <f>RigheOfferte[[#This Row],[Tipo Protezione]]</f>
        <v>#VALUE!</v>
      </c>
    </row>
    <row r="219" spans="1:18">
      <c r="A219" t="e">
        <f>RigheOfferte[[#This Row],[Nprev]]</f>
        <v>#VALUE!</v>
      </c>
      <c r="B219" t="e">
        <f>RigheOfferte[[#This Row],[Nriga]]</f>
        <v>#VALUE!</v>
      </c>
      <c r="C219" t="e">
        <f>RigheOfferte[[#This Row],[Cliente]]</f>
        <v>#VALUE!</v>
      </c>
      <c r="D219" t="e">
        <f>RigheOfferte[[#This Row],[sub_cliente]]</f>
        <v>#VALUE!</v>
      </c>
      <c r="E219" t="e">
        <f>RigheOfferte[[#This Row],[cod.Art.]]</f>
        <v>#VALUE!</v>
      </c>
      <c r="F219" t="e">
        <f>RigheOfferte[[#This Row],[Descrizione]]</f>
        <v>#VALUE!</v>
      </c>
      <c r="G219" t="e">
        <f>RigheOfferte[[#This Row],[Q.ta'']]</f>
        <v>#VALUE!</v>
      </c>
      <c r="H219" t="e">
        <f>RigheOfferte[[#This Row],[Lavorazione]]</f>
        <v>#VALUE!</v>
      </c>
      <c r="I219" t="e">
        <f>RigheOfferte[[#This Row],[Colore]]</f>
        <v>#VALUE!</v>
      </c>
      <c r="J219" t="e">
        <f>RigheOfferte[[#This Row],[Velocità]]</f>
        <v>#VALUE!</v>
      </c>
      <c r="K219" t="e">
        <f>RigheOfferte[[#This Row],[Superf.pz Mq]]</f>
        <v>#VALUE!</v>
      </c>
      <c r="L219" t="e">
        <f>RigheOfferte[[#This Row],[passo]]</f>
        <v>#VALUE!</v>
      </c>
      <c r="M219" t="e">
        <f>RigheOfferte[[#This Row],[nr.pezzi Telaio]]</f>
        <v>#VALUE!</v>
      </c>
      <c r="N219" t="e">
        <f>RigheOfferte[[#This Row],[nr.pezzi ora-unita]]</f>
        <v>#VALUE!</v>
      </c>
      <c r="O219" t="e">
        <f>Tabella1[[#This Row],[superificie]]*Resa</f>
        <v>#VALUE!</v>
      </c>
      <c r="P219" t="e">
        <f>Tabella1[[#This Row],[KgPezzo]]*Tabella1[[#This Row],[q.ta offerta]]</f>
        <v>#VALUE!</v>
      </c>
      <c r="Q219" t="e">
        <f>RigheOfferte[[#This Row],[QtaProtez]]</f>
        <v>#VALUE!</v>
      </c>
      <c r="R219" t="e">
        <f>RigheOfferte[[#This Row],[Tipo Protezione]]</f>
        <v>#VALUE!</v>
      </c>
    </row>
    <row r="220" spans="1:18">
      <c r="A220" t="e">
        <f>RigheOfferte[[#This Row],[Nprev]]</f>
        <v>#VALUE!</v>
      </c>
      <c r="B220" t="e">
        <f>RigheOfferte[[#This Row],[Nriga]]</f>
        <v>#VALUE!</v>
      </c>
      <c r="C220" t="e">
        <f>RigheOfferte[[#This Row],[Cliente]]</f>
        <v>#VALUE!</v>
      </c>
      <c r="D220" t="e">
        <f>RigheOfferte[[#This Row],[sub_cliente]]</f>
        <v>#VALUE!</v>
      </c>
      <c r="E220" t="e">
        <f>RigheOfferte[[#This Row],[cod.Art.]]</f>
        <v>#VALUE!</v>
      </c>
      <c r="F220" t="e">
        <f>RigheOfferte[[#This Row],[Descrizione]]</f>
        <v>#VALUE!</v>
      </c>
      <c r="G220" t="e">
        <f>RigheOfferte[[#This Row],[Q.ta'']]</f>
        <v>#VALUE!</v>
      </c>
      <c r="H220" t="e">
        <f>RigheOfferte[[#This Row],[Lavorazione]]</f>
        <v>#VALUE!</v>
      </c>
      <c r="I220" t="e">
        <f>RigheOfferte[[#This Row],[Colore]]</f>
        <v>#VALUE!</v>
      </c>
      <c r="J220" t="e">
        <f>RigheOfferte[[#This Row],[Velocità]]</f>
        <v>#VALUE!</v>
      </c>
      <c r="K220" t="e">
        <f>RigheOfferte[[#This Row],[Superf.pz Mq]]</f>
        <v>#VALUE!</v>
      </c>
      <c r="L220" t="e">
        <f>RigheOfferte[[#This Row],[passo]]</f>
        <v>#VALUE!</v>
      </c>
      <c r="M220" t="e">
        <f>RigheOfferte[[#This Row],[nr.pezzi Telaio]]</f>
        <v>#VALUE!</v>
      </c>
      <c r="N220" t="e">
        <f>RigheOfferte[[#This Row],[nr.pezzi ora-unita]]</f>
        <v>#VALUE!</v>
      </c>
      <c r="O220" t="e">
        <f>Tabella1[[#This Row],[superificie]]*Resa</f>
        <v>#VALUE!</v>
      </c>
      <c r="P220" t="e">
        <f>Tabella1[[#This Row],[KgPezzo]]*Tabella1[[#This Row],[q.ta offerta]]</f>
        <v>#VALUE!</v>
      </c>
      <c r="Q220" t="e">
        <f>RigheOfferte[[#This Row],[QtaProtez]]</f>
        <v>#VALUE!</v>
      </c>
      <c r="R220" t="e">
        <f>RigheOfferte[[#This Row],[Tipo Protezione]]</f>
        <v>#VALUE!</v>
      </c>
    </row>
    <row r="221" spans="1:18">
      <c r="A221" t="e">
        <f>RigheOfferte[[#This Row],[Nprev]]</f>
        <v>#VALUE!</v>
      </c>
      <c r="B221" t="e">
        <f>RigheOfferte[[#This Row],[Nriga]]</f>
        <v>#VALUE!</v>
      </c>
      <c r="C221" t="e">
        <f>RigheOfferte[[#This Row],[Cliente]]</f>
        <v>#VALUE!</v>
      </c>
      <c r="D221" t="e">
        <f>RigheOfferte[[#This Row],[sub_cliente]]</f>
        <v>#VALUE!</v>
      </c>
      <c r="E221" t="e">
        <f>RigheOfferte[[#This Row],[cod.Art.]]</f>
        <v>#VALUE!</v>
      </c>
      <c r="F221" t="e">
        <f>RigheOfferte[[#This Row],[Descrizione]]</f>
        <v>#VALUE!</v>
      </c>
      <c r="G221" t="e">
        <f>RigheOfferte[[#This Row],[Q.ta'']]</f>
        <v>#VALUE!</v>
      </c>
      <c r="H221" t="e">
        <f>RigheOfferte[[#This Row],[Lavorazione]]</f>
        <v>#VALUE!</v>
      </c>
      <c r="I221" t="e">
        <f>RigheOfferte[[#This Row],[Colore]]</f>
        <v>#VALUE!</v>
      </c>
      <c r="J221" t="e">
        <f>RigheOfferte[[#This Row],[Velocità]]</f>
        <v>#VALUE!</v>
      </c>
      <c r="K221" t="e">
        <f>RigheOfferte[[#This Row],[Superf.pz Mq]]</f>
        <v>#VALUE!</v>
      </c>
      <c r="L221" t="e">
        <f>RigheOfferte[[#This Row],[passo]]</f>
        <v>#VALUE!</v>
      </c>
      <c r="M221" t="e">
        <f>RigheOfferte[[#This Row],[nr.pezzi Telaio]]</f>
        <v>#VALUE!</v>
      </c>
      <c r="N221" t="e">
        <f>RigheOfferte[[#This Row],[nr.pezzi ora-unita]]</f>
        <v>#VALUE!</v>
      </c>
      <c r="O221" t="e">
        <f>Tabella1[[#This Row],[superificie]]*Resa</f>
        <v>#VALUE!</v>
      </c>
      <c r="P221" t="e">
        <f>Tabella1[[#This Row],[KgPezzo]]*Tabella1[[#This Row],[q.ta offerta]]</f>
        <v>#VALUE!</v>
      </c>
      <c r="Q221" t="e">
        <f>RigheOfferte[[#This Row],[QtaProtez]]</f>
        <v>#VALUE!</v>
      </c>
      <c r="R221" t="e">
        <f>RigheOfferte[[#This Row],[Tipo Protezione]]</f>
        <v>#VALUE!</v>
      </c>
    </row>
    <row r="222" spans="1:18">
      <c r="A222" t="e">
        <f>RigheOfferte[[#This Row],[Nprev]]</f>
        <v>#VALUE!</v>
      </c>
      <c r="B222" t="e">
        <f>RigheOfferte[[#This Row],[Nriga]]</f>
        <v>#VALUE!</v>
      </c>
      <c r="C222" t="e">
        <f>RigheOfferte[[#This Row],[Cliente]]</f>
        <v>#VALUE!</v>
      </c>
      <c r="D222" t="e">
        <f>RigheOfferte[[#This Row],[sub_cliente]]</f>
        <v>#VALUE!</v>
      </c>
      <c r="E222" t="e">
        <f>RigheOfferte[[#This Row],[cod.Art.]]</f>
        <v>#VALUE!</v>
      </c>
      <c r="F222" t="e">
        <f>RigheOfferte[[#This Row],[Descrizione]]</f>
        <v>#VALUE!</v>
      </c>
      <c r="G222" t="e">
        <f>RigheOfferte[[#This Row],[Q.ta'']]</f>
        <v>#VALUE!</v>
      </c>
      <c r="H222" t="e">
        <f>RigheOfferte[[#This Row],[Lavorazione]]</f>
        <v>#VALUE!</v>
      </c>
      <c r="I222" t="e">
        <f>RigheOfferte[[#This Row],[Colore]]</f>
        <v>#VALUE!</v>
      </c>
      <c r="J222" t="e">
        <f>RigheOfferte[[#This Row],[Velocità]]</f>
        <v>#VALUE!</v>
      </c>
      <c r="K222" t="e">
        <f>RigheOfferte[[#This Row],[Superf.pz Mq]]</f>
        <v>#VALUE!</v>
      </c>
      <c r="L222" t="e">
        <f>RigheOfferte[[#This Row],[passo]]</f>
        <v>#VALUE!</v>
      </c>
      <c r="M222" t="e">
        <f>RigheOfferte[[#This Row],[nr.pezzi Telaio]]</f>
        <v>#VALUE!</v>
      </c>
      <c r="N222" t="e">
        <f>RigheOfferte[[#This Row],[nr.pezzi ora-unita]]</f>
        <v>#VALUE!</v>
      </c>
      <c r="O222" t="e">
        <f>Tabella1[[#This Row],[superificie]]*Resa</f>
        <v>#VALUE!</v>
      </c>
      <c r="P222" t="e">
        <f>Tabella1[[#This Row],[KgPezzo]]*Tabella1[[#This Row],[q.ta offerta]]</f>
        <v>#VALUE!</v>
      </c>
      <c r="Q222" t="e">
        <f>RigheOfferte[[#This Row],[QtaProtez]]</f>
        <v>#VALUE!</v>
      </c>
      <c r="R222" t="e">
        <f>RigheOfferte[[#This Row],[Tipo Protezione]]</f>
        <v>#VALUE!</v>
      </c>
    </row>
    <row r="223" spans="1:18">
      <c r="A223" t="e">
        <f>RigheOfferte[[#This Row],[Nprev]]</f>
        <v>#VALUE!</v>
      </c>
      <c r="B223" t="e">
        <f>RigheOfferte[[#This Row],[Nriga]]</f>
        <v>#VALUE!</v>
      </c>
      <c r="C223" t="e">
        <f>RigheOfferte[[#This Row],[Cliente]]</f>
        <v>#VALUE!</v>
      </c>
      <c r="D223" t="e">
        <f>RigheOfferte[[#This Row],[sub_cliente]]</f>
        <v>#VALUE!</v>
      </c>
      <c r="E223" t="e">
        <f>RigheOfferte[[#This Row],[cod.Art.]]</f>
        <v>#VALUE!</v>
      </c>
      <c r="F223" t="e">
        <f>RigheOfferte[[#This Row],[Descrizione]]</f>
        <v>#VALUE!</v>
      </c>
      <c r="G223" t="e">
        <f>RigheOfferte[[#This Row],[Q.ta'']]</f>
        <v>#VALUE!</v>
      </c>
      <c r="H223" t="e">
        <f>RigheOfferte[[#This Row],[Lavorazione]]</f>
        <v>#VALUE!</v>
      </c>
      <c r="I223" t="e">
        <f>RigheOfferte[[#This Row],[Colore]]</f>
        <v>#VALUE!</v>
      </c>
      <c r="J223" t="e">
        <f>RigheOfferte[[#This Row],[Velocità]]</f>
        <v>#VALUE!</v>
      </c>
      <c r="K223" t="e">
        <f>RigheOfferte[[#This Row],[Superf.pz Mq]]</f>
        <v>#VALUE!</v>
      </c>
      <c r="L223" t="e">
        <f>RigheOfferte[[#This Row],[passo]]</f>
        <v>#VALUE!</v>
      </c>
      <c r="M223" t="e">
        <f>RigheOfferte[[#This Row],[nr.pezzi Telaio]]</f>
        <v>#VALUE!</v>
      </c>
      <c r="N223" t="e">
        <f>RigheOfferte[[#This Row],[nr.pezzi ora-unita]]</f>
        <v>#VALUE!</v>
      </c>
      <c r="O223" t="e">
        <f>Tabella1[[#This Row],[superificie]]*Resa</f>
        <v>#VALUE!</v>
      </c>
      <c r="P223" t="e">
        <f>Tabella1[[#This Row],[KgPezzo]]*Tabella1[[#This Row],[q.ta offerta]]</f>
        <v>#VALUE!</v>
      </c>
      <c r="Q223" t="e">
        <f>RigheOfferte[[#This Row],[QtaProtez]]</f>
        <v>#VALUE!</v>
      </c>
      <c r="R223" t="e">
        <f>RigheOfferte[[#This Row],[Tipo Protezione]]</f>
        <v>#VALUE!</v>
      </c>
    </row>
    <row r="224" spans="1:18">
      <c r="A224" t="e">
        <f>RigheOfferte[[#This Row],[Nprev]]</f>
        <v>#VALUE!</v>
      </c>
      <c r="B224" t="e">
        <f>RigheOfferte[[#This Row],[Nriga]]</f>
        <v>#VALUE!</v>
      </c>
      <c r="C224" t="e">
        <f>RigheOfferte[[#This Row],[Cliente]]</f>
        <v>#VALUE!</v>
      </c>
      <c r="D224" t="e">
        <f>RigheOfferte[[#This Row],[sub_cliente]]</f>
        <v>#VALUE!</v>
      </c>
      <c r="E224" t="e">
        <f>RigheOfferte[[#This Row],[cod.Art.]]</f>
        <v>#VALUE!</v>
      </c>
      <c r="F224" t="e">
        <f>RigheOfferte[[#This Row],[Descrizione]]</f>
        <v>#VALUE!</v>
      </c>
      <c r="G224" t="e">
        <f>RigheOfferte[[#This Row],[Q.ta'']]</f>
        <v>#VALUE!</v>
      </c>
      <c r="H224" t="e">
        <f>RigheOfferte[[#This Row],[Lavorazione]]</f>
        <v>#VALUE!</v>
      </c>
      <c r="I224" t="e">
        <f>RigheOfferte[[#This Row],[Colore]]</f>
        <v>#VALUE!</v>
      </c>
      <c r="J224" t="e">
        <f>RigheOfferte[[#This Row],[Velocità]]</f>
        <v>#VALUE!</v>
      </c>
      <c r="K224" t="e">
        <f>RigheOfferte[[#This Row],[Superf.pz Mq]]</f>
        <v>#VALUE!</v>
      </c>
      <c r="L224" t="e">
        <f>RigheOfferte[[#This Row],[passo]]</f>
        <v>#VALUE!</v>
      </c>
      <c r="M224" t="e">
        <f>RigheOfferte[[#This Row],[nr.pezzi Telaio]]</f>
        <v>#VALUE!</v>
      </c>
      <c r="N224" t="e">
        <f>RigheOfferte[[#This Row],[nr.pezzi ora-unita]]</f>
        <v>#VALUE!</v>
      </c>
      <c r="O224" t="e">
        <f>Tabella1[[#This Row],[superificie]]*Resa</f>
        <v>#VALUE!</v>
      </c>
      <c r="P224" t="e">
        <f>Tabella1[[#This Row],[KgPezzo]]*Tabella1[[#This Row],[q.ta offerta]]</f>
        <v>#VALUE!</v>
      </c>
      <c r="Q224" t="e">
        <f>RigheOfferte[[#This Row],[QtaProtez]]</f>
        <v>#VALUE!</v>
      </c>
      <c r="R224" t="e">
        <f>RigheOfferte[[#This Row],[Tipo Protezione]]</f>
        <v>#VALUE!</v>
      </c>
    </row>
    <row r="225" spans="1:18">
      <c r="A225" t="e">
        <f>RigheOfferte[[#This Row],[Nprev]]</f>
        <v>#VALUE!</v>
      </c>
      <c r="B225" t="e">
        <f>RigheOfferte[[#This Row],[Nriga]]</f>
        <v>#VALUE!</v>
      </c>
      <c r="C225" t="e">
        <f>RigheOfferte[[#This Row],[Cliente]]</f>
        <v>#VALUE!</v>
      </c>
      <c r="D225" t="e">
        <f>RigheOfferte[[#This Row],[sub_cliente]]</f>
        <v>#VALUE!</v>
      </c>
      <c r="E225" t="e">
        <f>RigheOfferte[[#This Row],[cod.Art.]]</f>
        <v>#VALUE!</v>
      </c>
      <c r="F225" t="e">
        <f>RigheOfferte[[#This Row],[Descrizione]]</f>
        <v>#VALUE!</v>
      </c>
      <c r="G225" t="e">
        <f>RigheOfferte[[#This Row],[Q.ta'']]</f>
        <v>#VALUE!</v>
      </c>
      <c r="H225" t="e">
        <f>RigheOfferte[[#This Row],[Lavorazione]]</f>
        <v>#VALUE!</v>
      </c>
      <c r="I225" t="e">
        <f>RigheOfferte[[#This Row],[Colore]]</f>
        <v>#VALUE!</v>
      </c>
      <c r="J225" t="e">
        <f>RigheOfferte[[#This Row],[Velocità]]</f>
        <v>#VALUE!</v>
      </c>
      <c r="K225" t="e">
        <f>RigheOfferte[[#This Row],[Superf.pz Mq]]</f>
        <v>#VALUE!</v>
      </c>
      <c r="L225" t="e">
        <f>RigheOfferte[[#This Row],[passo]]</f>
        <v>#VALUE!</v>
      </c>
      <c r="M225" t="e">
        <f>RigheOfferte[[#This Row],[nr.pezzi Telaio]]</f>
        <v>#VALUE!</v>
      </c>
      <c r="N225" t="e">
        <f>RigheOfferte[[#This Row],[nr.pezzi ora-unita]]</f>
        <v>#VALUE!</v>
      </c>
      <c r="O225" t="e">
        <f>Tabella1[[#This Row],[superificie]]*Resa</f>
        <v>#VALUE!</v>
      </c>
      <c r="P225" t="e">
        <f>Tabella1[[#This Row],[KgPezzo]]*Tabella1[[#This Row],[q.ta offerta]]</f>
        <v>#VALUE!</v>
      </c>
      <c r="Q225" t="e">
        <f>RigheOfferte[[#This Row],[QtaProtez]]</f>
        <v>#VALUE!</v>
      </c>
      <c r="R225" t="e">
        <f>RigheOfferte[[#This Row],[Tipo Protezione]]</f>
        <v>#VALUE!</v>
      </c>
    </row>
    <row r="226" spans="1:18">
      <c r="A226" t="e">
        <f>RigheOfferte[[#This Row],[Nprev]]</f>
        <v>#VALUE!</v>
      </c>
      <c r="B226" t="e">
        <f>RigheOfferte[[#This Row],[Nriga]]</f>
        <v>#VALUE!</v>
      </c>
      <c r="C226" t="e">
        <f>RigheOfferte[[#This Row],[Cliente]]</f>
        <v>#VALUE!</v>
      </c>
      <c r="D226" t="e">
        <f>RigheOfferte[[#This Row],[sub_cliente]]</f>
        <v>#VALUE!</v>
      </c>
      <c r="E226" t="e">
        <f>RigheOfferte[[#This Row],[cod.Art.]]</f>
        <v>#VALUE!</v>
      </c>
      <c r="F226" t="e">
        <f>RigheOfferte[[#This Row],[Descrizione]]</f>
        <v>#VALUE!</v>
      </c>
      <c r="G226" t="e">
        <f>RigheOfferte[[#This Row],[Q.ta'']]</f>
        <v>#VALUE!</v>
      </c>
      <c r="H226" t="e">
        <f>RigheOfferte[[#This Row],[Lavorazione]]</f>
        <v>#VALUE!</v>
      </c>
      <c r="I226" t="e">
        <f>RigheOfferte[[#This Row],[Colore]]</f>
        <v>#VALUE!</v>
      </c>
      <c r="J226" t="e">
        <f>RigheOfferte[[#This Row],[Velocità]]</f>
        <v>#VALUE!</v>
      </c>
      <c r="K226" t="e">
        <f>RigheOfferte[[#This Row],[Superf.pz Mq]]</f>
        <v>#VALUE!</v>
      </c>
      <c r="L226" t="e">
        <f>RigheOfferte[[#This Row],[passo]]</f>
        <v>#VALUE!</v>
      </c>
      <c r="M226" t="e">
        <f>RigheOfferte[[#This Row],[nr.pezzi Telaio]]</f>
        <v>#VALUE!</v>
      </c>
      <c r="N226" t="e">
        <f>RigheOfferte[[#This Row],[nr.pezzi ora-unita]]</f>
        <v>#VALUE!</v>
      </c>
      <c r="O226" t="e">
        <f>Tabella1[[#This Row],[superificie]]*Resa</f>
        <v>#VALUE!</v>
      </c>
      <c r="P226" t="e">
        <f>Tabella1[[#This Row],[KgPezzo]]*Tabella1[[#This Row],[q.ta offerta]]</f>
        <v>#VALUE!</v>
      </c>
      <c r="Q226" t="e">
        <f>RigheOfferte[[#This Row],[QtaProtez]]</f>
        <v>#VALUE!</v>
      </c>
      <c r="R226" t="e">
        <f>RigheOfferte[[#This Row],[Tipo Protezione]]</f>
        <v>#VALUE!</v>
      </c>
    </row>
    <row r="227" spans="1:18">
      <c r="A227" t="e">
        <f>RigheOfferte[[#This Row],[Nprev]]</f>
        <v>#VALUE!</v>
      </c>
      <c r="B227" t="e">
        <f>RigheOfferte[[#This Row],[Nriga]]</f>
        <v>#VALUE!</v>
      </c>
      <c r="C227" t="e">
        <f>RigheOfferte[[#This Row],[Cliente]]</f>
        <v>#VALUE!</v>
      </c>
      <c r="D227" t="e">
        <f>RigheOfferte[[#This Row],[sub_cliente]]</f>
        <v>#VALUE!</v>
      </c>
      <c r="E227" t="e">
        <f>RigheOfferte[[#This Row],[cod.Art.]]</f>
        <v>#VALUE!</v>
      </c>
      <c r="F227" t="e">
        <f>RigheOfferte[[#This Row],[Descrizione]]</f>
        <v>#VALUE!</v>
      </c>
      <c r="G227" t="e">
        <f>RigheOfferte[[#This Row],[Q.ta'']]</f>
        <v>#VALUE!</v>
      </c>
      <c r="H227" t="e">
        <f>RigheOfferte[[#This Row],[Lavorazione]]</f>
        <v>#VALUE!</v>
      </c>
      <c r="I227" t="e">
        <f>RigheOfferte[[#This Row],[Colore]]</f>
        <v>#VALUE!</v>
      </c>
      <c r="J227" t="e">
        <f>RigheOfferte[[#This Row],[Velocità]]</f>
        <v>#VALUE!</v>
      </c>
      <c r="K227" t="e">
        <f>RigheOfferte[[#This Row],[Superf.pz Mq]]</f>
        <v>#VALUE!</v>
      </c>
      <c r="L227" t="e">
        <f>RigheOfferte[[#This Row],[passo]]</f>
        <v>#VALUE!</v>
      </c>
      <c r="M227" t="e">
        <f>RigheOfferte[[#This Row],[nr.pezzi Telaio]]</f>
        <v>#VALUE!</v>
      </c>
      <c r="N227" t="e">
        <f>RigheOfferte[[#This Row],[nr.pezzi ora-unita]]</f>
        <v>#VALUE!</v>
      </c>
      <c r="O227" t="e">
        <f>Tabella1[[#This Row],[superificie]]*Resa</f>
        <v>#VALUE!</v>
      </c>
      <c r="P227" t="e">
        <f>Tabella1[[#This Row],[KgPezzo]]*Tabella1[[#This Row],[q.ta offerta]]</f>
        <v>#VALUE!</v>
      </c>
      <c r="Q227" t="e">
        <f>RigheOfferte[[#This Row],[QtaProtez]]</f>
        <v>#VALUE!</v>
      </c>
      <c r="R227" t="e">
        <f>RigheOfferte[[#This Row],[Tipo Protezione]]</f>
        <v>#VALUE!</v>
      </c>
    </row>
    <row r="228" spans="1:18">
      <c r="A228" t="e">
        <f>RigheOfferte[[#This Row],[Nprev]]</f>
        <v>#VALUE!</v>
      </c>
      <c r="B228" t="e">
        <f>RigheOfferte[[#This Row],[Nriga]]</f>
        <v>#VALUE!</v>
      </c>
      <c r="C228" t="e">
        <f>RigheOfferte[[#This Row],[Cliente]]</f>
        <v>#VALUE!</v>
      </c>
      <c r="D228" t="e">
        <f>RigheOfferte[[#This Row],[sub_cliente]]</f>
        <v>#VALUE!</v>
      </c>
      <c r="E228" t="e">
        <f>RigheOfferte[[#This Row],[cod.Art.]]</f>
        <v>#VALUE!</v>
      </c>
      <c r="F228" t="e">
        <f>RigheOfferte[[#This Row],[Descrizione]]</f>
        <v>#VALUE!</v>
      </c>
      <c r="G228" t="e">
        <f>RigheOfferte[[#This Row],[Q.ta'']]</f>
        <v>#VALUE!</v>
      </c>
      <c r="H228" t="e">
        <f>RigheOfferte[[#This Row],[Lavorazione]]</f>
        <v>#VALUE!</v>
      </c>
      <c r="I228" t="e">
        <f>RigheOfferte[[#This Row],[Colore]]</f>
        <v>#VALUE!</v>
      </c>
      <c r="J228" t="e">
        <f>RigheOfferte[[#This Row],[Velocità]]</f>
        <v>#VALUE!</v>
      </c>
      <c r="K228" t="e">
        <f>RigheOfferte[[#This Row],[Superf.pz Mq]]</f>
        <v>#VALUE!</v>
      </c>
      <c r="L228" t="e">
        <f>RigheOfferte[[#This Row],[passo]]</f>
        <v>#VALUE!</v>
      </c>
      <c r="M228" t="e">
        <f>RigheOfferte[[#This Row],[nr.pezzi Telaio]]</f>
        <v>#VALUE!</v>
      </c>
      <c r="N228" t="e">
        <f>RigheOfferte[[#This Row],[nr.pezzi ora-unita]]</f>
        <v>#VALUE!</v>
      </c>
      <c r="O228" t="e">
        <f>Tabella1[[#This Row],[superificie]]*Resa</f>
        <v>#VALUE!</v>
      </c>
      <c r="P228" t="e">
        <f>Tabella1[[#This Row],[KgPezzo]]*Tabella1[[#This Row],[q.ta offerta]]</f>
        <v>#VALUE!</v>
      </c>
      <c r="Q228" t="e">
        <f>RigheOfferte[[#This Row],[QtaProtez]]</f>
        <v>#VALUE!</v>
      </c>
      <c r="R228" t="e">
        <f>RigheOfferte[[#This Row],[Tipo Protezione]]</f>
        <v>#VALUE!</v>
      </c>
    </row>
    <row r="229" spans="1:18">
      <c r="A229" t="e">
        <f>RigheOfferte[[#This Row],[Nprev]]</f>
        <v>#VALUE!</v>
      </c>
      <c r="B229" t="e">
        <f>RigheOfferte[[#This Row],[Nriga]]</f>
        <v>#VALUE!</v>
      </c>
      <c r="C229" t="e">
        <f>RigheOfferte[[#This Row],[Cliente]]</f>
        <v>#VALUE!</v>
      </c>
      <c r="D229" t="e">
        <f>RigheOfferte[[#This Row],[sub_cliente]]</f>
        <v>#VALUE!</v>
      </c>
      <c r="E229" t="e">
        <f>RigheOfferte[[#This Row],[cod.Art.]]</f>
        <v>#VALUE!</v>
      </c>
      <c r="F229" t="e">
        <f>RigheOfferte[[#This Row],[Descrizione]]</f>
        <v>#VALUE!</v>
      </c>
      <c r="G229" t="e">
        <f>RigheOfferte[[#This Row],[Q.ta'']]</f>
        <v>#VALUE!</v>
      </c>
      <c r="H229" t="e">
        <f>RigheOfferte[[#This Row],[Lavorazione]]</f>
        <v>#VALUE!</v>
      </c>
      <c r="I229" t="e">
        <f>RigheOfferte[[#This Row],[Colore]]</f>
        <v>#VALUE!</v>
      </c>
      <c r="J229" t="e">
        <f>RigheOfferte[[#This Row],[Velocità]]</f>
        <v>#VALUE!</v>
      </c>
      <c r="K229" t="e">
        <f>RigheOfferte[[#This Row],[Superf.pz Mq]]</f>
        <v>#VALUE!</v>
      </c>
      <c r="L229" t="e">
        <f>RigheOfferte[[#This Row],[passo]]</f>
        <v>#VALUE!</v>
      </c>
      <c r="M229" t="e">
        <f>RigheOfferte[[#This Row],[nr.pezzi Telaio]]</f>
        <v>#VALUE!</v>
      </c>
      <c r="N229" t="e">
        <f>RigheOfferte[[#This Row],[nr.pezzi ora-unita]]</f>
        <v>#VALUE!</v>
      </c>
      <c r="O229" t="e">
        <f>Tabella1[[#This Row],[superificie]]*Resa</f>
        <v>#VALUE!</v>
      </c>
      <c r="P229" t="e">
        <f>Tabella1[[#This Row],[KgPezzo]]*Tabella1[[#This Row],[q.ta offerta]]</f>
        <v>#VALUE!</v>
      </c>
      <c r="Q229" t="e">
        <f>RigheOfferte[[#This Row],[QtaProtez]]</f>
        <v>#VALUE!</v>
      </c>
      <c r="R229" t="e">
        <f>RigheOfferte[[#This Row],[Tipo Protezione]]</f>
        <v>#VALUE!</v>
      </c>
    </row>
    <row r="230" spans="1:18">
      <c r="A230" t="e">
        <f>RigheOfferte[[#This Row],[Nprev]]</f>
        <v>#VALUE!</v>
      </c>
      <c r="B230" t="e">
        <f>RigheOfferte[[#This Row],[Nriga]]</f>
        <v>#VALUE!</v>
      </c>
      <c r="C230" t="e">
        <f>RigheOfferte[[#This Row],[Cliente]]</f>
        <v>#VALUE!</v>
      </c>
      <c r="D230" t="e">
        <f>RigheOfferte[[#This Row],[sub_cliente]]</f>
        <v>#VALUE!</v>
      </c>
      <c r="E230" t="e">
        <f>RigheOfferte[[#This Row],[cod.Art.]]</f>
        <v>#VALUE!</v>
      </c>
      <c r="F230" t="e">
        <f>RigheOfferte[[#This Row],[Descrizione]]</f>
        <v>#VALUE!</v>
      </c>
      <c r="G230" t="e">
        <f>RigheOfferte[[#This Row],[Q.ta'']]</f>
        <v>#VALUE!</v>
      </c>
      <c r="H230" t="e">
        <f>RigheOfferte[[#This Row],[Lavorazione]]</f>
        <v>#VALUE!</v>
      </c>
      <c r="I230" t="e">
        <f>RigheOfferte[[#This Row],[Colore]]</f>
        <v>#VALUE!</v>
      </c>
      <c r="J230" t="e">
        <f>RigheOfferte[[#This Row],[Velocità]]</f>
        <v>#VALUE!</v>
      </c>
      <c r="K230" t="e">
        <f>RigheOfferte[[#This Row],[Superf.pz Mq]]</f>
        <v>#VALUE!</v>
      </c>
      <c r="L230" t="e">
        <f>RigheOfferte[[#This Row],[passo]]</f>
        <v>#VALUE!</v>
      </c>
      <c r="M230" t="e">
        <f>RigheOfferte[[#This Row],[nr.pezzi Telaio]]</f>
        <v>#VALUE!</v>
      </c>
      <c r="N230" t="e">
        <f>RigheOfferte[[#This Row],[nr.pezzi ora-unita]]</f>
        <v>#VALUE!</v>
      </c>
      <c r="O230" t="e">
        <f>Tabella1[[#This Row],[superificie]]*Resa</f>
        <v>#VALUE!</v>
      </c>
      <c r="P230" t="e">
        <f>Tabella1[[#This Row],[KgPezzo]]*Tabella1[[#This Row],[q.ta offerta]]</f>
        <v>#VALUE!</v>
      </c>
      <c r="Q230" t="e">
        <f>RigheOfferte[[#This Row],[QtaProtez]]</f>
        <v>#VALUE!</v>
      </c>
      <c r="R230" t="e">
        <f>RigheOfferte[[#This Row],[Tipo Protezione]]</f>
        <v>#VALUE!</v>
      </c>
    </row>
    <row r="231" spans="1:18">
      <c r="A231" t="e">
        <f>RigheOfferte[[#This Row],[Nprev]]</f>
        <v>#VALUE!</v>
      </c>
      <c r="B231" t="e">
        <f>RigheOfferte[[#This Row],[Nriga]]</f>
        <v>#VALUE!</v>
      </c>
      <c r="C231" t="e">
        <f>RigheOfferte[[#This Row],[Cliente]]</f>
        <v>#VALUE!</v>
      </c>
      <c r="D231" t="e">
        <f>RigheOfferte[[#This Row],[sub_cliente]]</f>
        <v>#VALUE!</v>
      </c>
      <c r="E231" t="e">
        <f>RigheOfferte[[#This Row],[cod.Art.]]</f>
        <v>#VALUE!</v>
      </c>
      <c r="F231" t="e">
        <f>RigheOfferte[[#This Row],[Descrizione]]</f>
        <v>#VALUE!</v>
      </c>
      <c r="G231" t="e">
        <f>RigheOfferte[[#This Row],[Q.ta'']]</f>
        <v>#VALUE!</v>
      </c>
      <c r="H231" t="e">
        <f>RigheOfferte[[#This Row],[Lavorazione]]</f>
        <v>#VALUE!</v>
      </c>
      <c r="I231" t="e">
        <f>RigheOfferte[[#This Row],[Colore]]</f>
        <v>#VALUE!</v>
      </c>
      <c r="J231" t="e">
        <f>RigheOfferte[[#This Row],[Velocità]]</f>
        <v>#VALUE!</v>
      </c>
      <c r="K231" t="e">
        <f>RigheOfferte[[#This Row],[Superf.pz Mq]]</f>
        <v>#VALUE!</v>
      </c>
      <c r="L231" t="e">
        <f>RigheOfferte[[#This Row],[passo]]</f>
        <v>#VALUE!</v>
      </c>
      <c r="M231" t="e">
        <f>RigheOfferte[[#This Row],[nr.pezzi Telaio]]</f>
        <v>#VALUE!</v>
      </c>
      <c r="N231" t="e">
        <f>RigheOfferte[[#This Row],[nr.pezzi ora-unita]]</f>
        <v>#VALUE!</v>
      </c>
      <c r="O231" t="e">
        <f>Tabella1[[#This Row],[superificie]]*Resa</f>
        <v>#VALUE!</v>
      </c>
      <c r="P231" t="e">
        <f>Tabella1[[#This Row],[KgPezzo]]*Tabella1[[#This Row],[q.ta offerta]]</f>
        <v>#VALUE!</v>
      </c>
      <c r="Q231" t="e">
        <f>RigheOfferte[[#This Row],[QtaProtez]]</f>
        <v>#VALUE!</v>
      </c>
      <c r="R231" t="e">
        <f>RigheOfferte[[#This Row],[Tipo Protezione]]</f>
        <v>#VALUE!</v>
      </c>
    </row>
    <row r="232" spans="1:18">
      <c r="A232" t="e">
        <f>RigheOfferte[[#This Row],[Nprev]]</f>
        <v>#VALUE!</v>
      </c>
      <c r="B232" t="e">
        <f>RigheOfferte[[#This Row],[Nriga]]</f>
        <v>#VALUE!</v>
      </c>
      <c r="C232" t="e">
        <f>RigheOfferte[[#This Row],[Cliente]]</f>
        <v>#VALUE!</v>
      </c>
      <c r="D232" t="e">
        <f>RigheOfferte[[#This Row],[sub_cliente]]</f>
        <v>#VALUE!</v>
      </c>
      <c r="E232" t="e">
        <f>RigheOfferte[[#This Row],[cod.Art.]]</f>
        <v>#VALUE!</v>
      </c>
      <c r="F232" t="e">
        <f>RigheOfferte[[#This Row],[Descrizione]]</f>
        <v>#VALUE!</v>
      </c>
      <c r="G232" t="e">
        <f>RigheOfferte[[#This Row],[Q.ta'']]</f>
        <v>#VALUE!</v>
      </c>
      <c r="H232" t="e">
        <f>RigheOfferte[[#This Row],[Lavorazione]]</f>
        <v>#VALUE!</v>
      </c>
      <c r="I232" t="e">
        <f>RigheOfferte[[#This Row],[Colore]]</f>
        <v>#VALUE!</v>
      </c>
      <c r="J232" t="e">
        <f>RigheOfferte[[#This Row],[Velocità]]</f>
        <v>#VALUE!</v>
      </c>
      <c r="K232" t="e">
        <f>RigheOfferte[[#This Row],[Superf.pz Mq]]</f>
        <v>#VALUE!</v>
      </c>
      <c r="L232" t="e">
        <f>RigheOfferte[[#This Row],[passo]]</f>
        <v>#VALUE!</v>
      </c>
      <c r="M232" t="e">
        <f>RigheOfferte[[#This Row],[nr.pezzi Telaio]]</f>
        <v>#VALUE!</v>
      </c>
      <c r="N232" t="e">
        <f>RigheOfferte[[#This Row],[nr.pezzi ora-unita]]</f>
        <v>#VALUE!</v>
      </c>
      <c r="O232" t="e">
        <f>Tabella1[[#This Row],[superificie]]*Resa</f>
        <v>#VALUE!</v>
      </c>
      <c r="P232" t="e">
        <f>Tabella1[[#This Row],[KgPezzo]]*Tabella1[[#This Row],[q.ta offerta]]</f>
        <v>#VALUE!</v>
      </c>
      <c r="Q232" t="e">
        <f>RigheOfferte[[#This Row],[QtaProtez]]</f>
        <v>#VALUE!</v>
      </c>
      <c r="R232" t="e">
        <f>RigheOfferte[[#This Row],[Tipo Protezione]]</f>
        <v>#VALUE!</v>
      </c>
    </row>
    <row r="233" spans="1:18">
      <c r="A233" t="e">
        <f>RigheOfferte[[#This Row],[Nprev]]</f>
        <v>#VALUE!</v>
      </c>
      <c r="B233" t="e">
        <f>RigheOfferte[[#This Row],[Nriga]]</f>
        <v>#VALUE!</v>
      </c>
      <c r="C233" t="e">
        <f>RigheOfferte[[#This Row],[Cliente]]</f>
        <v>#VALUE!</v>
      </c>
      <c r="D233" t="e">
        <f>RigheOfferte[[#This Row],[sub_cliente]]</f>
        <v>#VALUE!</v>
      </c>
      <c r="E233" t="e">
        <f>RigheOfferte[[#This Row],[cod.Art.]]</f>
        <v>#VALUE!</v>
      </c>
      <c r="F233" t="e">
        <f>RigheOfferte[[#This Row],[Descrizione]]</f>
        <v>#VALUE!</v>
      </c>
      <c r="G233" t="e">
        <f>RigheOfferte[[#This Row],[Q.ta'']]</f>
        <v>#VALUE!</v>
      </c>
      <c r="H233" t="e">
        <f>RigheOfferte[[#This Row],[Lavorazione]]</f>
        <v>#VALUE!</v>
      </c>
      <c r="I233" t="e">
        <f>RigheOfferte[[#This Row],[Colore]]</f>
        <v>#VALUE!</v>
      </c>
      <c r="J233" t="e">
        <f>RigheOfferte[[#This Row],[Velocità]]</f>
        <v>#VALUE!</v>
      </c>
      <c r="K233" t="e">
        <f>RigheOfferte[[#This Row],[Superf.pz Mq]]</f>
        <v>#VALUE!</v>
      </c>
      <c r="L233" t="e">
        <f>RigheOfferte[[#This Row],[passo]]</f>
        <v>#VALUE!</v>
      </c>
      <c r="M233" t="e">
        <f>RigheOfferte[[#This Row],[nr.pezzi Telaio]]</f>
        <v>#VALUE!</v>
      </c>
      <c r="N233" t="e">
        <f>RigheOfferte[[#This Row],[nr.pezzi ora-unita]]</f>
        <v>#VALUE!</v>
      </c>
      <c r="O233" t="e">
        <f>Tabella1[[#This Row],[superificie]]*Resa</f>
        <v>#VALUE!</v>
      </c>
      <c r="P233" t="e">
        <f>Tabella1[[#This Row],[KgPezzo]]*Tabella1[[#This Row],[q.ta offerta]]</f>
        <v>#VALUE!</v>
      </c>
      <c r="Q233" t="e">
        <f>RigheOfferte[[#This Row],[QtaProtez]]</f>
        <v>#VALUE!</v>
      </c>
      <c r="R233" t="e">
        <f>RigheOfferte[[#This Row],[Tipo Protezione]]</f>
        <v>#VALUE!</v>
      </c>
    </row>
    <row r="234" spans="1:18">
      <c r="A234" t="e">
        <f>RigheOfferte[[#This Row],[Nprev]]</f>
        <v>#VALUE!</v>
      </c>
      <c r="B234" t="e">
        <f>RigheOfferte[[#This Row],[Nriga]]</f>
        <v>#VALUE!</v>
      </c>
      <c r="C234" t="e">
        <f>RigheOfferte[[#This Row],[Cliente]]</f>
        <v>#VALUE!</v>
      </c>
      <c r="D234" t="e">
        <f>RigheOfferte[[#This Row],[sub_cliente]]</f>
        <v>#VALUE!</v>
      </c>
      <c r="E234" t="e">
        <f>RigheOfferte[[#This Row],[cod.Art.]]</f>
        <v>#VALUE!</v>
      </c>
      <c r="F234" t="e">
        <f>RigheOfferte[[#This Row],[Descrizione]]</f>
        <v>#VALUE!</v>
      </c>
      <c r="G234" t="e">
        <f>RigheOfferte[[#This Row],[Q.ta'']]</f>
        <v>#VALUE!</v>
      </c>
      <c r="H234" t="e">
        <f>RigheOfferte[[#This Row],[Lavorazione]]</f>
        <v>#VALUE!</v>
      </c>
      <c r="I234" t="e">
        <f>RigheOfferte[[#This Row],[Colore]]</f>
        <v>#VALUE!</v>
      </c>
      <c r="J234" t="e">
        <f>RigheOfferte[[#This Row],[Velocità]]</f>
        <v>#VALUE!</v>
      </c>
      <c r="K234" t="e">
        <f>RigheOfferte[[#This Row],[Superf.pz Mq]]</f>
        <v>#VALUE!</v>
      </c>
      <c r="L234" t="e">
        <f>RigheOfferte[[#This Row],[passo]]</f>
        <v>#VALUE!</v>
      </c>
      <c r="M234" t="e">
        <f>RigheOfferte[[#This Row],[nr.pezzi Telaio]]</f>
        <v>#VALUE!</v>
      </c>
      <c r="N234" t="e">
        <f>RigheOfferte[[#This Row],[nr.pezzi ora-unita]]</f>
        <v>#VALUE!</v>
      </c>
      <c r="O234" t="e">
        <f>Tabella1[[#This Row],[superificie]]*Resa</f>
        <v>#VALUE!</v>
      </c>
      <c r="P234" t="e">
        <f>Tabella1[[#This Row],[KgPezzo]]*Tabella1[[#This Row],[q.ta offerta]]</f>
        <v>#VALUE!</v>
      </c>
      <c r="Q234" t="e">
        <f>RigheOfferte[[#This Row],[QtaProtez]]</f>
        <v>#VALUE!</v>
      </c>
      <c r="R234" t="e">
        <f>RigheOfferte[[#This Row],[Tipo Protezione]]</f>
        <v>#VALUE!</v>
      </c>
    </row>
    <row r="235" spans="1:18">
      <c r="A235" t="e">
        <f>RigheOfferte[[#This Row],[Nprev]]</f>
        <v>#VALUE!</v>
      </c>
      <c r="B235" t="e">
        <f>RigheOfferte[[#This Row],[Nriga]]</f>
        <v>#VALUE!</v>
      </c>
      <c r="C235" t="e">
        <f>RigheOfferte[[#This Row],[Cliente]]</f>
        <v>#VALUE!</v>
      </c>
      <c r="D235" t="e">
        <f>RigheOfferte[[#This Row],[sub_cliente]]</f>
        <v>#VALUE!</v>
      </c>
      <c r="E235" t="e">
        <f>RigheOfferte[[#This Row],[cod.Art.]]</f>
        <v>#VALUE!</v>
      </c>
      <c r="F235" t="e">
        <f>RigheOfferte[[#This Row],[Descrizione]]</f>
        <v>#VALUE!</v>
      </c>
      <c r="G235" t="e">
        <f>RigheOfferte[[#This Row],[Q.ta'']]</f>
        <v>#VALUE!</v>
      </c>
      <c r="H235" t="e">
        <f>RigheOfferte[[#This Row],[Lavorazione]]</f>
        <v>#VALUE!</v>
      </c>
      <c r="I235" t="e">
        <f>RigheOfferte[[#This Row],[Colore]]</f>
        <v>#VALUE!</v>
      </c>
      <c r="J235" t="e">
        <f>RigheOfferte[[#This Row],[Velocità]]</f>
        <v>#VALUE!</v>
      </c>
      <c r="K235" t="e">
        <f>RigheOfferte[[#This Row],[Superf.pz Mq]]</f>
        <v>#VALUE!</v>
      </c>
      <c r="L235" t="e">
        <f>RigheOfferte[[#This Row],[passo]]</f>
        <v>#VALUE!</v>
      </c>
      <c r="M235" t="e">
        <f>RigheOfferte[[#This Row],[nr.pezzi Telaio]]</f>
        <v>#VALUE!</v>
      </c>
      <c r="N235" t="e">
        <f>RigheOfferte[[#This Row],[nr.pezzi ora-unita]]</f>
        <v>#VALUE!</v>
      </c>
      <c r="O235" t="e">
        <f>Tabella1[[#This Row],[superificie]]*Resa</f>
        <v>#VALUE!</v>
      </c>
      <c r="P235" t="e">
        <f>Tabella1[[#This Row],[KgPezzo]]*Tabella1[[#This Row],[q.ta offerta]]</f>
        <v>#VALUE!</v>
      </c>
      <c r="Q235" t="e">
        <f>RigheOfferte[[#This Row],[QtaProtez]]</f>
        <v>#VALUE!</v>
      </c>
      <c r="R235" t="e">
        <f>RigheOfferte[[#This Row],[Tipo Protezione]]</f>
        <v>#VALUE!</v>
      </c>
    </row>
    <row r="236" spans="1:18">
      <c r="A236" t="e">
        <f>RigheOfferte[[#This Row],[Nprev]]</f>
        <v>#VALUE!</v>
      </c>
      <c r="B236" t="e">
        <f>RigheOfferte[[#This Row],[Nriga]]</f>
        <v>#VALUE!</v>
      </c>
      <c r="C236" t="e">
        <f>RigheOfferte[[#This Row],[Cliente]]</f>
        <v>#VALUE!</v>
      </c>
      <c r="D236" t="e">
        <f>RigheOfferte[[#This Row],[sub_cliente]]</f>
        <v>#VALUE!</v>
      </c>
      <c r="E236" t="e">
        <f>RigheOfferte[[#This Row],[cod.Art.]]</f>
        <v>#VALUE!</v>
      </c>
      <c r="F236" t="e">
        <f>RigheOfferte[[#This Row],[Descrizione]]</f>
        <v>#VALUE!</v>
      </c>
      <c r="G236" t="e">
        <f>RigheOfferte[[#This Row],[Q.ta'']]</f>
        <v>#VALUE!</v>
      </c>
      <c r="H236" t="e">
        <f>RigheOfferte[[#This Row],[Lavorazione]]</f>
        <v>#VALUE!</v>
      </c>
      <c r="I236" t="e">
        <f>RigheOfferte[[#This Row],[Colore]]</f>
        <v>#VALUE!</v>
      </c>
      <c r="J236" t="e">
        <f>RigheOfferte[[#This Row],[Velocità]]</f>
        <v>#VALUE!</v>
      </c>
      <c r="K236" t="e">
        <f>RigheOfferte[[#This Row],[Superf.pz Mq]]</f>
        <v>#VALUE!</v>
      </c>
      <c r="L236" t="e">
        <f>RigheOfferte[[#This Row],[passo]]</f>
        <v>#VALUE!</v>
      </c>
      <c r="M236" t="e">
        <f>RigheOfferte[[#This Row],[nr.pezzi Telaio]]</f>
        <v>#VALUE!</v>
      </c>
      <c r="N236" t="e">
        <f>RigheOfferte[[#This Row],[nr.pezzi ora-unita]]</f>
        <v>#VALUE!</v>
      </c>
      <c r="O236" t="e">
        <f>Tabella1[[#This Row],[superificie]]*Resa</f>
        <v>#VALUE!</v>
      </c>
      <c r="P236" t="e">
        <f>Tabella1[[#This Row],[KgPezzo]]*Tabella1[[#This Row],[q.ta offerta]]</f>
        <v>#VALUE!</v>
      </c>
      <c r="Q236" t="e">
        <f>RigheOfferte[[#This Row],[QtaProtez]]</f>
        <v>#VALUE!</v>
      </c>
      <c r="R236" t="e">
        <f>RigheOfferte[[#This Row],[Tipo Protezione]]</f>
        <v>#VALUE!</v>
      </c>
    </row>
    <row r="237" spans="1:18">
      <c r="A237" t="e">
        <f>RigheOfferte[[#This Row],[Nprev]]</f>
        <v>#VALUE!</v>
      </c>
      <c r="B237" t="e">
        <f>RigheOfferte[[#This Row],[Nriga]]</f>
        <v>#VALUE!</v>
      </c>
      <c r="C237" t="e">
        <f>RigheOfferte[[#This Row],[Cliente]]</f>
        <v>#VALUE!</v>
      </c>
      <c r="D237" t="e">
        <f>RigheOfferte[[#This Row],[sub_cliente]]</f>
        <v>#VALUE!</v>
      </c>
      <c r="E237" t="e">
        <f>RigheOfferte[[#This Row],[cod.Art.]]</f>
        <v>#VALUE!</v>
      </c>
      <c r="F237" t="e">
        <f>RigheOfferte[[#This Row],[Descrizione]]</f>
        <v>#VALUE!</v>
      </c>
      <c r="G237" t="e">
        <f>RigheOfferte[[#This Row],[Q.ta'']]</f>
        <v>#VALUE!</v>
      </c>
      <c r="H237" t="e">
        <f>RigheOfferte[[#This Row],[Lavorazione]]</f>
        <v>#VALUE!</v>
      </c>
      <c r="I237" t="e">
        <f>RigheOfferte[[#This Row],[Colore]]</f>
        <v>#VALUE!</v>
      </c>
      <c r="J237" t="e">
        <f>RigheOfferte[[#This Row],[Velocità]]</f>
        <v>#VALUE!</v>
      </c>
      <c r="K237" t="e">
        <f>RigheOfferte[[#This Row],[Superf.pz Mq]]</f>
        <v>#VALUE!</v>
      </c>
      <c r="L237" t="e">
        <f>RigheOfferte[[#This Row],[passo]]</f>
        <v>#VALUE!</v>
      </c>
      <c r="M237" t="e">
        <f>RigheOfferte[[#This Row],[nr.pezzi Telaio]]</f>
        <v>#VALUE!</v>
      </c>
      <c r="N237" t="e">
        <f>RigheOfferte[[#This Row],[nr.pezzi ora-unita]]</f>
        <v>#VALUE!</v>
      </c>
      <c r="O237" t="e">
        <f>Tabella1[[#This Row],[superificie]]*Resa</f>
        <v>#VALUE!</v>
      </c>
      <c r="P237" t="e">
        <f>Tabella1[[#This Row],[KgPezzo]]*Tabella1[[#This Row],[q.ta offerta]]</f>
        <v>#VALUE!</v>
      </c>
      <c r="Q237" t="e">
        <f>RigheOfferte[[#This Row],[QtaProtez]]</f>
        <v>#VALUE!</v>
      </c>
      <c r="R237" t="e">
        <f>RigheOfferte[[#This Row],[Tipo Protezione]]</f>
        <v>#VALUE!</v>
      </c>
    </row>
    <row r="238" spans="1:18">
      <c r="A238" t="e">
        <f>RigheOfferte[[#This Row],[Nprev]]</f>
        <v>#VALUE!</v>
      </c>
      <c r="B238" t="e">
        <f>RigheOfferte[[#This Row],[Nriga]]</f>
        <v>#VALUE!</v>
      </c>
      <c r="C238" t="e">
        <f>RigheOfferte[[#This Row],[Cliente]]</f>
        <v>#VALUE!</v>
      </c>
      <c r="D238" t="e">
        <f>RigheOfferte[[#This Row],[sub_cliente]]</f>
        <v>#VALUE!</v>
      </c>
      <c r="E238" t="e">
        <f>RigheOfferte[[#This Row],[cod.Art.]]</f>
        <v>#VALUE!</v>
      </c>
      <c r="F238" t="e">
        <f>RigheOfferte[[#This Row],[Descrizione]]</f>
        <v>#VALUE!</v>
      </c>
      <c r="G238" t="e">
        <f>RigheOfferte[[#This Row],[Q.ta'']]</f>
        <v>#VALUE!</v>
      </c>
      <c r="H238" t="e">
        <f>RigheOfferte[[#This Row],[Lavorazione]]</f>
        <v>#VALUE!</v>
      </c>
      <c r="I238" t="e">
        <f>RigheOfferte[[#This Row],[Colore]]</f>
        <v>#VALUE!</v>
      </c>
      <c r="J238" t="e">
        <f>RigheOfferte[[#This Row],[Velocità]]</f>
        <v>#VALUE!</v>
      </c>
      <c r="K238" t="e">
        <f>RigheOfferte[[#This Row],[Superf.pz Mq]]</f>
        <v>#VALUE!</v>
      </c>
      <c r="L238" t="e">
        <f>RigheOfferte[[#This Row],[passo]]</f>
        <v>#VALUE!</v>
      </c>
      <c r="M238" t="e">
        <f>RigheOfferte[[#This Row],[nr.pezzi Telaio]]</f>
        <v>#VALUE!</v>
      </c>
      <c r="N238" t="e">
        <f>RigheOfferte[[#This Row],[nr.pezzi ora-unita]]</f>
        <v>#VALUE!</v>
      </c>
      <c r="O238" t="e">
        <f>Tabella1[[#This Row],[superificie]]*Resa</f>
        <v>#VALUE!</v>
      </c>
      <c r="P238" t="e">
        <f>Tabella1[[#This Row],[KgPezzo]]*Tabella1[[#This Row],[q.ta offerta]]</f>
        <v>#VALUE!</v>
      </c>
      <c r="Q238" t="e">
        <f>RigheOfferte[[#This Row],[QtaProtez]]</f>
        <v>#VALUE!</v>
      </c>
      <c r="R238" t="e">
        <f>RigheOfferte[[#This Row],[Tipo Protezione]]</f>
        <v>#VALUE!</v>
      </c>
    </row>
    <row r="239" spans="1:18">
      <c r="A239" t="e">
        <f>RigheOfferte[[#This Row],[Nprev]]</f>
        <v>#VALUE!</v>
      </c>
      <c r="B239" t="e">
        <f>RigheOfferte[[#This Row],[Nriga]]</f>
        <v>#VALUE!</v>
      </c>
      <c r="C239" t="e">
        <f>RigheOfferte[[#This Row],[Cliente]]</f>
        <v>#VALUE!</v>
      </c>
      <c r="D239" t="e">
        <f>RigheOfferte[[#This Row],[sub_cliente]]</f>
        <v>#VALUE!</v>
      </c>
      <c r="E239" t="e">
        <f>RigheOfferte[[#This Row],[cod.Art.]]</f>
        <v>#VALUE!</v>
      </c>
      <c r="F239" t="e">
        <f>RigheOfferte[[#This Row],[Descrizione]]</f>
        <v>#VALUE!</v>
      </c>
      <c r="G239" t="e">
        <f>RigheOfferte[[#This Row],[Q.ta'']]</f>
        <v>#VALUE!</v>
      </c>
      <c r="H239" t="e">
        <f>RigheOfferte[[#This Row],[Lavorazione]]</f>
        <v>#VALUE!</v>
      </c>
      <c r="I239" t="e">
        <f>RigheOfferte[[#This Row],[Colore]]</f>
        <v>#VALUE!</v>
      </c>
      <c r="J239" t="e">
        <f>RigheOfferte[[#This Row],[Velocità]]</f>
        <v>#VALUE!</v>
      </c>
      <c r="K239" t="e">
        <f>RigheOfferte[[#This Row],[Superf.pz Mq]]</f>
        <v>#VALUE!</v>
      </c>
      <c r="L239" t="e">
        <f>RigheOfferte[[#This Row],[passo]]</f>
        <v>#VALUE!</v>
      </c>
      <c r="M239" t="e">
        <f>RigheOfferte[[#This Row],[nr.pezzi Telaio]]</f>
        <v>#VALUE!</v>
      </c>
      <c r="N239" t="e">
        <f>RigheOfferte[[#This Row],[nr.pezzi ora-unita]]</f>
        <v>#VALUE!</v>
      </c>
      <c r="O239" t="e">
        <f>Tabella1[[#This Row],[superificie]]*Resa</f>
        <v>#VALUE!</v>
      </c>
      <c r="P239" t="e">
        <f>Tabella1[[#This Row],[KgPezzo]]*Tabella1[[#This Row],[q.ta offerta]]</f>
        <v>#VALUE!</v>
      </c>
      <c r="Q239" t="e">
        <f>RigheOfferte[[#This Row],[QtaProtez]]</f>
        <v>#VALUE!</v>
      </c>
      <c r="R239" t="e">
        <f>RigheOfferte[[#This Row],[Tipo Protezione]]</f>
        <v>#VALUE!</v>
      </c>
    </row>
    <row r="240" spans="1:18">
      <c r="A240" t="e">
        <f>RigheOfferte[[#This Row],[Nprev]]</f>
        <v>#VALUE!</v>
      </c>
      <c r="B240" t="e">
        <f>RigheOfferte[[#This Row],[Nriga]]</f>
        <v>#VALUE!</v>
      </c>
      <c r="C240" t="e">
        <f>RigheOfferte[[#This Row],[Cliente]]</f>
        <v>#VALUE!</v>
      </c>
      <c r="D240" t="e">
        <f>RigheOfferte[[#This Row],[sub_cliente]]</f>
        <v>#VALUE!</v>
      </c>
      <c r="E240" t="e">
        <f>RigheOfferte[[#This Row],[cod.Art.]]</f>
        <v>#VALUE!</v>
      </c>
      <c r="F240" t="e">
        <f>RigheOfferte[[#This Row],[Descrizione]]</f>
        <v>#VALUE!</v>
      </c>
      <c r="G240" t="e">
        <f>RigheOfferte[[#This Row],[Q.ta'']]</f>
        <v>#VALUE!</v>
      </c>
      <c r="H240" t="e">
        <f>RigheOfferte[[#This Row],[Lavorazione]]</f>
        <v>#VALUE!</v>
      </c>
      <c r="I240" t="e">
        <f>RigheOfferte[[#This Row],[Colore]]</f>
        <v>#VALUE!</v>
      </c>
      <c r="J240" t="e">
        <f>RigheOfferte[[#This Row],[Velocità]]</f>
        <v>#VALUE!</v>
      </c>
      <c r="K240" t="e">
        <f>RigheOfferte[[#This Row],[Superf.pz Mq]]</f>
        <v>#VALUE!</v>
      </c>
      <c r="L240" t="e">
        <f>RigheOfferte[[#This Row],[passo]]</f>
        <v>#VALUE!</v>
      </c>
      <c r="M240" t="e">
        <f>RigheOfferte[[#This Row],[nr.pezzi Telaio]]</f>
        <v>#VALUE!</v>
      </c>
      <c r="N240" t="e">
        <f>RigheOfferte[[#This Row],[nr.pezzi ora-unita]]</f>
        <v>#VALUE!</v>
      </c>
      <c r="O240" t="e">
        <f>Tabella1[[#This Row],[superificie]]*Resa</f>
        <v>#VALUE!</v>
      </c>
      <c r="P240" t="e">
        <f>Tabella1[[#This Row],[KgPezzo]]*Tabella1[[#This Row],[q.ta offerta]]</f>
        <v>#VALUE!</v>
      </c>
      <c r="Q240" t="e">
        <f>RigheOfferte[[#This Row],[QtaProtez]]</f>
        <v>#VALUE!</v>
      </c>
      <c r="R240" t="e">
        <f>RigheOfferte[[#This Row],[Tipo Protezione]]</f>
        <v>#VALUE!</v>
      </c>
    </row>
    <row r="241" spans="1:18">
      <c r="A241" t="e">
        <f>RigheOfferte[[#This Row],[Nprev]]</f>
        <v>#VALUE!</v>
      </c>
      <c r="B241" t="e">
        <f>RigheOfferte[[#This Row],[Nriga]]</f>
        <v>#VALUE!</v>
      </c>
      <c r="C241" t="e">
        <f>RigheOfferte[[#This Row],[Cliente]]</f>
        <v>#VALUE!</v>
      </c>
      <c r="D241" t="e">
        <f>RigheOfferte[[#This Row],[sub_cliente]]</f>
        <v>#VALUE!</v>
      </c>
      <c r="E241" t="e">
        <f>RigheOfferte[[#This Row],[cod.Art.]]</f>
        <v>#VALUE!</v>
      </c>
      <c r="F241" t="e">
        <f>RigheOfferte[[#This Row],[Descrizione]]</f>
        <v>#VALUE!</v>
      </c>
      <c r="G241" t="e">
        <f>RigheOfferte[[#This Row],[Q.ta'']]</f>
        <v>#VALUE!</v>
      </c>
      <c r="H241" t="e">
        <f>RigheOfferte[[#This Row],[Lavorazione]]</f>
        <v>#VALUE!</v>
      </c>
      <c r="I241" t="e">
        <f>RigheOfferte[[#This Row],[Colore]]</f>
        <v>#VALUE!</v>
      </c>
      <c r="J241" t="e">
        <f>RigheOfferte[[#This Row],[Velocità]]</f>
        <v>#VALUE!</v>
      </c>
      <c r="K241" t="e">
        <f>RigheOfferte[[#This Row],[Superf.pz Mq]]</f>
        <v>#VALUE!</v>
      </c>
      <c r="L241" t="e">
        <f>RigheOfferte[[#This Row],[passo]]</f>
        <v>#VALUE!</v>
      </c>
      <c r="M241" t="e">
        <f>RigheOfferte[[#This Row],[nr.pezzi Telaio]]</f>
        <v>#VALUE!</v>
      </c>
      <c r="N241" t="e">
        <f>RigheOfferte[[#This Row],[nr.pezzi ora-unita]]</f>
        <v>#VALUE!</v>
      </c>
      <c r="O241" t="e">
        <f>Tabella1[[#This Row],[superificie]]*Resa</f>
        <v>#VALUE!</v>
      </c>
      <c r="P241" t="e">
        <f>Tabella1[[#This Row],[KgPezzo]]*Tabella1[[#This Row],[q.ta offerta]]</f>
        <v>#VALUE!</v>
      </c>
      <c r="Q241" t="e">
        <f>RigheOfferte[[#This Row],[QtaProtez]]</f>
        <v>#VALUE!</v>
      </c>
      <c r="R241" t="e">
        <f>RigheOfferte[[#This Row],[Tipo Protezione]]</f>
        <v>#VALUE!</v>
      </c>
    </row>
    <row r="242" spans="1:18">
      <c r="A242" t="e">
        <f>RigheOfferte[[#This Row],[Nprev]]</f>
        <v>#VALUE!</v>
      </c>
      <c r="B242" t="e">
        <f>RigheOfferte[[#This Row],[Nriga]]</f>
        <v>#VALUE!</v>
      </c>
      <c r="C242" t="e">
        <f>RigheOfferte[[#This Row],[Cliente]]</f>
        <v>#VALUE!</v>
      </c>
      <c r="D242" t="e">
        <f>RigheOfferte[[#This Row],[sub_cliente]]</f>
        <v>#VALUE!</v>
      </c>
      <c r="E242" t="e">
        <f>RigheOfferte[[#This Row],[cod.Art.]]</f>
        <v>#VALUE!</v>
      </c>
      <c r="F242" t="e">
        <f>RigheOfferte[[#This Row],[Descrizione]]</f>
        <v>#VALUE!</v>
      </c>
      <c r="G242" t="e">
        <f>RigheOfferte[[#This Row],[Q.ta'']]</f>
        <v>#VALUE!</v>
      </c>
      <c r="H242" t="e">
        <f>RigheOfferte[[#This Row],[Lavorazione]]</f>
        <v>#VALUE!</v>
      </c>
      <c r="I242" t="e">
        <f>RigheOfferte[[#This Row],[Colore]]</f>
        <v>#VALUE!</v>
      </c>
      <c r="J242" t="e">
        <f>RigheOfferte[[#This Row],[Velocità]]</f>
        <v>#VALUE!</v>
      </c>
      <c r="K242" t="e">
        <f>RigheOfferte[[#This Row],[Superf.pz Mq]]</f>
        <v>#VALUE!</v>
      </c>
      <c r="L242" t="e">
        <f>RigheOfferte[[#This Row],[passo]]</f>
        <v>#VALUE!</v>
      </c>
      <c r="M242" t="e">
        <f>RigheOfferte[[#This Row],[nr.pezzi Telaio]]</f>
        <v>#VALUE!</v>
      </c>
      <c r="N242" t="e">
        <f>RigheOfferte[[#This Row],[nr.pezzi ora-unita]]</f>
        <v>#VALUE!</v>
      </c>
      <c r="O242" t="e">
        <f>Tabella1[[#This Row],[superificie]]*Resa</f>
        <v>#VALUE!</v>
      </c>
      <c r="P242" t="e">
        <f>Tabella1[[#This Row],[KgPezzo]]*Tabella1[[#This Row],[q.ta offerta]]</f>
        <v>#VALUE!</v>
      </c>
      <c r="Q242" t="e">
        <f>RigheOfferte[[#This Row],[QtaProtez]]</f>
        <v>#VALUE!</v>
      </c>
      <c r="R242" t="e">
        <f>RigheOfferte[[#This Row],[Tipo Protezione]]</f>
        <v>#VALUE!</v>
      </c>
    </row>
    <row r="243" spans="1:18">
      <c r="A243" t="e">
        <f>RigheOfferte[[#This Row],[Nprev]]</f>
        <v>#VALUE!</v>
      </c>
      <c r="B243" t="e">
        <f>RigheOfferte[[#This Row],[Nriga]]</f>
        <v>#VALUE!</v>
      </c>
      <c r="C243" t="e">
        <f>RigheOfferte[[#This Row],[Cliente]]</f>
        <v>#VALUE!</v>
      </c>
      <c r="D243" t="e">
        <f>RigheOfferte[[#This Row],[sub_cliente]]</f>
        <v>#VALUE!</v>
      </c>
      <c r="E243" t="e">
        <f>RigheOfferte[[#This Row],[cod.Art.]]</f>
        <v>#VALUE!</v>
      </c>
      <c r="F243" t="e">
        <f>RigheOfferte[[#This Row],[Descrizione]]</f>
        <v>#VALUE!</v>
      </c>
      <c r="G243" t="e">
        <f>RigheOfferte[[#This Row],[Q.ta'']]</f>
        <v>#VALUE!</v>
      </c>
      <c r="H243" t="e">
        <f>RigheOfferte[[#This Row],[Lavorazione]]</f>
        <v>#VALUE!</v>
      </c>
      <c r="I243" t="e">
        <f>RigheOfferte[[#This Row],[Colore]]</f>
        <v>#VALUE!</v>
      </c>
      <c r="J243" t="e">
        <f>RigheOfferte[[#This Row],[Velocità]]</f>
        <v>#VALUE!</v>
      </c>
      <c r="K243" t="e">
        <f>RigheOfferte[[#This Row],[Superf.pz Mq]]</f>
        <v>#VALUE!</v>
      </c>
      <c r="L243" t="e">
        <f>RigheOfferte[[#This Row],[passo]]</f>
        <v>#VALUE!</v>
      </c>
      <c r="M243" t="e">
        <f>RigheOfferte[[#This Row],[nr.pezzi Telaio]]</f>
        <v>#VALUE!</v>
      </c>
      <c r="N243" t="e">
        <f>RigheOfferte[[#This Row],[nr.pezzi ora-unita]]</f>
        <v>#VALUE!</v>
      </c>
      <c r="O243" t="e">
        <f>Tabella1[[#This Row],[superificie]]*Resa</f>
        <v>#VALUE!</v>
      </c>
      <c r="P243" t="e">
        <f>Tabella1[[#This Row],[KgPezzo]]*Tabella1[[#This Row],[q.ta offerta]]</f>
        <v>#VALUE!</v>
      </c>
      <c r="Q243" t="e">
        <f>RigheOfferte[[#This Row],[QtaProtez]]</f>
        <v>#VALUE!</v>
      </c>
      <c r="R243" t="e">
        <f>RigheOfferte[[#This Row],[Tipo Protezione]]</f>
        <v>#VALUE!</v>
      </c>
    </row>
    <row r="244" spans="1:18">
      <c r="A244" t="e">
        <f>RigheOfferte[[#This Row],[Nprev]]</f>
        <v>#VALUE!</v>
      </c>
      <c r="B244" t="e">
        <f>RigheOfferte[[#This Row],[Nriga]]</f>
        <v>#VALUE!</v>
      </c>
      <c r="C244" t="e">
        <f>RigheOfferte[[#This Row],[Cliente]]</f>
        <v>#VALUE!</v>
      </c>
      <c r="D244" t="e">
        <f>RigheOfferte[[#This Row],[sub_cliente]]</f>
        <v>#VALUE!</v>
      </c>
      <c r="E244" t="e">
        <f>RigheOfferte[[#This Row],[cod.Art.]]</f>
        <v>#VALUE!</v>
      </c>
      <c r="F244" t="e">
        <f>RigheOfferte[[#This Row],[Descrizione]]</f>
        <v>#VALUE!</v>
      </c>
      <c r="G244" t="e">
        <f>RigheOfferte[[#This Row],[Q.ta'']]</f>
        <v>#VALUE!</v>
      </c>
      <c r="H244" t="e">
        <f>RigheOfferte[[#This Row],[Lavorazione]]</f>
        <v>#VALUE!</v>
      </c>
      <c r="I244" t="e">
        <f>RigheOfferte[[#This Row],[Colore]]</f>
        <v>#VALUE!</v>
      </c>
      <c r="J244" t="e">
        <f>RigheOfferte[[#This Row],[Velocità]]</f>
        <v>#VALUE!</v>
      </c>
      <c r="K244" t="e">
        <f>RigheOfferte[[#This Row],[Superf.pz Mq]]</f>
        <v>#VALUE!</v>
      </c>
      <c r="L244" t="e">
        <f>RigheOfferte[[#This Row],[passo]]</f>
        <v>#VALUE!</v>
      </c>
      <c r="M244" t="e">
        <f>RigheOfferte[[#This Row],[nr.pezzi Telaio]]</f>
        <v>#VALUE!</v>
      </c>
      <c r="N244" t="e">
        <f>RigheOfferte[[#This Row],[nr.pezzi ora-unita]]</f>
        <v>#VALUE!</v>
      </c>
      <c r="O244" t="e">
        <f>Tabella1[[#This Row],[superificie]]*Resa</f>
        <v>#VALUE!</v>
      </c>
      <c r="P244" t="e">
        <f>Tabella1[[#This Row],[KgPezzo]]*Tabella1[[#This Row],[q.ta offerta]]</f>
        <v>#VALUE!</v>
      </c>
      <c r="Q244" t="e">
        <f>RigheOfferte[[#This Row],[QtaProtez]]</f>
        <v>#VALUE!</v>
      </c>
      <c r="R244" t="e">
        <f>RigheOfferte[[#This Row],[Tipo Protezione]]</f>
        <v>#VALUE!</v>
      </c>
    </row>
    <row r="245" spans="1:18">
      <c r="A245" t="e">
        <f>RigheOfferte[[#This Row],[Nprev]]</f>
        <v>#VALUE!</v>
      </c>
      <c r="B245" t="e">
        <f>RigheOfferte[[#This Row],[Nriga]]</f>
        <v>#VALUE!</v>
      </c>
      <c r="C245" t="e">
        <f>RigheOfferte[[#This Row],[Cliente]]</f>
        <v>#VALUE!</v>
      </c>
      <c r="D245" t="e">
        <f>RigheOfferte[[#This Row],[sub_cliente]]</f>
        <v>#VALUE!</v>
      </c>
      <c r="E245" t="e">
        <f>RigheOfferte[[#This Row],[cod.Art.]]</f>
        <v>#VALUE!</v>
      </c>
      <c r="F245" t="e">
        <f>RigheOfferte[[#This Row],[Descrizione]]</f>
        <v>#VALUE!</v>
      </c>
      <c r="G245" t="e">
        <f>RigheOfferte[[#This Row],[Q.ta'']]</f>
        <v>#VALUE!</v>
      </c>
      <c r="H245" t="e">
        <f>RigheOfferte[[#This Row],[Lavorazione]]</f>
        <v>#VALUE!</v>
      </c>
      <c r="I245" t="e">
        <f>RigheOfferte[[#This Row],[Colore]]</f>
        <v>#VALUE!</v>
      </c>
      <c r="J245" t="e">
        <f>RigheOfferte[[#This Row],[Velocità]]</f>
        <v>#VALUE!</v>
      </c>
      <c r="K245" t="e">
        <f>RigheOfferte[[#This Row],[Superf.pz Mq]]</f>
        <v>#VALUE!</v>
      </c>
      <c r="L245" t="e">
        <f>RigheOfferte[[#This Row],[passo]]</f>
        <v>#VALUE!</v>
      </c>
      <c r="M245" t="e">
        <f>RigheOfferte[[#This Row],[nr.pezzi Telaio]]</f>
        <v>#VALUE!</v>
      </c>
      <c r="N245" t="e">
        <f>RigheOfferte[[#This Row],[nr.pezzi ora-unita]]</f>
        <v>#VALUE!</v>
      </c>
      <c r="O245" t="e">
        <f>Tabella1[[#This Row],[superificie]]*Resa</f>
        <v>#VALUE!</v>
      </c>
      <c r="P245" t="e">
        <f>Tabella1[[#This Row],[KgPezzo]]*Tabella1[[#This Row],[q.ta offerta]]</f>
        <v>#VALUE!</v>
      </c>
      <c r="Q245" t="e">
        <f>RigheOfferte[[#This Row],[QtaProtez]]</f>
        <v>#VALUE!</v>
      </c>
      <c r="R245" t="e">
        <f>RigheOfferte[[#This Row],[Tipo Protezione]]</f>
        <v>#VALUE!</v>
      </c>
    </row>
    <row r="246" spans="1:18">
      <c r="A246" t="e">
        <f>RigheOfferte[[#This Row],[Nprev]]</f>
        <v>#VALUE!</v>
      </c>
      <c r="B246" t="e">
        <f>RigheOfferte[[#This Row],[Nriga]]</f>
        <v>#VALUE!</v>
      </c>
      <c r="C246" t="e">
        <f>RigheOfferte[[#This Row],[Cliente]]</f>
        <v>#VALUE!</v>
      </c>
      <c r="D246" t="e">
        <f>RigheOfferte[[#This Row],[sub_cliente]]</f>
        <v>#VALUE!</v>
      </c>
      <c r="E246" t="e">
        <f>RigheOfferte[[#This Row],[cod.Art.]]</f>
        <v>#VALUE!</v>
      </c>
      <c r="F246" t="e">
        <f>RigheOfferte[[#This Row],[Descrizione]]</f>
        <v>#VALUE!</v>
      </c>
      <c r="G246" t="e">
        <f>RigheOfferte[[#This Row],[Q.ta'']]</f>
        <v>#VALUE!</v>
      </c>
      <c r="H246" t="e">
        <f>RigheOfferte[[#This Row],[Lavorazione]]</f>
        <v>#VALUE!</v>
      </c>
      <c r="I246" t="e">
        <f>RigheOfferte[[#This Row],[Colore]]</f>
        <v>#VALUE!</v>
      </c>
      <c r="J246" t="e">
        <f>RigheOfferte[[#This Row],[Velocità]]</f>
        <v>#VALUE!</v>
      </c>
      <c r="K246" t="e">
        <f>RigheOfferte[[#This Row],[Superf.pz Mq]]</f>
        <v>#VALUE!</v>
      </c>
      <c r="L246" t="e">
        <f>RigheOfferte[[#This Row],[passo]]</f>
        <v>#VALUE!</v>
      </c>
      <c r="M246" t="e">
        <f>RigheOfferte[[#This Row],[nr.pezzi Telaio]]</f>
        <v>#VALUE!</v>
      </c>
      <c r="N246" t="e">
        <f>RigheOfferte[[#This Row],[nr.pezzi ora-unita]]</f>
        <v>#VALUE!</v>
      </c>
      <c r="O246" t="e">
        <f>Tabella1[[#This Row],[superificie]]*Resa</f>
        <v>#VALUE!</v>
      </c>
      <c r="P246" t="e">
        <f>Tabella1[[#This Row],[KgPezzo]]*Tabella1[[#This Row],[q.ta offerta]]</f>
        <v>#VALUE!</v>
      </c>
      <c r="Q246" t="e">
        <f>RigheOfferte[[#This Row],[QtaProtez]]</f>
        <v>#VALUE!</v>
      </c>
      <c r="R246" t="e">
        <f>RigheOfferte[[#This Row],[Tipo Protezione]]</f>
        <v>#VALUE!</v>
      </c>
    </row>
    <row r="247" spans="1:18">
      <c r="A247" t="e">
        <f>RigheOfferte[[#This Row],[Nprev]]</f>
        <v>#VALUE!</v>
      </c>
      <c r="B247" t="e">
        <f>RigheOfferte[[#This Row],[Nriga]]</f>
        <v>#VALUE!</v>
      </c>
      <c r="C247" t="e">
        <f>RigheOfferte[[#This Row],[Cliente]]</f>
        <v>#VALUE!</v>
      </c>
      <c r="D247" t="e">
        <f>RigheOfferte[[#This Row],[sub_cliente]]</f>
        <v>#VALUE!</v>
      </c>
      <c r="E247" t="e">
        <f>RigheOfferte[[#This Row],[cod.Art.]]</f>
        <v>#VALUE!</v>
      </c>
      <c r="F247" t="e">
        <f>RigheOfferte[[#This Row],[Descrizione]]</f>
        <v>#VALUE!</v>
      </c>
      <c r="G247" t="e">
        <f>RigheOfferte[[#This Row],[Q.ta'']]</f>
        <v>#VALUE!</v>
      </c>
      <c r="H247" t="e">
        <f>RigheOfferte[[#This Row],[Lavorazione]]</f>
        <v>#VALUE!</v>
      </c>
      <c r="I247" t="e">
        <f>RigheOfferte[[#This Row],[Colore]]</f>
        <v>#VALUE!</v>
      </c>
      <c r="J247" t="e">
        <f>RigheOfferte[[#This Row],[Velocità]]</f>
        <v>#VALUE!</v>
      </c>
      <c r="K247" t="e">
        <f>RigheOfferte[[#This Row],[Superf.pz Mq]]</f>
        <v>#VALUE!</v>
      </c>
      <c r="L247" t="e">
        <f>RigheOfferte[[#This Row],[passo]]</f>
        <v>#VALUE!</v>
      </c>
      <c r="M247" t="e">
        <f>RigheOfferte[[#This Row],[nr.pezzi Telaio]]</f>
        <v>#VALUE!</v>
      </c>
      <c r="N247" t="e">
        <f>RigheOfferte[[#This Row],[nr.pezzi ora-unita]]</f>
        <v>#VALUE!</v>
      </c>
      <c r="O247" t="e">
        <f>Tabella1[[#This Row],[superificie]]*Resa</f>
        <v>#VALUE!</v>
      </c>
      <c r="P247" t="e">
        <f>Tabella1[[#This Row],[KgPezzo]]*Tabella1[[#This Row],[q.ta offerta]]</f>
        <v>#VALUE!</v>
      </c>
      <c r="Q247" t="e">
        <f>RigheOfferte[[#This Row],[QtaProtez]]</f>
        <v>#VALUE!</v>
      </c>
      <c r="R247" t="e">
        <f>RigheOfferte[[#This Row],[Tipo Protezione]]</f>
        <v>#VALUE!</v>
      </c>
    </row>
    <row r="248" spans="1:18">
      <c r="A248" t="e">
        <f>RigheOfferte[[#This Row],[Nprev]]</f>
        <v>#VALUE!</v>
      </c>
      <c r="B248" t="e">
        <f>RigheOfferte[[#This Row],[Nriga]]</f>
        <v>#VALUE!</v>
      </c>
      <c r="C248" t="e">
        <f>RigheOfferte[[#This Row],[Cliente]]</f>
        <v>#VALUE!</v>
      </c>
      <c r="D248" t="e">
        <f>RigheOfferte[[#This Row],[sub_cliente]]</f>
        <v>#VALUE!</v>
      </c>
      <c r="E248" t="e">
        <f>RigheOfferte[[#This Row],[cod.Art.]]</f>
        <v>#VALUE!</v>
      </c>
      <c r="F248" t="e">
        <f>RigheOfferte[[#This Row],[Descrizione]]</f>
        <v>#VALUE!</v>
      </c>
      <c r="G248" t="e">
        <f>RigheOfferte[[#This Row],[Q.ta'']]</f>
        <v>#VALUE!</v>
      </c>
      <c r="H248" t="e">
        <f>RigheOfferte[[#This Row],[Lavorazione]]</f>
        <v>#VALUE!</v>
      </c>
      <c r="I248" t="e">
        <f>RigheOfferte[[#This Row],[Colore]]</f>
        <v>#VALUE!</v>
      </c>
      <c r="J248" t="e">
        <f>RigheOfferte[[#This Row],[Velocità]]</f>
        <v>#VALUE!</v>
      </c>
      <c r="K248" t="e">
        <f>RigheOfferte[[#This Row],[Superf.pz Mq]]</f>
        <v>#VALUE!</v>
      </c>
      <c r="L248" t="e">
        <f>RigheOfferte[[#This Row],[passo]]</f>
        <v>#VALUE!</v>
      </c>
      <c r="M248" t="e">
        <f>RigheOfferte[[#This Row],[nr.pezzi Telaio]]</f>
        <v>#VALUE!</v>
      </c>
      <c r="N248" t="e">
        <f>RigheOfferte[[#This Row],[nr.pezzi ora-unita]]</f>
        <v>#VALUE!</v>
      </c>
      <c r="O248" t="e">
        <f>Tabella1[[#This Row],[superificie]]*Resa</f>
        <v>#VALUE!</v>
      </c>
      <c r="P248" t="e">
        <f>Tabella1[[#This Row],[KgPezzo]]*Tabella1[[#This Row],[q.ta offerta]]</f>
        <v>#VALUE!</v>
      </c>
      <c r="Q248" t="e">
        <f>RigheOfferte[[#This Row],[QtaProtez]]</f>
        <v>#VALUE!</v>
      </c>
      <c r="R248" t="e">
        <f>RigheOfferte[[#This Row],[Tipo Protezione]]</f>
        <v>#VALUE!</v>
      </c>
    </row>
    <row r="249" spans="1:18">
      <c r="A249" t="e">
        <f>RigheOfferte[[#This Row],[Nprev]]</f>
        <v>#VALUE!</v>
      </c>
      <c r="B249" t="e">
        <f>RigheOfferte[[#This Row],[Nriga]]</f>
        <v>#VALUE!</v>
      </c>
      <c r="C249" t="e">
        <f>RigheOfferte[[#This Row],[Cliente]]</f>
        <v>#VALUE!</v>
      </c>
      <c r="D249" t="e">
        <f>RigheOfferte[[#This Row],[sub_cliente]]</f>
        <v>#VALUE!</v>
      </c>
      <c r="E249" t="e">
        <f>RigheOfferte[[#This Row],[cod.Art.]]</f>
        <v>#VALUE!</v>
      </c>
      <c r="F249" t="e">
        <f>RigheOfferte[[#This Row],[Descrizione]]</f>
        <v>#VALUE!</v>
      </c>
      <c r="G249" t="e">
        <f>RigheOfferte[[#This Row],[Q.ta'']]</f>
        <v>#VALUE!</v>
      </c>
      <c r="H249" t="e">
        <f>RigheOfferte[[#This Row],[Lavorazione]]</f>
        <v>#VALUE!</v>
      </c>
      <c r="I249" t="e">
        <f>RigheOfferte[[#This Row],[Colore]]</f>
        <v>#VALUE!</v>
      </c>
      <c r="J249" t="e">
        <f>RigheOfferte[[#This Row],[Velocità]]</f>
        <v>#VALUE!</v>
      </c>
      <c r="K249" t="e">
        <f>RigheOfferte[[#This Row],[Superf.pz Mq]]</f>
        <v>#VALUE!</v>
      </c>
      <c r="L249" t="e">
        <f>RigheOfferte[[#This Row],[passo]]</f>
        <v>#VALUE!</v>
      </c>
      <c r="M249" t="e">
        <f>RigheOfferte[[#This Row],[nr.pezzi Telaio]]</f>
        <v>#VALUE!</v>
      </c>
      <c r="N249" t="e">
        <f>RigheOfferte[[#This Row],[nr.pezzi ora-unita]]</f>
        <v>#VALUE!</v>
      </c>
      <c r="O249" t="e">
        <f>Tabella1[[#This Row],[superificie]]*Resa</f>
        <v>#VALUE!</v>
      </c>
      <c r="P249" t="e">
        <f>Tabella1[[#This Row],[KgPezzo]]*Tabella1[[#This Row],[q.ta offerta]]</f>
        <v>#VALUE!</v>
      </c>
      <c r="Q249" t="e">
        <f>RigheOfferte[[#This Row],[QtaProtez]]</f>
        <v>#VALUE!</v>
      </c>
      <c r="R249" t="e">
        <f>RigheOfferte[[#This Row],[Tipo Protezione]]</f>
        <v>#VALUE!</v>
      </c>
    </row>
    <row r="250" spans="1:18">
      <c r="A250" t="e">
        <f>RigheOfferte[[#This Row],[Nprev]]</f>
        <v>#VALUE!</v>
      </c>
      <c r="B250" t="e">
        <f>RigheOfferte[[#This Row],[Nriga]]</f>
        <v>#VALUE!</v>
      </c>
      <c r="C250" t="e">
        <f>RigheOfferte[[#This Row],[Cliente]]</f>
        <v>#VALUE!</v>
      </c>
      <c r="D250" t="e">
        <f>RigheOfferte[[#This Row],[sub_cliente]]</f>
        <v>#VALUE!</v>
      </c>
      <c r="E250" t="e">
        <f>RigheOfferte[[#This Row],[cod.Art.]]</f>
        <v>#VALUE!</v>
      </c>
      <c r="F250" t="e">
        <f>RigheOfferte[[#This Row],[Descrizione]]</f>
        <v>#VALUE!</v>
      </c>
      <c r="G250" t="e">
        <f>RigheOfferte[[#This Row],[Q.ta'']]</f>
        <v>#VALUE!</v>
      </c>
      <c r="H250" t="e">
        <f>RigheOfferte[[#This Row],[Lavorazione]]</f>
        <v>#VALUE!</v>
      </c>
      <c r="I250" t="e">
        <f>RigheOfferte[[#This Row],[Colore]]</f>
        <v>#VALUE!</v>
      </c>
      <c r="J250" t="e">
        <f>RigheOfferte[[#This Row],[Velocità]]</f>
        <v>#VALUE!</v>
      </c>
      <c r="K250" t="e">
        <f>RigheOfferte[[#This Row],[Superf.pz Mq]]</f>
        <v>#VALUE!</v>
      </c>
      <c r="L250" t="e">
        <f>RigheOfferte[[#This Row],[passo]]</f>
        <v>#VALUE!</v>
      </c>
      <c r="M250" t="e">
        <f>RigheOfferte[[#This Row],[nr.pezzi Telaio]]</f>
        <v>#VALUE!</v>
      </c>
      <c r="N250" t="e">
        <f>RigheOfferte[[#This Row],[nr.pezzi ora-unita]]</f>
        <v>#VALUE!</v>
      </c>
      <c r="O250" t="e">
        <f>Tabella1[[#This Row],[superificie]]*Resa</f>
        <v>#VALUE!</v>
      </c>
      <c r="P250" t="e">
        <f>Tabella1[[#This Row],[KgPezzo]]*Tabella1[[#This Row],[q.ta offerta]]</f>
        <v>#VALUE!</v>
      </c>
      <c r="Q250" t="e">
        <f>RigheOfferte[[#This Row],[QtaProtez]]</f>
        <v>#VALUE!</v>
      </c>
      <c r="R250" t="e">
        <f>RigheOfferte[[#This Row],[Tipo Protezione]]</f>
        <v>#VALUE!</v>
      </c>
    </row>
    <row r="251" spans="1:18">
      <c r="A251" t="e">
        <f>RigheOfferte[[#This Row],[Nprev]]</f>
        <v>#VALUE!</v>
      </c>
      <c r="B251" t="e">
        <f>RigheOfferte[[#This Row],[Nriga]]</f>
        <v>#VALUE!</v>
      </c>
      <c r="C251" t="e">
        <f>RigheOfferte[[#This Row],[Cliente]]</f>
        <v>#VALUE!</v>
      </c>
      <c r="D251" t="e">
        <f>RigheOfferte[[#This Row],[sub_cliente]]</f>
        <v>#VALUE!</v>
      </c>
      <c r="E251" t="e">
        <f>RigheOfferte[[#This Row],[cod.Art.]]</f>
        <v>#VALUE!</v>
      </c>
      <c r="F251" t="e">
        <f>RigheOfferte[[#This Row],[Descrizione]]</f>
        <v>#VALUE!</v>
      </c>
      <c r="G251" t="e">
        <f>RigheOfferte[[#This Row],[Q.ta'']]</f>
        <v>#VALUE!</v>
      </c>
      <c r="H251" t="e">
        <f>RigheOfferte[[#This Row],[Lavorazione]]</f>
        <v>#VALUE!</v>
      </c>
      <c r="I251" t="e">
        <f>RigheOfferte[[#This Row],[Colore]]</f>
        <v>#VALUE!</v>
      </c>
      <c r="J251" t="e">
        <f>RigheOfferte[[#This Row],[Velocità]]</f>
        <v>#VALUE!</v>
      </c>
      <c r="K251" t="e">
        <f>RigheOfferte[[#This Row],[Superf.pz Mq]]</f>
        <v>#VALUE!</v>
      </c>
      <c r="L251" t="e">
        <f>RigheOfferte[[#This Row],[passo]]</f>
        <v>#VALUE!</v>
      </c>
      <c r="M251" t="e">
        <f>RigheOfferte[[#This Row],[nr.pezzi Telaio]]</f>
        <v>#VALUE!</v>
      </c>
      <c r="N251" t="e">
        <f>RigheOfferte[[#This Row],[nr.pezzi ora-unita]]</f>
        <v>#VALUE!</v>
      </c>
      <c r="O251" t="e">
        <f>Tabella1[[#This Row],[superificie]]*Resa</f>
        <v>#VALUE!</v>
      </c>
      <c r="P251" t="e">
        <f>Tabella1[[#This Row],[KgPezzo]]*Tabella1[[#This Row],[q.ta offerta]]</f>
        <v>#VALUE!</v>
      </c>
      <c r="Q251" t="e">
        <f>RigheOfferte[[#This Row],[QtaProtez]]</f>
        <v>#VALUE!</v>
      </c>
      <c r="R251" t="e">
        <f>RigheOfferte[[#This Row],[Tipo Protezione]]</f>
        <v>#VALUE!</v>
      </c>
    </row>
    <row r="252" spans="1:18">
      <c r="A252" t="e">
        <f>RigheOfferte[[#This Row],[Nprev]]</f>
        <v>#VALUE!</v>
      </c>
      <c r="B252" t="e">
        <f>RigheOfferte[[#This Row],[Nriga]]</f>
        <v>#VALUE!</v>
      </c>
      <c r="C252" t="e">
        <f>RigheOfferte[[#This Row],[Cliente]]</f>
        <v>#VALUE!</v>
      </c>
      <c r="D252" t="e">
        <f>RigheOfferte[[#This Row],[sub_cliente]]</f>
        <v>#VALUE!</v>
      </c>
      <c r="E252" t="e">
        <f>RigheOfferte[[#This Row],[cod.Art.]]</f>
        <v>#VALUE!</v>
      </c>
      <c r="F252" t="e">
        <f>RigheOfferte[[#This Row],[Descrizione]]</f>
        <v>#VALUE!</v>
      </c>
      <c r="G252" t="e">
        <f>RigheOfferte[[#This Row],[Q.ta'']]</f>
        <v>#VALUE!</v>
      </c>
      <c r="H252" t="e">
        <f>RigheOfferte[[#This Row],[Lavorazione]]</f>
        <v>#VALUE!</v>
      </c>
      <c r="I252" t="e">
        <f>RigheOfferte[[#This Row],[Colore]]</f>
        <v>#VALUE!</v>
      </c>
      <c r="J252" t="e">
        <f>RigheOfferte[[#This Row],[Velocità]]</f>
        <v>#VALUE!</v>
      </c>
      <c r="K252" t="e">
        <f>RigheOfferte[[#This Row],[Superf.pz Mq]]</f>
        <v>#VALUE!</v>
      </c>
      <c r="L252" t="e">
        <f>RigheOfferte[[#This Row],[passo]]</f>
        <v>#VALUE!</v>
      </c>
      <c r="M252" t="e">
        <f>RigheOfferte[[#This Row],[nr.pezzi Telaio]]</f>
        <v>#VALUE!</v>
      </c>
      <c r="N252" t="e">
        <f>RigheOfferte[[#This Row],[nr.pezzi ora-unita]]</f>
        <v>#VALUE!</v>
      </c>
      <c r="O252" t="e">
        <f>Tabella1[[#This Row],[superificie]]*Resa</f>
        <v>#VALUE!</v>
      </c>
      <c r="P252" t="e">
        <f>Tabella1[[#This Row],[KgPezzo]]*Tabella1[[#This Row],[q.ta offerta]]</f>
        <v>#VALUE!</v>
      </c>
      <c r="Q252" t="e">
        <f>RigheOfferte[[#This Row],[QtaProtez]]</f>
        <v>#VALUE!</v>
      </c>
      <c r="R252" t="e">
        <f>RigheOfferte[[#This Row],[Tipo Protezione]]</f>
        <v>#VALUE!</v>
      </c>
    </row>
    <row r="253" spans="1:18">
      <c r="A253" t="e">
        <f>RigheOfferte[[#This Row],[Nprev]]</f>
        <v>#VALUE!</v>
      </c>
      <c r="B253" t="e">
        <f>RigheOfferte[[#This Row],[Nriga]]</f>
        <v>#VALUE!</v>
      </c>
      <c r="C253" t="e">
        <f>RigheOfferte[[#This Row],[Cliente]]</f>
        <v>#VALUE!</v>
      </c>
      <c r="D253" t="e">
        <f>RigheOfferte[[#This Row],[sub_cliente]]</f>
        <v>#VALUE!</v>
      </c>
      <c r="E253" t="e">
        <f>RigheOfferte[[#This Row],[cod.Art.]]</f>
        <v>#VALUE!</v>
      </c>
      <c r="F253" t="e">
        <f>RigheOfferte[[#This Row],[Descrizione]]</f>
        <v>#VALUE!</v>
      </c>
      <c r="G253" t="e">
        <f>RigheOfferte[[#This Row],[Q.ta'']]</f>
        <v>#VALUE!</v>
      </c>
      <c r="H253" t="e">
        <f>RigheOfferte[[#This Row],[Lavorazione]]</f>
        <v>#VALUE!</v>
      </c>
      <c r="I253" t="e">
        <f>RigheOfferte[[#This Row],[Colore]]</f>
        <v>#VALUE!</v>
      </c>
      <c r="J253" t="e">
        <f>RigheOfferte[[#This Row],[Velocità]]</f>
        <v>#VALUE!</v>
      </c>
      <c r="K253" t="e">
        <f>RigheOfferte[[#This Row],[Superf.pz Mq]]</f>
        <v>#VALUE!</v>
      </c>
      <c r="L253" t="e">
        <f>RigheOfferte[[#This Row],[passo]]</f>
        <v>#VALUE!</v>
      </c>
      <c r="M253" t="e">
        <f>RigheOfferte[[#This Row],[nr.pezzi Telaio]]</f>
        <v>#VALUE!</v>
      </c>
      <c r="N253" t="e">
        <f>RigheOfferte[[#This Row],[nr.pezzi ora-unita]]</f>
        <v>#VALUE!</v>
      </c>
      <c r="O253" t="e">
        <f>Tabella1[[#This Row],[superificie]]*Resa</f>
        <v>#VALUE!</v>
      </c>
      <c r="P253" t="e">
        <f>Tabella1[[#This Row],[KgPezzo]]*Tabella1[[#This Row],[q.ta offerta]]</f>
        <v>#VALUE!</v>
      </c>
      <c r="Q253" t="e">
        <f>RigheOfferte[[#This Row],[QtaProtez]]</f>
        <v>#VALUE!</v>
      </c>
      <c r="R253" t="e">
        <f>RigheOfferte[[#This Row],[Tipo Protezione]]</f>
        <v>#VALUE!</v>
      </c>
    </row>
    <row r="254" spans="1:18">
      <c r="A254" t="e">
        <f>RigheOfferte[[#This Row],[Nprev]]</f>
        <v>#VALUE!</v>
      </c>
      <c r="B254" t="e">
        <f>RigheOfferte[[#This Row],[Nriga]]</f>
        <v>#VALUE!</v>
      </c>
      <c r="C254" t="e">
        <f>RigheOfferte[[#This Row],[Cliente]]</f>
        <v>#VALUE!</v>
      </c>
      <c r="D254" t="e">
        <f>RigheOfferte[[#This Row],[sub_cliente]]</f>
        <v>#VALUE!</v>
      </c>
      <c r="E254" t="e">
        <f>RigheOfferte[[#This Row],[cod.Art.]]</f>
        <v>#VALUE!</v>
      </c>
      <c r="F254" t="e">
        <f>RigheOfferte[[#This Row],[Descrizione]]</f>
        <v>#VALUE!</v>
      </c>
      <c r="G254" t="e">
        <f>RigheOfferte[[#This Row],[Q.ta'']]</f>
        <v>#VALUE!</v>
      </c>
      <c r="H254" t="e">
        <f>RigheOfferte[[#This Row],[Lavorazione]]</f>
        <v>#VALUE!</v>
      </c>
      <c r="I254" t="e">
        <f>RigheOfferte[[#This Row],[Colore]]</f>
        <v>#VALUE!</v>
      </c>
      <c r="J254" t="e">
        <f>RigheOfferte[[#This Row],[Velocità]]</f>
        <v>#VALUE!</v>
      </c>
      <c r="K254" t="e">
        <f>RigheOfferte[[#This Row],[Superf.pz Mq]]</f>
        <v>#VALUE!</v>
      </c>
      <c r="L254" t="e">
        <f>RigheOfferte[[#This Row],[passo]]</f>
        <v>#VALUE!</v>
      </c>
      <c r="M254" t="e">
        <f>RigheOfferte[[#This Row],[nr.pezzi Telaio]]</f>
        <v>#VALUE!</v>
      </c>
      <c r="N254" t="e">
        <f>RigheOfferte[[#This Row],[nr.pezzi ora-unita]]</f>
        <v>#VALUE!</v>
      </c>
      <c r="O254" t="e">
        <f>Tabella1[[#This Row],[superificie]]*Resa</f>
        <v>#VALUE!</v>
      </c>
      <c r="P254" t="e">
        <f>Tabella1[[#This Row],[KgPezzo]]*Tabella1[[#This Row],[q.ta offerta]]</f>
        <v>#VALUE!</v>
      </c>
      <c r="Q254" t="e">
        <f>RigheOfferte[[#This Row],[QtaProtez]]</f>
        <v>#VALUE!</v>
      </c>
      <c r="R254" t="e">
        <f>RigheOfferte[[#This Row],[Tipo Protezione]]</f>
        <v>#VALUE!</v>
      </c>
    </row>
    <row r="255" spans="1:18">
      <c r="A255" t="e">
        <f>RigheOfferte[[#This Row],[Nprev]]</f>
        <v>#VALUE!</v>
      </c>
      <c r="B255" t="e">
        <f>RigheOfferte[[#This Row],[Nriga]]</f>
        <v>#VALUE!</v>
      </c>
      <c r="C255" t="e">
        <f>RigheOfferte[[#This Row],[Cliente]]</f>
        <v>#VALUE!</v>
      </c>
      <c r="D255" t="e">
        <f>RigheOfferte[[#This Row],[sub_cliente]]</f>
        <v>#VALUE!</v>
      </c>
      <c r="E255" t="e">
        <f>RigheOfferte[[#This Row],[cod.Art.]]</f>
        <v>#VALUE!</v>
      </c>
      <c r="F255" t="e">
        <f>RigheOfferte[[#This Row],[Descrizione]]</f>
        <v>#VALUE!</v>
      </c>
      <c r="G255" t="e">
        <f>RigheOfferte[[#This Row],[Q.ta'']]</f>
        <v>#VALUE!</v>
      </c>
      <c r="H255" t="e">
        <f>RigheOfferte[[#This Row],[Lavorazione]]</f>
        <v>#VALUE!</v>
      </c>
      <c r="I255" t="e">
        <f>RigheOfferte[[#This Row],[Colore]]</f>
        <v>#VALUE!</v>
      </c>
      <c r="J255" t="e">
        <f>RigheOfferte[[#This Row],[Velocità]]</f>
        <v>#VALUE!</v>
      </c>
      <c r="K255" t="e">
        <f>RigheOfferte[[#This Row],[Superf.pz Mq]]</f>
        <v>#VALUE!</v>
      </c>
      <c r="L255" t="e">
        <f>RigheOfferte[[#This Row],[passo]]</f>
        <v>#VALUE!</v>
      </c>
      <c r="M255" t="e">
        <f>RigheOfferte[[#This Row],[nr.pezzi Telaio]]</f>
        <v>#VALUE!</v>
      </c>
      <c r="N255" t="e">
        <f>RigheOfferte[[#This Row],[nr.pezzi ora-unita]]</f>
        <v>#VALUE!</v>
      </c>
      <c r="O255" t="e">
        <f>Tabella1[[#This Row],[superificie]]*Resa</f>
        <v>#VALUE!</v>
      </c>
      <c r="P255" t="e">
        <f>Tabella1[[#This Row],[KgPezzo]]*Tabella1[[#This Row],[q.ta offerta]]</f>
        <v>#VALUE!</v>
      </c>
      <c r="Q255" t="e">
        <f>RigheOfferte[[#This Row],[QtaProtez]]</f>
        <v>#VALUE!</v>
      </c>
      <c r="R255" t="e">
        <f>RigheOfferte[[#This Row],[Tipo Protezione]]</f>
        <v>#VALUE!</v>
      </c>
    </row>
    <row r="256" spans="1:18">
      <c r="A256" t="e">
        <f>RigheOfferte[[#This Row],[Nprev]]</f>
        <v>#VALUE!</v>
      </c>
      <c r="B256" t="e">
        <f>RigheOfferte[[#This Row],[Nriga]]</f>
        <v>#VALUE!</v>
      </c>
      <c r="C256" t="e">
        <f>RigheOfferte[[#This Row],[Cliente]]</f>
        <v>#VALUE!</v>
      </c>
      <c r="D256" t="e">
        <f>RigheOfferte[[#This Row],[sub_cliente]]</f>
        <v>#VALUE!</v>
      </c>
      <c r="E256" t="e">
        <f>RigheOfferte[[#This Row],[cod.Art.]]</f>
        <v>#VALUE!</v>
      </c>
      <c r="F256" t="e">
        <f>RigheOfferte[[#This Row],[Descrizione]]</f>
        <v>#VALUE!</v>
      </c>
      <c r="G256" t="e">
        <f>RigheOfferte[[#This Row],[Q.ta'']]</f>
        <v>#VALUE!</v>
      </c>
      <c r="H256" t="e">
        <f>RigheOfferte[[#This Row],[Lavorazione]]</f>
        <v>#VALUE!</v>
      </c>
      <c r="I256" t="e">
        <f>RigheOfferte[[#This Row],[Colore]]</f>
        <v>#VALUE!</v>
      </c>
      <c r="J256" t="e">
        <f>RigheOfferte[[#This Row],[Velocità]]</f>
        <v>#VALUE!</v>
      </c>
      <c r="K256" t="e">
        <f>RigheOfferte[[#This Row],[Superf.pz Mq]]</f>
        <v>#VALUE!</v>
      </c>
      <c r="L256" t="e">
        <f>RigheOfferte[[#This Row],[passo]]</f>
        <v>#VALUE!</v>
      </c>
      <c r="M256" t="e">
        <f>RigheOfferte[[#This Row],[nr.pezzi Telaio]]</f>
        <v>#VALUE!</v>
      </c>
      <c r="N256" t="e">
        <f>RigheOfferte[[#This Row],[nr.pezzi ora-unita]]</f>
        <v>#VALUE!</v>
      </c>
      <c r="O256" t="e">
        <f>Tabella1[[#This Row],[superificie]]*Resa</f>
        <v>#VALUE!</v>
      </c>
      <c r="P256" t="e">
        <f>Tabella1[[#This Row],[KgPezzo]]*Tabella1[[#This Row],[q.ta offerta]]</f>
        <v>#VALUE!</v>
      </c>
      <c r="Q256" t="e">
        <f>RigheOfferte[[#This Row],[QtaProtez]]</f>
        <v>#VALUE!</v>
      </c>
      <c r="R256" t="e">
        <f>RigheOfferte[[#This Row],[Tipo Protezione]]</f>
        <v>#VALUE!</v>
      </c>
    </row>
    <row r="257" spans="1:18">
      <c r="A257" t="e">
        <f>RigheOfferte[[#This Row],[Nprev]]</f>
        <v>#VALUE!</v>
      </c>
      <c r="B257" t="e">
        <f>RigheOfferte[[#This Row],[Nriga]]</f>
        <v>#VALUE!</v>
      </c>
      <c r="C257" t="e">
        <f>RigheOfferte[[#This Row],[Cliente]]</f>
        <v>#VALUE!</v>
      </c>
      <c r="D257" t="e">
        <f>RigheOfferte[[#This Row],[sub_cliente]]</f>
        <v>#VALUE!</v>
      </c>
      <c r="E257" t="e">
        <f>RigheOfferte[[#This Row],[cod.Art.]]</f>
        <v>#VALUE!</v>
      </c>
      <c r="F257" t="e">
        <f>RigheOfferte[[#This Row],[Descrizione]]</f>
        <v>#VALUE!</v>
      </c>
      <c r="G257" t="e">
        <f>RigheOfferte[[#This Row],[Q.ta'']]</f>
        <v>#VALUE!</v>
      </c>
      <c r="H257" t="e">
        <f>RigheOfferte[[#This Row],[Lavorazione]]</f>
        <v>#VALUE!</v>
      </c>
      <c r="I257" t="e">
        <f>RigheOfferte[[#This Row],[Colore]]</f>
        <v>#VALUE!</v>
      </c>
      <c r="J257" t="e">
        <f>RigheOfferte[[#This Row],[Velocità]]</f>
        <v>#VALUE!</v>
      </c>
      <c r="K257" t="e">
        <f>RigheOfferte[[#This Row],[Superf.pz Mq]]</f>
        <v>#VALUE!</v>
      </c>
      <c r="L257" t="e">
        <f>RigheOfferte[[#This Row],[passo]]</f>
        <v>#VALUE!</v>
      </c>
      <c r="M257" t="e">
        <f>RigheOfferte[[#This Row],[nr.pezzi Telaio]]</f>
        <v>#VALUE!</v>
      </c>
      <c r="N257" t="e">
        <f>RigheOfferte[[#This Row],[nr.pezzi ora-unita]]</f>
        <v>#VALUE!</v>
      </c>
      <c r="O257" t="e">
        <f>Tabella1[[#This Row],[superificie]]*Resa</f>
        <v>#VALUE!</v>
      </c>
      <c r="P257" t="e">
        <f>Tabella1[[#This Row],[KgPezzo]]*Tabella1[[#This Row],[q.ta offerta]]</f>
        <v>#VALUE!</v>
      </c>
      <c r="Q257" t="e">
        <f>RigheOfferte[[#This Row],[QtaProtez]]</f>
        <v>#VALUE!</v>
      </c>
      <c r="R257" t="e">
        <f>RigheOfferte[[#This Row],[Tipo Protezione]]</f>
        <v>#VALUE!</v>
      </c>
    </row>
    <row r="258" spans="1:18">
      <c r="A258" t="e">
        <f>RigheOfferte[[#This Row],[Nprev]]</f>
        <v>#VALUE!</v>
      </c>
      <c r="B258" t="e">
        <f>RigheOfferte[[#This Row],[Nriga]]</f>
        <v>#VALUE!</v>
      </c>
      <c r="C258" t="e">
        <f>RigheOfferte[[#This Row],[Cliente]]</f>
        <v>#VALUE!</v>
      </c>
      <c r="D258" t="e">
        <f>RigheOfferte[[#This Row],[sub_cliente]]</f>
        <v>#VALUE!</v>
      </c>
      <c r="E258" t="e">
        <f>RigheOfferte[[#This Row],[cod.Art.]]</f>
        <v>#VALUE!</v>
      </c>
      <c r="F258" t="e">
        <f>RigheOfferte[[#This Row],[Descrizione]]</f>
        <v>#VALUE!</v>
      </c>
      <c r="G258" t="e">
        <f>RigheOfferte[[#This Row],[Q.ta'']]</f>
        <v>#VALUE!</v>
      </c>
      <c r="H258" t="e">
        <f>RigheOfferte[[#This Row],[Lavorazione]]</f>
        <v>#VALUE!</v>
      </c>
      <c r="I258" t="e">
        <f>RigheOfferte[[#This Row],[Colore]]</f>
        <v>#VALUE!</v>
      </c>
      <c r="J258" t="e">
        <f>RigheOfferte[[#This Row],[Velocità]]</f>
        <v>#VALUE!</v>
      </c>
      <c r="K258" t="e">
        <f>RigheOfferte[[#This Row],[Superf.pz Mq]]</f>
        <v>#VALUE!</v>
      </c>
      <c r="L258" t="e">
        <f>RigheOfferte[[#This Row],[passo]]</f>
        <v>#VALUE!</v>
      </c>
      <c r="M258" t="e">
        <f>RigheOfferte[[#This Row],[nr.pezzi Telaio]]</f>
        <v>#VALUE!</v>
      </c>
      <c r="N258" t="e">
        <f>RigheOfferte[[#This Row],[nr.pezzi ora-unita]]</f>
        <v>#VALUE!</v>
      </c>
      <c r="O258" t="e">
        <f>Tabella1[[#This Row],[superificie]]*Resa</f>
        <v>#VALUE!</v>
      </c>
      <c r="P258" t="e">
        <f>Tabella1[[#This Row],[KgPezzo]]*Tabella1[[#This Row],[q.ta offerta]]</f>
        <v>#VALUE!</v>
      </c>
      <c r="Q258" t="e">
        <f>RigheOfferte[[#This Row],[QtaProtez]]</f>
        <v>#VALUE!</v>
      </c>
      <c r="R258" t="e">
        <f>RigheOfferte[[#This Row],[Tipo Protezione]]</f>
        <v>#VALUE!</v>
      </c>
    </row>
    <row r="259" spans="1:18">
      <c r="A259" t="e">
        <f>RigheOfferte[[#This Row],[Nprev]]</f>
        <v>#VALUE!</v>
      </c>
      <c r="B259" t="e">
        <f>RigheOfferte[[#This Row],[Nriga]]</f>
        <v>#VALUE!</v>
      </c>
      <c r="C259" t="e">
        <f>RigheOfferte[[#This Row],[Cliente]]</f>
        <v>#VALUE!</v>
      </c>
      <c r="D259" t="e">
        <f>RigheOfferte[[#This Row],[sub_cliente]]</f>
        <v>#VALUE!</v>
      </c>
      <c r="E259" t="e">
        <f>RigheOfferte[[#This Row],[cod.Art.]]</f>
        <v>#VALUE!</v>
      </c>
      <c r="F259" t="e">
        <f>RigheOfferte[[#This Row],[Descrizione]]</f>
        <v>#VALUE!</v>
      </c>
      <c r="G259" t="e">
        <f>RigheOfferte[[#This Row],[Q.ta'']]</f>
        <v>#VALUE!</v>
      </c>
      <c r="H259" t="e">
        <f>RigheOfferte[[#This Row],[Lavorazione]]</f>
        <v>#VALUE!</v>
      </c>
      <c r="I259" t="e">
        <f>RigheOfferte[[#This Row],[Colore]]</f>
        <v>#VALUE!</v>
      </c>
      <c r="J259" t="e">
        <f>RigheOfferte[[#This Row],[Velocità]]</f>
        <v>#VALUE!</v>
      </c>
      <c r="K259" t="e">
        <f>RigheOfferte[[#This Row],[Superf.pz Mq]]</f>
        <v>#VALUE!</v>
      </c>
      <c r="L259" t="e">
        <f>RigheOfferte[[#This Row],[passo]]</f>
        <v>#VALUE!</v>
      </c>
      <c r="M259" t="e">
        <f>RigheOfferte[[#This Row],[nr.pezzi Telaio]]</f>
        <v>#VALUE!</v>
      </c>
      <c r="N259" t="e">
        <f>RigheOfferte[[#This Row],[nr.pezzi ora-unita]]</f>
        <v>#VALUE!</v>
      </c>
      <c r="O259" t="e">
        <f>Tabella1[[#This Row],[superificie]]*Resa</f>
        <v>#VALUE!</v>
      </c>
      <c r="P259" t="e">
        <f>Tabella1[[#This Row],[KgPezzo]]*Tabella1[[#This Row],[q.ta offerta]]</f>
        <v>#VALUE!</v>
      </c>
      <c r="Q259" t="e">
        <f>RigheOfferte[[#This Row],[QtaProtez]]</f>
        <v>#VALUE!</v>
      </c>
      <c r="R259" t="e">
        <f>RigheOfferte[[#This Row],[Tipo Protezione]]</f>
        <v>#VALUE!</v>
      </c>
    </row>
    <row r="260" spans="1:18">
      <c r="A260" t="e">
        <f>RigheOfferte[[#This Row],[Nprev]]</f>
        <v>#VALUE!</v>
      </c>
      <c r="B260" t="e">
        <f>RigheOfferte[[#This Row],[Nriga]]</f>
        <v>#VALUE!</v>
      </c>
      <c r="C260" t="e">
        <f>RigheOfferte[[#This Row],[Cliente]]</f>
        <v>#VALUE!</v>
      </c>
      <c r="D260" t="e">
        <f>RigheOfferte[[#This Row],[sub_cliente]]</f>
        <v>#VALUE!</v>
      </c>
      <c r="E260" t="e">
        <f>RigheOfferte[[#This Row],[cod.Art.]]</f>
        <v>#VALUE!</v>
      </c>
      <c r="F260" t="e">
        <f>RigheOfferte[[#This Row],[Descrizione]]</f>
        <v>#VALUE!</v>
      </c>
      <c r="G260" t="e">
        <f>RigheOfferte[[#This Row],[Q.ta'']]</f>
        <v>#VALUE!</v>
      </c>
      <c r="H260" t="e">
        <f>RigheOfferte[[#This Row],[Lavorazione]]</f>
        <v>#VALUE!</v>
      </c>
      <c r="I260" t="e">
        <f>RigheOfferte[[#This Row],[Colore]]</f>
        <v>#VALUE!</v>
      </c>
      <c r="J260" t="e">
        <f>RigheOfferte[[#This Row],[Velocità]]</f>
        <v>#VALUE!</v>
      </c>
      <c r="K260" t="e">
        <f>RigheOfferte[[#This Row],[Superf.pz Mq]]</f>
        <v>#VALUE!</v>
      </c>
      <c r="L260" t="e">
        <f>RigheOfferte[[#This Row],[passo]]</f>
        <v>#VALUE!</v>
      </c>
      <c r="M260" t="e">
        <f>RigheOfferte[[#This Row],[nr.pezzi Telaio]]</f>
        <v>#VALUE!</v>
      </c>
      <c r="N260" t="e">
        <f>RigheOfferte[[#This Row],[nr.pezzi ora-unita]]</f>
        <v>#VALUE!</v>
      </c>
      <c r="O260" t="e">
        <f>Tabella1[[#This Row],[superificie]]*Resa</f>
        <v>#VALUE!</v>
      </c>
      <c r="P260" t="e">
        <f>Tabella1[[#This Row],[KgPezzo]]*Tabella1[[#This Row],[q.ta offerta]]</f>
        <v>#VALUE!</v>
      </c>
      <c r="Q260" t="e">
        <f>RigheOfferte[[#This Row],[QtaProtez]]</f>
        <v>#VALUE!</v>
      </c>
      <c r="R260" t="e">
        <f>RigheOfferte[[#This Row],[Tipo Protezione]]</f>
        <v>#VALUE!</v>
      </c>
    </row>
    <row r="261" spans="1:18">
      <c r="A261" t="e">
        <f>RigheOfferte[[#This Row],[Nprev]]</f>
        <v>#VALUE!</v>
      </c>
      <c r="B261" t="e">
        <f>RigheOfferte[[#This Row],[Nriga]]</f>
        <v>#VALUE!</v>
      </c>
      <c r="C261" t="e">
        <f>RigheOfferte[[#This Row],[Cliente]]</f>
        <v>#VALUE!</v>
      </c>
      <c r="D261" t="e">
        <f>RigheOfferte[[#This Row],[sub_cliente]]</f>
        <v>#VALUE!</v>
      </c>
      <c r="E261" t="e">
        <f>RigheOfferte[[#This Row],[cod.Art.]]</f>
        <v>#VALUE!</v>
      </c>
      <c r="F261" t="e">
        <f>RigheOfferte[[#This Row],[Descrizione]]</f>
        <v>#VALUE!</v>
      </c>
      <c r="G261" t="e">
        <f>RigheOfferte[[#This Row],[Q.ta'']]</f>
        <v>#VALUE!</v>
      </c>
      <c r="H261" t="e">
        <f>RigheOfferte[[#This Row],[Lavorazione]]</f>
        <v>#VALUE!</v>
      </c>
      <c r="I261" t="e">
        <f>RigheOfferte[[#This Row],[Colore]]</f>
        <v>#VALUE!</v>
      </c>
      <c r="J261" t="e">
        <f>RigheOfferte[[#This Row],[Velocità]]</f>
        <v>#VALUE!</v>
      </c>
      <c r="K261" t="e">
        <f>RigheOfferte[[#This Row],[Superf.pz Mq]]</f>
        <v>#VALUE!</v>
      </c>
      <c r="L261" t="e">
        <f>RigheOfferte[[#This Row],[passo]]</f>
        <v>#VALUE!</v>
      </c>
      <c r="M261" t="e">
        <f>RigheOfferte[[#This Row],[nr.pezzi Telaio]]</f>
        <v>#VALUE!</v>
      </c>
      <c r="N261" t="e">
        <f>RigheOfferte[[#This Row],[nr.pezzi ora-unita]]</f>
        <v>#VALUE!</v>
      </c>
      <c r="O261" t="e">
        <f>Tabella1[[#This Row],[superificie]]*Resa</f>
        <v>#VALUE!</v>
      </c>
      <c r="P261" t="e">
        <f>Tabella1[[#This Row],[KgPezzo]]*Tabella1[[#This Row],[q.ta offerta]]</f>
        <v>#VALUE!</v>
      </c>
      <c r="Q261" t="e">
        <f>RigheOfferte[[#This Row],[QtaProtez]]</f>
        <v>#VALUE!</v>
      </c>
      <c r="R261" t="e">
        <f>RigheOfferte[[#This Row],[Tipo Protezione]]</f>
        <v>#VALUE!</v>
      </c>
    </row>
    <row r="262" spans="1:18">
      <c r="A262" t="e">
        <f>RigheOfferte[[#This Row],[Nprev]]</f>
        <v>#VALUE!</v>
      </c>
      <c r="B262" t="e">
        <f>RigheOfferte[[#This Row],[Nriga]]</f>
        <v>#VALUE!</v>
      </c>
      <c r="C262" t="e">
        <f>RigheOfferte[[#This Row],[Cliente]]</f>
        <v>#VALUE!</v>
      </c>
      <c r="D262" t="e">
        <f>RigheOfferte[[#This Row],[sub_cliente]]</f>
        <v>#VALUE!</v>
      </c>
      <c r="E262" t="e">
        <f>RigheOfferte[[#This Row],[cod.Art.]]</f>
        <v>#VALUE!</v>
      </c>
      <c r="F262" t="e">
        <f>RigheOfferte[[#This Row],[Descrizione]]</f>
        <v>#VALUE!</v>
      </c>
      <c r="G262" t="e">
        <f>RigheOfferte[[#This Row],[Q.ta'']]</f>
        <v>#VALUE!</v>
      </c>
      <c r="H262" t="e">
        <f>RigheOfferte[[#This Row],[Lavorazione]]</f>
        <v>#VALUE!</v>
      </c>
      <c r="I262" t="e">
        <f>RigheOfferte[[#This Row],[Colore]]</f>
        <v>#VALUE!</v>
      </c>
      <c r="J262" t="e">
        <f>RigheOfferte[[#This Row],[Velocità]]</f>
        <v>#VALUE!</v>
      </c>
      <c r="K262" t="e">
        <f>RigheOfferte[[#This Row],[Superf.pz Mq]]</f>
        <v>#VALUE!</v>
      </c>
      <c r="L262" t="e">
        <f>RigheOfferte[[#This Row],[passo]]</f>
        <v>#VALUE!</v>
      </c>
      <c r="M262" t="e">
        <f>RigheOfferte[[#This Row],[nr.pezzi Telaio]]</f>
        <v>#VALUE!</v>
      </c>
      <c r="N262" t="e">
        <f>RigheOfferte[[#This Row],[nr.pezzi ora-unita]]</f>
        <v>#VALUE!</v>
      </c>
      <c r="O262" t="e">
        <f>Tabella1[[#This Row],[superificie]]*Resa</f>
        <v>#VALUE!</v>
      </c>
      <c r="P262" t="e">
        <f>Tabella1[[#This Row],[KgPezzo]]*Tabella1[[#This Row],[q.ta offerta]]</f>
        <v>#VALUE!</v>
      </c>
      <c r="Q262" t="e">
        <f>RigheOfferte[[#This Row],[QtaProtez]]</f>
        <v>#VALUE!</v>
      </c>
      <c r="R262" t="e">
        <f>RigheOfferte[[#This Row],[Tipo Protezione]]</f>
        <v>#VALUE!</v>
      </c>
    </row>
    <row r="263" spans="1:18">
      <c r="A263" t="e">
        <f>RigheOfferte[[#This Row],[Nprev]]</f>
        <v>#VALUE!</v>
      </c>
      <c r="B263" t="e">
        <f>RigheOfferte[[#This Row],[Nriga]]</f>
        <v>#VALUE!</v>
      </c>
      <c r="C263" t="e">
        <f>RigheOfferte[[#This Row],[Cliente]]</f>
        <v>#VALUE!</v>
      </c>
      <c r="D263" t="e">
        <f>RigheOfferte[[#This Row],[sub_cliente]]</f>
        <v>#VALUE!</v>
      </c>
      <c r="E263" t="e">
        <f>RigheOfferte[[#This Row],[cod.Art.]]</f>
        <v>#VALUE!</v>
      </c>
      <c r="F263" t="e">
        <f>RigheOfferte[[#This Row],[Descrizione]]</f>
        <v>#VALUE!</v>
      </c>
      <c r="G263" t="e">
        <f>RigheOfferte[[#This Row],[Q.ta'']]</f>
        <v>#VALUE!</v>
      </c>
      <c r="H263" t="e">
        <f>RigheOfferte[[#This Row],[Lavorazione]]</f>
        <v>#VALUE!</v>
      </c>
      <c r="I263" t="e">
        <f>RigheOfferte[[#This Row],[Colore]]</f>
        <v>#VALUE!</v>
      </c>
      <c r="J263" t="e">
        <f>RigheOfferte[[#This Row],[Velocità]]</f>
        <v>#VALUE!</v>
      </c>
      <c r="K263" t="e">
        <f>RigheOfferte[[#This Row],[Superf.pz Mq]]</f>
        <v>#VALUE!</v>
      </c>
      <c r="L263" t="e">
        <f>RigheOfferte[[#This Row],[passo]]</f>
        <v>#VALUE!</v>
      </c>
      <c r="M263" t="e">
        <f>RigheOfferte[[#This Row],[nr.pezzi Telaio]]</f>
        <v>#VALUE!</v>
      </c>
      <c r="N263" t="e">
        <f>RigheOfferte[[#This Row],[nr.pezzi ora-unita]]</f>
        <v>#VALUE!</v>
      </c>
      <c r="O263" t="e">
        <f>Tabella1[[#This Row],[superificie]]*Resa</f>
        <v>#VALUE!</v>
      </c>
      <c r="P263" t="e">
        <f>Tabella1[[#This Row],[KgPezzo]]*Tabella1[[#This Row],[q.ta offerta]]</f>
        <v>#VALUE!</v>
      </c>
      <c r="Q263" t="e">
        <f>RigheOfferte[[#This Row],[QtaProtez]]</f>
        <v>#VALUE!</v>
      </c>
      <c r="R263" t="e">
        <f>RigheOfferte[[#This Row],[Tipo Protezione]]</f>
        <v>#VALUE!</v>
      </c>
    </row>
    <row r="264" spans="1:18">
      <c r="A264" t="e">
        <f>RigheOfferte[[#This Row],[Nprev]]</f>
        <v>#VALUE!</v>
      </c>
      <c r="B264" t="e">
        <f>RigheOfferte[[#This Row],[Nriga]]</f>
        <v>#VALUE!</v>
      </c>
      <c r="C264" t="e">
        <f>RigheOfferte[[#This Row],[Cliente]]</f>
        <v>#VALUE!</v>
      </c>
      <c r="D264" t="e">
        <f>RigheOfferte[[#This Row],[sub_cliente]]</f>
        <v>#VALUE!</v>
      </c>
      <c r="E264" t="e">
        <f>RigheOfferte[[#This Row],[cod.Art.]]</f>
        <v>#VALUE!</v>
      </c>
      <c r="F264" t="e">
        <f>RigheOfferte[[#This Row],[Descrizione]]</f>
        <v>#VALUE!</v>
      </c>
      <c r="G264" t="e">
        <f>RigheOfferte[[#This Row],[Q.ta'']]</f>
        <v>#VALUE!</v>
      </c>
      <c r="H264" t="e">
        <f>RigheOfferte[[#This Row],[Lavorazione]]</f>
        <v>#VALUE!</v>
      </c>
      <c r="I264" t="e">
        <f>RigheOfferte[[#This Row],[Colore]]</f>
        <v>#VALUE!</v>
      </c>
      <c r="J264" t="e">
        <f>RigheOfferte[[#This Row],[Velocità]]</f>
        <v>#VALUE!</v>
      </c>
      <c r="K264" t="e">
        <f>RigheOfferte[[#This Row],[Superf.pz Mq]]</f>
        <v>#VALUE!</v>
      </c>
      <c r="L264" t="e">
        <f>RigheOfferte[[#This Row],[passo]]</f>
        <v>#VALUE!</v>
      </c>
      <c r="M264" t="e">
        <f>RigheOfferte[[#This Row],[nr.pezzi Telaio]]</f>
        <v>#VALUE!</v>
      </c>
      <c r="N264" t="e">
        <f>RigheOfferte[[#This Row],[nr.pezzi ora-unita]]</f>
        <v>#VALUE!</v>
      </c>
      <c r="O264" t="e">
        <f>Tabella1[[#This Row],[superificie]]*Resa</f>
        <v>#VALUE!</v>
      </c>
      <c r="P264" t="e">
        <f>Tabella1[[#This Row],[KgPezzo]]*Tabella1[[#This Row],[q.ta offerta]]</f>
        <v>#VALUE!</v>
      </c>
      <c r="Q264" t="e">
        <f>RigheOfferte[[#This Row],[QtaProtez]]</f>
        <v>#VALUE!</v>
      </c>
      <c r="R264" t="e">
        <f>RigheOfferte[[#This Row],[Tipo Protezione]]</f>
        <v>#VALUE!</v>
      </c>
    </row>
    <row r="265" spans="1:18">
      <c r="A265" t="e">
        <f>RigheOfferte[[#This Row],[Nprev]]</f>
        <v>#VALUE!</v>
      </c>
      <c r="B265" t="e">
        <f>RigheOfferte[[#This Row],[Nriga]]</f>
        <v>#VALUE!</v>
      </c>
      <c r="C265" t="e">
        <f>RigheOfferte[[#This Row],[Cliente]]</f>
        <v>#VALUE!</v>
      </c>
      <c r="D265" t="e">
        <f>RigheOfferte[[#This Row],[sub_cliente]]</f>
        <v>#VALUE!</v>
      </c>
      <c r="E265" t="e">
        <f>RigheOfferte[[#This Row],[cod.Art.]]</f>
        <v>#VALUE!</v>
      </c>
      <c r="F265" t="e">
        <f>RigheOfferte[[#This Row],[Descrizione]]</f>
        <v>#VALUE!</v>
      </c>
      <c r="G265" t="e">
        <f>RigheOfferte[[#This Row],[Q.ta'']]</f>
        <v>#VALUE!</v>
      </c>
      <c r="H265" t="e">
        <f>RigheOfferte[[#This Row],[Lavorazione]]</f>
        <v>#VALUE!</v>
      </c>
      <c r="I265" t="e">
        <f>RigheOfferte[[#This Row],[Colore]]</f>
        <v>#VALUE!</v>
      </c>
      <c r="J265" t="e">
        <f>RigheOfferte[[#This Row],[Velocità]]</f>
        <v>#VALUE!</v>
      </c>
      <c r="K265" t="e">
        <f>RigheOfferte[[#This Row],[Superf.pz Mq]]</f>
        <v>#VALUE!</v>
      </c>
      <c r="L265" t="e">
        <f>RigheOfferte[[#This Row],[passo]]</f>
        <v>#VALUE!</v>
      </c>
      <c r="M265" t="e">
        <f>RigheOfferte[[#This Row],[nr.pezzi Telaio]]</f>
        <v>#VALUE!</v>
      </c>
      <c r="N265" t="e">
        <f>RigheOfferte[[#This Row],[nr.pezzi ora-unita]]</f>
        <v>#VALUE!</v>
      </c>
      <c r="O265" t="e">
        <f>Tabella1[[#This Row],[superificie]]*Resa</f>
        <v>#VALUE!</v>
      </c>
      <c r="P265" t="e">
        <f>Tabella1[[#This Row],[KgPezzo]]*Tabella1[[#This Row],[q.ta offerta]]</f>
        <v>#VALUE!</v>
      </c>
      <c r="Q265" t="e">
        <f>RigheOfferte[[#This Row],[QtaProtez]]</f>
        <v>#VALUE!</v>
      </c>
      <c r="R265" t="e">
        <f>RigheOfferte[[#This Row],[Tipo Protezione]]</f>
        <v>#VALUE!</v>
      </c>
    </row>
    <row r="266" spans="1:18">
      <c r="A266" t="e">
        <f>RigheOfferte[[#This Row],[Nprev]]</f>
        <v>#VALUE!</v>
      </c>
      <c r="B266" t="e">
        <f>RigheOfferte[[#This Row],[Nriga]]</f>
        <v>#VALUE!</v>
      </c>
      <c r="C266" t="e">
        <f>RigheOfferte[[#This Row],[Cliente]]</f>
        <v>#VALUE!</v>
      </c>
      <c r="D266" t="e">
        <f>RigheOfferte[[#This Row],[sub_cliente]]</f>
        <v>#VALUE!</v>
      </c>
      <c r="E266" t="e">
        <f>RigheOfferte[[#This Row],[cod.Art.]]</f>
        <v>#VALUE!</v>
      </c>
      <c r="F266" t="e">
        <f>RigheOfferte[[#This Row],[Descrizione]]</f>
        <v>#VALUE!</v>
      </c>
      <c r="G266" t="e">
        <f>RigheOfferte[[#This Row],[Q.ta'']]</f>
        <v>#VALUE!</v>
      </c>
      <c r="H266" t="e">
        <f>RigheOfferte[[#This Row],[Lavorazione]]</f>
        <v>#VALUE!</v>
      </c>
      <c r="I266" t="e">
        <f>RigheOfferte[[#This Row],[Colore]]</f>
        <v>#VALUE!</v>
      </c>
      <c r="J266" t="e">
        <f>RigheOfferte[[#This Row],[Velocità]]</f>
        <v>#VALUE!</v>
      </c>
      <c r="K266" t="e">
        <f>RigheOfferte[[#This Row],[Superf.pz Mq]]</f>
        <v>#VALUE!</v>
      </c>
      <c r="L266" t="e">
        <f>RigheOfferte[[#This Row],[passo]]</f>
        <v>#VALUE!</v>
      </c>
      <c r="M266" t="e">
        <f>RigheOfferte[[#This Row],[nr.pezzi Telaio]]</f>
        <v>#VALUE!</v>
      </c>
      <c r="N266" t="e">
        <f>RigheOfferte[[#This Row],[nr.pezzi ora-unita]]</f>
        <v>#VALUE!</v>
      </c>
      <c r="O266" t="e">
        <f>Tabella1[[#This Row],[superificie]]*Resa</f>
        <v>#VALUE!</v>
      </c>
      <c r="P266" t="e">
        <f>Tabella1[[#This Row],[KgPezzo]]*Tabella1[[#This Row],[q.ta offerta]]</f>
        <v>#VALUE!</v>
      </c>
      <c r="Q266" t="e">
        <f>RigheOfferte[[#This Row],[QtaProtez]]</f>
        <v>#VALUE!</v>
      </c>
      <c r="R266" t="e">
        <f>RigheOfferte[[#This Row],[Tipo Protezione]]</f>
        <v>#VALUE!</v>
      </c>
    </row>
    <row r="267" spans="1:18">
      <c r="A267" t="e">
        <f>RigheOfferte[[#This Row],[Nprev]]</f>
        <v>#VALUE!</v>
      </c>
      <c r="B267" t="e">
        <f>RigheOfferte[[#This Row],[Nriga]]</f>
        <v>#VALUE!</v>
      </c>
      <c r="C267" t="e">
        <f>RigheOfferte[[#This Row],[Cliente]]</f>
        <v>#VALUE!</v>
      </c>
      <c r="D267" t="e">
        <f>RigheOfferte[[#This Row],[sub_cliente]]</f>
        <v>#VALUE!</v>
      </c>
      <c r="E267" t="e">
        <f>RigheOfferte[[#This Row],[cod.Art.]]</f>
        <v>#VALUE!</v>
      </c>
      <c r="F267" t="e">
        <f>RigheOfferte[[#This Row],[Descrizione]]</f>
        <v>#VALUE!</v>
      </c>
      <c r="G267" t="e">
        <f>RigheOfferte[[#This Row],[Q.ta'']]</f>
        <v>#VALUE!</v>
      </c>
      <c r="H267" t="e">
        <f>RigheOfferte[[#This Row],[Lavorazione]]</f>
        <v>#VALUE!</v>
      </c>
      <c r="I267" t="e">
        <f>RigheOfferte[[#This Row],[Colore]]</f>
        <v>#VALUE!</v>
      </c>
      <c r="J267" t="e">
        <f>RigheOfferte[[#This Row],[Velocità]]</f>
        <v>#VALUE!</v>
      </c>
      <c r="K267" t="e">
        <f>RigheOfferte[[#This Row],[Superf.pz Mq]]</f>
        <v>#VALUE!</v>
      </c>
      <c r="L267" t="e">
        <f>RigheOfferte[[#This Row],[passo]]</f>
        <v>#VALUE!</v>
      </c>
      <c r="M267" t="e">
        <f>RigheOfferte[[#This Row],[nr.pezzi Telaio]]</f>
        <v>#VALUE!</v>
      </c>
      <c r="N267" t="e">
        <f>RigheOfferte[[#This Row],[nr.pezzi ora-unita]]</f>
        <v>#VALUE!</v>
      </c>
      <c r="O267" t="e">
        <f>Tabella1[[#This Row],[superificie]]*Resa</f>
        <v>#VALUE!</v>
      </c>
      <c r="P267" t="e">
        <f>Tabella1[[#This Row],[KgPezzo]]*Tabella1[[#This Row],[q.ta offerta]]</f>
        <v>#VALUE!</v>
      </c>
      <c r="Q267" t="e">
        <f>RigheOfferte[[#This Row],[QtaProtez]]</f>
        <v>#VALUE!</v>
      </c>
      <c r="R267" t="e">
        <f>RigheOfferte[[#This Row],[Tipo Protezione]]</f>
        <v>#VALUE!</v>
      </c>
    </row>
    <row r="268" spans="1:18">
      <c r="A268" t="e">
        <f>RigheOfferte[[#This Row],[Nprev]]</f>
        <v>#VALUE!</v>
      </c>
      <c r="B268" t="e">
        <f>RigheOfferte[[#This Row],[Nriga]]</f>
        <v>#VALUE!</v>
      </c>
      <c r="C268" t="e">
        <f>RigheOfferte[[#This Row],[Cliente]]</f>
        <v>#VALUE!</v>
      </c>
      <c r="D268" t="e">
        <f>RigheOfferte[[#This Row],[sub_cliente]]</f>
        <v>#VALUE!</v>
      </c>
      <c r="E268" t="e">
        <f>RigheOfferte[[#This Row],[cod.Art.]]</f>
        <v>#VALUE!</v>
      </c>
      <c r="F268" t="e">
        <f>RigheOfferte[[#This Row],[Descrizione]]</f>
        <v>#VALUE!</v>
      </c>
      <c r="G268" t="e">
        <f>RigheOfferte[[#This Row],[Q.ta'']]</f>
        <v>#VALUE!</v>
      </c>
      <c r="H268" t="e">
        <f>RigheOfferte[[#This Row],[Lavorazione]]</f>
        <v>#VALUE!</v>
      </c>
      <c r="I268" t="e">
        <f>RigheOfferte[[#This Row],[Colore]]</f>
        <v>#VALUE!</v>
      </c>
      <c r="J268" t="e">
        <f>RigheOfferte[[#This Row],[Velocità]]</f>
        <v>#VALUE!</v>
      </c>
      <c r="K268" t="e">
        <f>RigheOfferte[[#This Row],[Superf.pz Mq]]</f>
        <v>#VALUE!</v>
      </c>
      <c r="L268" t="e">
        <f>RigheOfferte[[#This Row],[passo]]</f>
        <v>#VALUE!</v>
      </c>
      <c r="M268" t="e">
        <f>RigheOfferte[[#This Row],[nr.pezzi Telaio]]</f>
        <v>#VALUE!</v>
      </c>
      <c r="N268" t="e">
        <f>RigheOfferte[[#This Row],[nr.pezzi ora-unita]]</f>
        <v>#VALUE!</v>
      </c>
      <c r="O268" t="e">
        <f>Tabella1[[#This Row],[superificie]]*Resa</f>
        <v>#VALUE!</v>
      </c>
      <c r="P268" t="e">
        <f>Tabella1[[#This Row],[KgPezzo]]*Tabella1[[#This Row],[q.ta offerta]]</f>
        <v>#VALUE!</v>
      </c>
      <c r="Q268" t="e">
        <f>RigheOfferte[[#This Row],[QtaProtez]]</f>
        <v>#VALUE!</v>
      </c>
      <c r="R268" t="e">
        <f>RigheOfferte[[#This Row],[Tipo Protezione]]</f>
        <v>#VALUE!</v>
      </c>
    </row>
    <row r="269" spans="1:18">
      <c r="A269" t="e">
        <f>RigheOfferte[[#This Row],[Nprev]]</f>
        <v>#VALUE!</v>
      </c>
      <c r="B269" t="e">
        <f>RigheOfferte[[#This Row],[Nriga]]</f>
        <v>#VALUE!</v>
      </c>
      <c r="C269" t="e">
        <f>RigheOfferte[[#This Row],[Cliente]]</f>
        <v>#VALUE!</v>
      </c>
      <c r="D269" t="e">
        <f>RigheOfferte[[#This Row],[sub_cliente]]</f>
        <v>#VALUE!</v>
      </c>
      <c r="E269" t="e">
        <f>RigheOfferte[[#This Row],[cod.Art.]]</f>
        <v>#VALUE!</v>
      </c>
      <c r="F269" t="e">
        <f>RigheOfferte[[#This Row],[Descrizione]]</f>
        <v>#VALUE!</v>
      </c>
      <c r="G269" t="e">
        <f>RigheOfferte[[#This Row],[Q.ta'']]</f>
        <v>#VALUE!</v>
      </c>
      <c r="H269" t="e">
        <f>RigheOfferte[[#This Row],[Lavorazione]]</f>
        <v>#VALUE!</v>
      </c>
      <c r="I269" t="e">
        <f>RigheOfferte[[#This Row],[Colore]]</f>
        <v>#VALUE!</v>
      </c>
      <c r="J269" t="e">
        <f>RigheOfferte[[#This Row],[Velocità]]</f>
        <v>#VALUE!</v>
      </c>
      <c r="K269" t="e">
        <f>RigheOfferte[[#This Row],[Superf.pz Mq]]</f>
        <v>#VALUE!</v>
      </c>
      <c r="L269" t="e">
        <f>RigheOfferte[[#This Row],[passo]]</f>
        <v>#VALUE!</v>
      </c>
      <c r="M269" t="e">
        <f>RigheOfferte[[#This Row],[nr.pezzi Telaio]]</f>
        <v>#VALUE!</v>
      </c>
      <c r="N269" t="e">
        <f>RigheOfferte[[#This Row],[nr.pezzi ora-unita]]</f>
        <v>#VALUE!</v>
      </c>
      <c r="O269" t="e">
        <f>Tabella1[[#This Row],[superificie]]*Resa</f>
        <v>#VALUE!</v>
      </c>
      <c r="P269" t="e">
        <f>Tabella1[[#This Row],[KgPezzo]]*Tabella1[[#This Row],[q.ta offerta]]</f>
        <v>#VALUE!</v>
      </c>
      <c r="Q269" t="e">
        <f>RigheOfferte[[#This Row],[QtaProtez]]</f>
        <v>#VALUE!</v>
      </c>
      <c r="R269" t="e">
        <f>RigheOfferte[[#This Row],[Tipo Protezione]]</f>
        <v>#VALUE!</v>
      </c>
    </row>
    <row r="270" spans="1:18">
      <c r="A270" t="e">
        <f>RigheOfferte[[#This Row],[Nprev]]</f>
        <v>#VALUE!</v>
      </c>
      <c r="B270" t="e">
        <f>RigheOfferte[[#This Row],[Nriga]]</f>
        <v>#VALUE!</v>
      </c>
      <c r="C270" t="e">
        <f>RigheOfferte[[#This Row],[Cliente]]</f>
        <v>#VALUE!</v>
      </c>
      <c r="D270" t="e">
        <f>RigheOfferte[[#This Row],[sub_cliente]]</f>
        <v>#VALUE!</v>
      </c>
      <c r="E270" t="e">
        <f>RigheOfferte[[#This Row],[cod.Art.]]</f>
        <v>#VALUE!</v>
      </c>
      <c r="F270" t="e">
        <f>RigheOfferte[[#This Row],[Descrizione]]</f>
        <v>#VALUE!</v>
      </c>
      <c r="G270" t="e">
        <f>RigheOfferte[[#This Row],[Q.ta'']]</f>
        <v>#VALUE!</v>
      </c>
      <c r="H270" t="e">
        <f>RigheOfferte[[#This Row],[Lavorazione]]</f>
        <v>#VALUE!</v>
      </c>
      <c r="I270" t="e">
        <f>RigheOfferte[[#This Row],[Colore]]</f>
        <v>#VALUE!</v>
      </c>
      <c r="J270" t="e">
        <f>RigheOfferte[[#This Row],[Velocità]]</f>
        <v>#VALUE!</v>
      </c>
      <c r="K270" t="e">
        <f>RigheOfferte[[#This Row],[Superf.pz Mq]]</f>
        <v>#VALUE!</v>
      </c>
      <c r="L270" t="e">
        <f>RigheOfferte[[#This Row],[passo]]</f>
        <v>#VALUE!</v>
      </c>
      <c r="M270" t="e">
        <f>RigheOfferte[[#This Row],[nr.pezzi Telaio]]</f>
        <v>#VALUE!</v>
      </c>
      <c r="N270" t="e">
        <f>RigheOfferte[[#This Row],[nr.pezzi ora-unita]]</f>
        <v>#VALUE!</v>
      </c>
      <c r="O270" t="e">
        <f>Tabella1[[#This Row],[superificie]]*Resa</f>
        <v>#VALUE!</v>
      </c>
      <c r="P270" t="e">
        <f>Tabella1[[#This Row],[KgPezzo]]*Tabella1[[#This Row],[q.ta offerta]]</f>
        <v>#VALUE!</v>
      </c>
      <c r="Q270" t="e">
        <f>RigheOfferte[[#This Row],[QtaProtez]]</f>
        <v>#VALUE!</v>
      </c>
      <c r="R270" t="e">
        <f>RigheOfferte[[#This Row],[Tipo Protezione]]</f>
        <v>#VALUE!</v>
      </c>
    </row>
    <row r="271" spans="1:18">
      <c r="A271" t="e">
        <f>RigheOfferte[[#This Row],[Nprev]]</f>
        <v>#VALUE!</v>
      </c>
      <c r="B271" t="e">
        <f>RigheOfferte[[#This Row],[Nriga]]</f>
        <v>#VALUE!</v>
      </c>
      <c r="C271" t="e">
        <f>RigheOfferte[[#This Row],[Cliente]]</f>
        <v>#VALUE!</v>
      </c>
      <c r="D271" t="e">
        <f>RigheOfferte[[#This Row],[sub_cliente]]</f>
        <v>#VALUE!</v>
      </c>
      <c r="E271" t="e">
        <f>RigheOfferte[[#This Row],[cod.Art.]]</f>
        <v>#VALUE!</v>
      </c>
      <c r="F271" t="e">
        <f>RigheOfferte[[#This Row],[Descrizione]]</f>
        <v>#VALUE!</v>
      </c>
      <c r="G271" t="e">
        <f>RigheOfferte[[#This Row],[Q.ta'']]</f>
        <v>#VALUE!</v>
      </c>
      <c r="H271" t="e">
        <f>RigheOfferte[[#This Row],[Lavorazione]]</f>
        <v>#VALUE!</v>
      </c>
      <c r="I271" t="e">
        <f>RigheOfferte[[#This Row],[Colore]]</f>
        <v>#VALUE!</v>
      </c>
      <c r="J271" t="e">
        <f>RigheOfferte[[#This Row],[Velocità]]</f>
        <v>#VALUE!</v>
      </c>
      <c r="K271" t="e">
        <f>RigheOfferte[[#This Row],[Superf.pz Mq]]</f>
        <v>#VALUE!</v>
      </c>
      <c r="L271" t="e">
        <f>RigheOfferte[[#This Row],[passo]]</f>
        <v>#VALUE!</v>
      </c>
      <c r="M271" t="e">
        <f>RigheOfferte[[#This Row],[nr.pezzi Telaio]]</f>
        <v>#VALUE!</v>
      </c>
      <c r="N271" t="e">
        <f>RigheOfferte[[#This Row],[nr.pezzi ora-unita]]</f>
        <v>#VALUE!</v>
      </c>
      <c r="O271" t="e">
        <f>Tabella1[[#This Row],[superificie]]*Resa</f>
        <v>#VALUE!</v>
      </c>
      <c r="P271" t="e">
        <f>Tabella1[[#This Row],[KgPezzo]]*Tabella1[[#This Row],[q.ta offerta]]</f>
        <v>#VALUE!</v>
      </c>
      <c r="Q271" t="e">
        <f>RigheOfferte[[#This Row],[QtaProtez]]</f>
        <v>#VALUE!</v>
      </c>
      <c r="R271" t="e">
        <f>RigheOfferte[[#This Row],[Tipo Protezione]]</f>
        <v>#VALUE!</v>
      </c>
    </row>
    <row r="272" spans="1:18">
      <c r="A272" t="e">
        <f>RigheOfferte[[#This Row],[Nprev]]</f>
        <v>#VALUE!</v>
      </c>
      <c r="B272" t="e">
        <f>RigheOfferte[[#This Row],[Nriga]]</f>
        <v>#VALUE!</v>
      </c>
      <c r="C272" t="e">
        <f>RigheOfferte[[#This Row],[Cliente]]</f>
        <v>#VALUE!</v>
      </c>
      <c r="D272" t="e">
        <f>RigheOfferte[[#This Row],[sub_cliente]]</f>
        <v>#VALUE!</v>
      </c>
      <c r="E272" t="e">
        <f>RigheOfferte[[#This Row],[cod.Art.]]</f>
        <v>#VALUE!</v>
      </c>
      <c r="F272" t="e">
        <f>RigheOfferte[[#This Row],[Descrizione]]</f>
        <v>#VALUE!</v>
      </c>
      <c r="G272" t="e">
        <f>RigheOfferte[[#This Row],[Q.ta'']]</f>
        <v>#VALUE!</v>
      </c>
      <c r="H272" t="e">
        <f>RigheOfferte[[#This Row],[Lavorazione]]</f>
        <v>#VALUE!</v>
      </c>
      <c r="I272" t="e">
        <f>RigheOfferte[[#This Row],[Colore]]</f>
        <v>#VALUE!</v>
      </c>
      <c r="J272" t="e">
        <f>RigheOfferte[[#This Row],[Velocità]]</f>
        <v>#VALUE!</v>
      </c>
      <c r="K272" t="e">
        <f>RigheOfferte[[#This Row],[Superf.pz Mq]]</f>
        <v>#VALUE!</v>
      </c>
      <c r="L272" t="e">
        <f>RigheOfferte[[#This Row],[passo]]</f>
        <v>#VALUE!</v>
      </c>
      <c r="M272" t="e">
        <f>RigheOfferte[[#This Row],[nr.pezzi Telaio]]</f>
        <v>#VALUE!</v>
      </c>
      <c r="N272" t="e">
        <f>RigheOfferte[[#This Row],[nr.pezzi ora-unita]]</f>
        <v>#VALUE!</v>
      </c>
      <c r="O272" t="e">
        <f>Tabella1[[#This Row],[superificie]]*Resa</f>
        <v>#VALUE!</v>
      </c>
      <c r="P272" t="e">
        <f>Tabella1[[#This Row],[KgPezzo]]*Tabella1[[#This Row],[q.ta offerta]]</f>
        <v>#VALUE!</v>
      </c>
      <c r="Q272" t="e">
        <f>RigheOfferte[[#This Row],[QtaProtez]]</f>
        <v>#VALUE!</v>
      </c>
      <c r="R272" t="e">
        <f>RigheOfferte[[#This Row],[Tipo Protezione]]</f>
        <v>#VALUE!</v>
      </c>
    </row>
    <row r="273" spans="1:18">
      <c r="A273" t="e">
        <f>RigheOfferte[[#This Row],[Nprev]]</f>
        <v>#VALUE!</v>
      </c>
      <c r="B273" t="e">
        <f>RigheOfferte[[#This Row],[Nriga]]</f>
        <v>#VALUE!</v>
      </c>
      <c r="C273" t="e">
        <f>RigheOfferte[[#This Row],[Cliente]]</f>
        <v>#VALUE!</v>
      </c>
      <c r="D273" t="e">
        <f>RigheOfferte[[#This Row],[sub_cliente]]</f>
        <v>#VALUE!</v>
      </c>
      <c r="E273" t="e">
        <f>RigheOfferte[[#This Row],[cod.Art.]]</f>
        <v>#VALUE!</v>
      </c>
      <c r="F273" t="e">
        <f>RigheOfferte[[#This Row],[Descrizione]]</f>
        <v>#VALUE!</v>
      </c>
      <c r="G273" t="e">
        <f>RigheOfferte[[#This Row],[Q.ta'']]</f>
        <v>#VALUE!</v>
      </c>
      <c r="H273" t="e">
        <f>RigheOfferte[[#This Row],[Lavorazione]]</f>
        <v>#VALUE!</v>
      </c>
      <c r="I273" t="e">
        <f>RigheOfferte[[#This Row],[Colore]]</f>
        <v>#VALUE!</v>
      </c>
      <c r="J273" t="e">
        <f>RigheOfferte[[#This Row],[Velocità]]</f>
        <v>#VALUE!</v>
      </c>
      <c r="K273" t="e">
        <f>RigheOfferte[[#This Row],[Superf.pz Mq]]</f>
        <v>#VALUE!</v>
      </c>
      <c r="L273" t="e">
        <f>RigheOfferte[[#This Row],[passo]]</f>
        <v>#VALUE!</v>
      </c>
      <c r="M273" t="e">
        <f>RigheOfferte[[#This Row],[nr.pezzi Telaio]]</f>
        <v>#VALUE!</v>
      </c>
      <c r="N273" t="e">
        <f>RigheOfferte[[#This Row],[nr.pezzi ora-unita]]</f>
        <v>#VALUE!</v>
      </c>
      <c r="O273" t="e">
        <f>Tabella1[[#This Row],[superificie]]*Resa</f>
        <v>#VALUE!</v>
      </c>
      <c r="P273" t="e">
        <f>Tabella1[[#This Row],[KgPezzo]]*Tabella1[[#This Row],[q.ta offerta]]</f>
        <v>#VALUE!</v>
      </c>
      <c r="Q273" t="e">
        <f>RigheOfferte[[#This Row],[QtaProtez]]</f>
        <v>#VALUE!</v>
      </c>
      <c r="R273" t="e">
        <f>RigheOfferte[[#This Row],[Tipo Protezione]]</f>
        <v>#VALUE!</v>
      </c>
    </row>
    <row r="274" spans="1:18">
      <c r="A274" t="e">
        <f>RigheOfferte[[#This Row],[Nprev]]</f>
        <v>#VALUE!</v>
      </c>
      <c r="B274" t="e">
        <f>RigheOfferte[[#This Row],[Nriga]]</f>
        <v>#VALUE!</v>
      </c>
      <c r="C274" t="e">
        <f>RigheOfferte[[#This Row],[Cliente]]</f>
        <v>#VALUE!</v>
      </c>
      <c r="D274" t="e">
        <f>RigheOfferte[[#This Row],[sub_cliente]]</f>
        <v>#VALUE!</v>
      </c>
      <c r="E274" t="e">
        <f>RigheOfferte[[#This Row],[cod.Art.]]</f>
        <v>#VALUE!</v>
      </c>
      <c r="F274" t="e">
        <f>RigheOfferte[[#This Row],[Descrizione]]</f>
        <v>#VALUE!</v>
      </c>
      <c r="G274" t="e">
        <f>RigheOfferte[[#This Row],[Q.ta'']]</f>
        <v>#VALUE!</v>
      </c>
      <c r="H274" t="e">
        <f>RigheOfferte[[#This Row],[Lavorazione]]</f>
        <v>#VALUE!</v>
      </c>
      <c r="I274" t="e">
        <f>RigheOfferte[[#This Row],[Colore]]</f>
        <v>#VALUE!</v>
      </c>
      <c r="J274" t="e">
        <f>RigheOfferte[[#This Row],[Velocità]]</f>
        <v>#VALUE!</v>
      </c>
      <c r="K274" t="e">
        <f>RigheOfferte[[#This Row],[Superf.pz Mq]]</f>
        <v>#VALUE!</v>
      </c>
      <c r="L274" t="e">
        <f>RigheOfferte[[#This Row],[passo]]</f>
        <v>#VALUE!</v>
      </c>
      <c r="M274" t="e">
        <f>RigheOfferte[[#This Row],[nr.pezzi Telaio]]</f>
        <v>#VALUE!</v>
      </c>
      <c r="N274" t="e">
        <f>RigheOfferte[[#This Row],[nr.pezzi ora-unita]]</f>
        <v>#VALUE!</v>
      </c>
      <c r="O274" t="e">
        <f>Tabella1[[#This Row],[superificie]]*Resa</f>
        <v>#VALUE!</v>
      </c>
      <c r="P274" t="e">
        <f>Tabella1[[#This Row],[KgPezzo]]*Tabella1[[#This Row],[q.ta offerta]]</f>
        <v>#VALUE!</v>
      </c>
      <c r="Q274" t="e">
        <f>RigheOfferte[[#This Row],[QtaProtez]]</f>
        <v>#VALUE!</v>
      </c>
      <c r="R274" t="e">
        <f>RigheOfferte[[#This Row],[Tipo Protezione]]</f>
        <v>#VALUE!</v>
      </c>
    </row>
    <row r="275" spans="1:18">
      <c r="A275" t="e">
        <f>RigheOfferte[[#This Row],[Nprev]]</f>
        <v>#VALUE!</v>
      </c>
      <c r="B275" t="e">
        <f>RigheOfferte[[#This Row],[Nriga]]</f>
        <v>#VALUE!</v>
      </c>
      <c r="C275" t="e">
        <f>RigheOfferte[[#This Row],[Cliente]]</f>
        <v>#VALUE!</v>
      </c>
      <c r="D275" t="e">
        <f>RigheOfferte[[#This Row],[sub_cliente]]</f>
        <v>#VALUE!</v>
      </c>
      <c r="E275" t="e">
        <f>RigheOfferte[[#This Row],[cod.Art.]]</f>
        <v>#VALUE!</v>
      </c>
      <c r="F275" t="e">
        <f>RigheOfferte[[#This Row],[Descrizione]]</f>
        <v>#VALUE!</v>
      </c>
      <c r="G275" t="e">
        <f>RigheOfferte[[#This Row],[Q.ta'']]</f>
        <v>#VALUE!</v>
      </c>
      <c r="H275" t="e">
        <f>RigheOfferte[[#This Row],[Lavorazione]]</f>
        <v>#VALUE!</v>
      </c>
      <c r="I275" t="e">
        <f>RigheOfferte[[#This Row],[Colore]]</f>
        <v>#VALUE!</v>
      </c>
      <c r="J275" t="e">
        <f>RigheOfferte[[#This Row],[Velocità]]</f>
        <v>#VALUE!</v>
      </c>
      <c r="K275" t="e">
        <f>RigheOfferte[[#This Row],[Superf.pz Mq]]</f>
        <v>#VALUE!</v>
      </c>
      <c r="L275" t="e">
        <f>RigheOfferte[[#This Row],[passo]]</f>
        <v>#VALUE!</v>
      </c>
      <c r="M275" t="e">
        <f>RigheOfferte[[#This Row],[nr.pezzi Telaio]]</f>
        <v>#VALUE!</v>
      </c>
      <c r="N275" t="e">
        <f>RigheOfferte[[#This Row],[nr.pezzi ora-unita]]</f>
        <v>#VALUE!</v>
      </c>
      <c r="O275" t="e">
        <f>Tabella1[[#This Row],[superificie]]*Resa</f>
        <v>#VALUE!</v>
      </c>
      <c r="P275" t="e">
        <f>Tabella1[[#This Row],[KgPezzo]]*Tabella1[[#This Row],[q.ta offerta]]</f>
        <v>#VALUE!</v>
      </c>
      <c r="Q275" t="e">
        <f>RigheOfferte[[#This Row],[QtaProtez]]</f>
        <v>#VALUE!</v>
      </c>
      <c r="R275" t="e">
        <f>RigheOfferte[[#This Row],[Tipo Protezione]]</f>
        <v>#VALUE!</v>
      </c>
    </row>
    <row r="276" spans="1:18">
      <c r="A276" t="e">
        <f>RigheOfferte[[#This Row],[Nprev]]</f>
        <v>#VALUE!</v>
      </c>
      <c r="B276" t="e">
        <f>RigheOfferte[[#This Row],[Nriga]]</f>
        <v>#VALUE!</v>
      </c>
      <c r="C276" t="e">
        <f>RigheOfferte[[#This Row],[Cliente]]</f>
        <v>#VALUE!</v>
      </c>
      <c r="D276" t="e">
        <f>RigheOfferte[[#This Row],[sub_cliente]]</f>
        <v>#VALUE!</v>
      </c>
      <c r="E276" t="e">
        <f>RigheOfferte[[#This Row],[cod.Art.]]</f>
        <v>#VALUE!</v>
      </c>
      <c r="F276" t="e">
        <f>RigheOfferte[[#This Row],[Descrizione]]</f>
        <v>#VALUE!</v>
      </c>
      <c r="G276" t="e">
        <f>RigheOfferte[[#This Row],[Q.ta'']]</f>
        <v>#VALUE!</v>
      </c>
      <c r="H276" t="e">
        <f>RigheOfferte[[#This Row],[Lavorazione]]</f>
        <v>#VALUE!</v>
      </c>
      <c r="I276" t="e">
        <f>RigheOfferte[[#This Row],[Colore]]</f>
        <v>#VALUE!</v>
      </c>
      <c r="J276" t="e">
        <f>RigheOfferte[[#This Row],[Velocità]]</f>
        <v>#VALUE!</v>
      </c>
      <c r="K276" t="e">
        <f>RigheOfferte[[#This Row],[Superf.pz Mq]]</f>
        <v>#VALUE!</v>
      </c>
      <c r="L276" t="e">
        <f>RigheOfferte[[#This Row],[passo]]</f>
        <v>#VALUE!</v>
      </c>
      <c r="M276" t="e">
        <f>RigheOfferte[[#This Row],[nr.pezzi Telaio]]</f>
        <v>#VALUE!</v>
      </c>
      <c r="N276" t="e">
        <f>RigheOfferte[[#This Row],[nr.pezzi ora-unita]]</f>
        <v>#VALUE!</v>
      </c>
      <c r="O276" t="e">
        <f>Tabella1[[#This Row],[superificie]]*Resa</f>
        <v>#VALUE!</v>
      </c>
      <c r="P276" t="e">
        <f>Tabella1[[#This Row],[KgPezzo]]*Tabella1[[#This Row],[q.ta offerta]]</f>
        <v>#VALUE!</v>
      </c>
      <c r="Q276" t="e">
        <f>RigheOfferte[[#This Row],[QtaProtez]]</f>
        <v>#VALUE!</v>
      </c>
      <c r="R276" t="e">
        <f>RigheOfferte[[#This Row],[Tipo Protezione]]</f>
        <v>#VALUE!</v>
      </c>
    </row>
    <row r="277" spans="1:18">
      <c r="A277" t="e">
        <f>RigheOfferte[[#This Row],[Nprev]]</f>
        <v>#VALUE!</v>
      </c>
      <c r="B277" t="e">
        <f>RigheOfferte[[#This Row],[Nriga]]</f>
        <v>#VALUE!</v>
      </c>
      <c r="C277" t="e">
        <f>RigheOfferte[[#This Row],[Cliente]]</f>
        <v>#VALUE!</v>
      </c>
      <c r="D277" t="e">
        <f>RigheOfferte[[#This Row],[sub_cliente]]</f>
        <v>#VALUE!</v>
      </c>
      <c r="E277" t="e">
        <f>RigheOfferte[[#This Row],[cod.Art.]]</f>
        <v>#VALUE!</v>
      </c>
      <c r="F277" t="e">
        <f>RigheOfferte[[#This Row],[Descrizione]]</f>
        <v>#VALUE!</v>
      </c>
      <c r="G277" t="e">
        <f>RigheOfferte[[#This Row],[Q.ta'']]</f>
        <v>#VALUE!</v>
      </c>
      <c r="H277" t="e">
        <f>RigheOfferte[[#This Row],[Lavorazione]]</f>
        <v>#VALUE!</v>
      </c>
      <c r="I277" t="e">
        <f>RigheOfferte[[#This Row],[Colore]]</f>
        <v>#VALUE!</v>
      </c>
      <c r="J277" t="e">
        <f>RigheOfferte[[#This Row],[Velocità]]</f>
        <v>#VALUE!</v>
      </c>
      <c r="K277" t="e">
        <f>RigheOfferte[[#This Row],[Superf.pz Mq]]</f>
        <v>#VALUE!</v>
      </c>
      <c r="L277" t="e">
        <f>RigheOfferte[[#This Row],[passo]]</f>
        <v>#VALUE!</v>
      </c>
      <c r="M277" t="e">
        <f>RigheOfferte[[#This Row],[nr.pezzi Telaio]]</f>
        <v>#VALUE!</v>
      </c>
      <c r="N277" t="e">
        <f>RigheOfferte[[#This Row],[nr.pezzi ora-unita]]</f>
        <v>#VALUE!</v>
      </c>
      <c r="O277" t="e">
        <f>Tabella1[[#This Row],[superificie]]*Resa</f>
        <v>#VALUE!</v>
      </c>
      <c r="P277" t="e">
        <f>Tabella1[[#This Row],[KgPezzo]]*Tabella1[[#This Row],[q.ta offerta]]</f>
        <v>#VALUE!</v>
      </c>
      <c r="Q277" t="e">
        <f>RigheOfferte[[#This Row],[QtaProtez]]</f>
        <v>#VALUE!</v>
      </c>
      <c r="R277" t="e">
        <f>RigheOfferte[[#This Row],[Tipo Protezione]]</f>
        <v>#VALUE!</v>
      </c>
    </row>
    <row r="278" spans="1:18">
      <c r="A278" t="e">
        <f>RigheOfferte[[#This Row],[Nprev]]</f>
        <v>#VALUE!</v>
      </c>
      <c r="B278" t="e">
        <f>RigheOfferte[[#This Row],[Nriga]]</f>
        <v>#VALUE!</v>
      </c>
      <c r="C278" t="e">
        <f>RigheOfferte[[#This Row],[Cliente]]</f>
        <v>#VALUE!</v>
      </c>
      <c r="D278" t="e">
        <f>RigheOfferte[[#This Row],[sub_cliente]]</f>
        <v>#VALUE!</v>
      </c>
      <c r="E278" t="e">
        <f>RigheOfferte[[#This Row],[cod.Art.]]</f>
        <v>#VALUE!</v>
      </c>
      <c r="F278" t="e">
        <f>RigheOfferte[[#This Row],[Descrizione]]</f>
        <v>#VALUE!</v>
      </c>
      <c r="G278" t="e">
        <f>RigheOfferte[[#This Row],[Q.ta'']]</f>
        <v>#VALUE!</v>
      </c>
      <c r="H278" t="e">
        <f>RigheOfferte[[#This Row],[Lavorazione]]</f>
        <v>#VALUE!</v>
      </c>
      <c r="I278" t="e">
        <f>RigheOfferte[[#This Row],[Colore]]</f>
        <v>#VALUE!</v>
      </c>
      <c r="J278" t="e">
        <f>RigheOfferte[[#This Row],[Velocità]]</f>
        <v>#VALUE!</v>
      </c>
      <c r="K278" t="e">
        <f>RigheOfferte[[#This Row],[Superf.pz Mq]]</f>
        <v>#VALUE!</v>
      </c>
      <c r="L278" t="e">
        <f>RigheOfferte[[#This Row],[passo]]</f>
        <v>#VALUE!</v>
      </c>
      <c r="M278" t="e">
        <f>RigheOfferte[[#This Row],[nr.pezzi Telaio]]</f>
        <v>#VALUE!</v>
      </c>
      <c r="N278" t="e">
        <f>RigheOfferte[[#This Row],[nr.pezzi ora-unita]]</f>
        <v>#VALUE!</v>
      </c>
      <c r="O278" t="e">
        <f>Tabella1[[#This Row],[superificie]]*Resa</f>
        <v>#VALUE!</v>
      </c>
      <c r="P278" t="e">
        <f>Tabella1[[#This Row],[KgPezzo]]*Tabella1[[#This Row],[q.ta offerta]]</f>
        <v>#VALUE!</v>
      </c>
      <c r="Q278" t="e">
        <f>RigheOfferte[[#This Row],[QtaProtez]]</f>
        <v>#VALUE!</v>
      </c>
      <c r="R278" t="e">
        <f>RigheOfferte[[#This Row],[Tipo Protezione]]</f>
        <v>#VALUE!</v>
      </c>
    </row>
    <row r="279" spans="1:18">
      <c r="A279" t="e">
        <f>RigheOfferte[[#This Row],[Nprev]]</f>
        <v>#VALUE!</v>
      </c>
      <c r="B279" t="e">
        <f>RigheOfferte[[#This Row],[Nriga]]</f>
        <v>#VALUE!</v>
      </c>
      <c r="C279" t="e">
        <f>RigheOfferte[[#This Row],[Cliente]]</f>
        <v>#VALUE!</v>
      </c>
      <c r="D279" t="e">
        <f>RigheOfferte[[#This Row],[sub_cliente]]</f>
        <v>#VALUE!</v>
      </c>
      <c r="E279" t="e">
        <f>RigheOfferte[[#This Row],[cod.Art.]]</f>
        <v>#VALUE!</v>
      </c>
      <c r="F279" t="e">
        <f>RigheOfferte[[#This Row],[Descrizione]]</f>
        <v>#VALUE!</v>
      </c>
      <c r="G279" t="e">
        <f>RigheOfferte[[#This Row],[Q.ta'']]</f>
        <v>#VALUE!</v>
      </c>
      <c r="H279" t="e">
        <f>RigheOfferte[[#This Row],[Lavorazione]]</f>
        <v>#VALUE!</v>
      </c>
      <c r="I279" t="e">
        <f>RigheOfferte[[#This Row],[Colore]]</f>
        <v>#VALUE!</v>
      </c>
      <c r="J279" t="e">
        <f>RigheOfferte[[#This Row],[Velocità]]</f>
        <v>#VALUE!</v>
      </c>
      <c r="K279" t="e">
        <f>RigheOfferte[[#This Row],[Superf.pz Mq]]</f>
        <v>#VALUE!</v>
      </c>
      <c r="L279" t="e">
        <f>RigheOfferte[[#This Row],[passo]]</f>
        <v>#VALUE!</v>
      </c>
      <c r="M279" t="e">
        <f>RigheOfferte[[#This Row],[nr.pezzi Telaio]]</f>
        <v>#VALUE!</v>
      </c>
      <c r="N279" t="e">
        <f>RigheOfferte[[#This Row],[nr.pezzi ora-unita]]</f>
        <v>#VALUE!</v>
      </c>
      <c r="O279" t="e">
        <f>Tabella1[[#This Row],[superificie]]*Resa</f>
        <v>#VALUE!</v>
      </c>
      <c r="P279" t="e">
        <f>Tabella1[[#This Row],[KgPezzo]]*Tabella1[[#This Row],[q.ta offerta]]</f>
        <v>#VALUE!</v>
      </c>
      <c r="Q279" t="e">
        <f>RigheOfferte[[#This Row],[QtaProtez]]</f>
        <v>#VALUE!</v>
      </c>
      <c r="R279" t="e">
        <f>RigheOfferte[[#This Row],[Tipo Protezione]]</f>
        <v>#VALUE!</v>
      </c>
    </row>
    <row r="280" spans="1:18">
      <c r="A280" t="e">
        <f>RigheOfferte[[#This Row],[Nprev]]</f>
        <v>#VALUE!</v>
      </c>
      <c r="B280" t="e">
        <f>RigheOfferte[[#This Row],[Nriga]]</f>
        <v>#VALUE!</v>
      </c>
      <c r="C280" t="e">
        <f>RigheOfferte[[#This Row],[Cliente]]</f>
        <v>#VALUE!</v>
      </c>
      <c r="D280" t="e">
        <f>RigheOfferte[[#This Row],[sub_cliente]]</f>
        <v>#VALUE!</v>
      </c>
      <c r="E280" t="e">
        <f>RigheOfferte[[#This Row],[cod.Art.]]</f>
        <v>#VALUE!</v>
      </c>
      <c r="F280" t="e">
        <f>RigheOfferte[[#This Row],[Descrizione]]</f>
        <v>#VALUE!</v>
      </c>
      <c r="G280" t="e">
        <f>RigheOfferte[[#This Row],[Q.ta'']]</f>
        <v>#VALUE!</v>
      </c>
      <c r="H280" t="e">
        <f>RigheOfferte[[#This Row],[Lavorazione]]</f>
        <v>#VALUE!</v>
      </c>
      <c r="I280" t="e">
        <f>RigheOfferte[[#This Row],[Colore]]</f>
        <v>#VALUE!</v>
      </c>
      <c r="J280" t="e">
        <f>RigheOfferte[[#This Row],[Velocità]]</f>
        <v>#VALUE!</v>
      </c>
      <c r="K280" t="e">
        <f>RigheOfferte[[#This Row],[Superf.pz Mq]]</f>
        <v>#VALUE!</v>
      </c>
      <c r="L280" t="e">
        <f>RigheOfferte[[#This Row],[passo]]</f>
        <v>#VALUE!</v>
      </c>
      <c r="M280" t="e">
        <f>RigheOfferte[[#This Row],[nr.pezzi Telaio]]</f>
        <v>#VALUE!</v>
      </c>
      <c r="N280" t="e">
        <f>RigheOfferte[[#This Row],[nr.pezzi ora-unita]]</f>
        <v>#VALUE!</v>
      </c>
      <c r="O280" t="e">
        <f>Tabella1[[#This Row],[superificie]]*Resa</f>
        <v>#VALUE!</v>
      </c>
      <c r="P280" t="e">
        <f>Tabella1[[#This Row],[KgPezzo]]*Tabella1[[#This Row],[q.ta offerta]]</f>
        <v>#VALUE!</v>
      </c>
      <c r="Q280" t="e">
        <f>RigheOfferte[[#This Row],[QtaProtez]]</f>
        <v>#VALUE!</v>
      </c>
      <c r="R280" t="e">
        <f>RigheOfferte[[#This Row],[Tipo Protezione]]</f>
        <v>#VALUE!</v>
      </c>
    </row>
    <row r="281" spans="1:18">
      <c r="A281" t="e">
        <f>RigheOfferte[[#This Row],[Nprev]]</f>
        <v>#VALUE!</v>
      </c>
      <c r="B281" t="e">
        <f>RigheOfferte[[#This Row],[Nriga]]</f>
        <v>#VALUE!</v>
      </c>
      <c r="C281" t="e">
        <f>RigheOfferte[[#This Row],[Cliente]]</f>
        <v>#VALUE!</v>
      </c>
      <c r="D281" t="e">
        <f>RigheOfferte[[#This Row],[sub_cliente]]</f>
        <v>#VALUE!</v>
      </c>
      <c r="E281" t="e">
        <f>RigheOfferte[[#This Row],[cod.Art.]]</f>
        <v>#VALUE!</v>
      </c>
      <c r="F281" t="e">
        <f>RigheOfferte[[#This Row],[Descrizione]]</f>
        <v>#VALUE!</v>
      </c>
      <c r="G281" t="e">
        <f>RigheOfferte[[#This Row],[Q.ta'']]</f>
        <v>#VALUE!</v>
      </c>
      <c r="H281" t="e">
        <f>RigheOfferte[[#This Row],[Lavorazione]]</f>
        <v>#VALUE!</v>
      </c>
      <c r="I281" t="e">
        <f>RigheOfferte[[#This Row],[Colore]]</f>
        <v>#VALUE!</v>
      </c>
      <c r="J281" t="e">
        <f>RigheOfferte[[#This Row],[Velocità]]</f>
        <v>#VALUE!</v>
      </c>
      <c r="K281" t="e">
        <f>RigheOfferte[[#This Row],[Superf.pz Mq]]</f>
        <v>#VALUE!</v>
      </c>
      <c r="L281" t="e">
        <f>RigheOfferte[[#This Row],[passo]]</f>
        <v>#VALUE!</v>
      </c>
      <c r="M281" t="e">
        <f>RigheOfferte[[#This Row],[nr.pezzi Telaio]]</f>
        <v>#VALUE!</v>
      </c>
      <c r="N281" t="e">
        <f>RigheOfferte[[#This Row],[nr.pezzi ora-unita]]</f>
        <v>#VALUE!</v>
      </c>
      <c r="O281" t="e">
        <f>Tabella1[[#This Row],[superificie]]*Resa</f>
        <v>#VALUE!</v>
      </c>
      <c r="P281" t="e">
        <f>Tabella1[[#This Row],[KgPezzo]]*Tabella1[[#This Row],[q.ta offerta]]</f>
        <v>#VALUE!</v>
      </c>
      <c r="Q281" t="e">
        <f>RigheOfferte[[#This Row],[QtaProtez]]</f>
        <v>#VALUE!</v>
      </c>
      <c r="R281" t="e">
        <f>RigheOfferte[[#This Row],[Tipo Protezione]]</f>
        <v>#VALUE!</v>
      </c>
    </row>
    <row r="282" spans="1:18">
      <c r="A282" t="e">
        <f>RigheOfferte[[#This Row],[Nprev]]</f>
        <v>#VALUE!</v>
      </c>
      <c r="B282" t="e">
        <f>RigheOfferte[[#This Row],[Nriga]]</f>
        <v>#VALUE!</v>
      </c>
      <c r="C282" t="e">
        <f>RigheOfferte[[#This Row],[Cliente]]</f>
        <v>#VALUE!</v>
      </c>
      <c r="D282" t="e">
        <f>RigheOfferte[[#This Row],[sub_cliente]]</f>
        <v>#VALUE!</v>
      </c>
      <c r="E282" t="e">
        <f>RigheOfferte[[#This Row],[cod.Art.]]</f>
        <v>#VALUE!</v>
      </c>
      <c r="F282" t="e">
        <f>RigheOfferte[[#This Row],[Descrizione]]</f>
        <v>#VALUE!</v>
      </c>
      <c r="G282" t="e">
        <f>RigheOfferte[[#This Row],[Q.ta'']]</f>
        <v>#VALUE!</v>
      </c>
      <c r="H282" t="e">
        <f>RigheOfferte[[#This Row],[Lavorazione]]</f>
        <v>#VALUE!</v>
      </c>
      <c r="I282" t="e">
        <f>RigheOfferte[[#This Row],[Colore]]</f>
        <v>#VALUE!</v>
      </c>
      <c r="J282" t="e">
        <f>RigheOfferte[[#This Row],[Velocità]]</f>
        <v>#VALUE!</v>
      </c>
      <c r="K282" t="e">
        <f>RigheOfferte[[#This Row],[Superf.pz Mq]]</f>
        <v>#VALUE!</v>
      </c>
      <c r="L282" t="e">
        <f>RigheOfferte[[#This Row],[passo]]</f>
        <v>#VALUE!</v>
      </c>
      <c r="M282" t="e">
        <f>RigheOfferte[[#This Row],[nr.pezzi Telaio]]</f>
        <v>#VALUE!</v>
      </c>
      <c r="N282" t="e">
        <f>RigheOfferte[[#This Row],[nr.pezzi ora-unita]]</f>
        <v>#VALUE!</v>
      </c>
      <c r="O282" t="e">
        <f>Tabella1[[#This Row],[superificie]]*Resa</f>
        <v>#VALUE!</v>
      </c>
      <c r="P282" t="e">
        <f>Tabella1[[#This Row],[KgPezzo]]*Tabella1[[#This Row],[q.ta offerta]]</f>
        <v>#VALUE!</v>
      </c>
      <c r="Q282" t="e">
        <f>RigheOfferte[[#This Row],[QtaProtez]]</f>
        <v>#VALUE!</v>
      </c>
      <c r="R282" t="e">
        <f>RigheOfferte[[#This Row],[Tipo Protezione]]</f>
        <v>#VALUE!</v>
      </c>
    </row>
    <row r="283" spans="1:18">
      <c r="A283" t="e">
        <f>RigheOfferte[[#This Row],[Nprev]]</f>
        <v>#VALUE!</v>
      </c>
      <c r="B283" t="e">
        <f>RigheOfferte[[#This Row],[Nriga]]</f>
        <v>#VALUE!</v>
      </c>
      <c r="C283" t="e">
        <f>RigheOfferte[[#This Row],[Cliente]]</f>
        <v>#VALUE!</v>
      </c>
      <c r="D283" t="e">
        <f>RigheOfferte[[#This Row],[sub_cliente]]</f>
        <v>#VALUE!</v>
      </c>
      <c r="E283" t="e">
        <f>RigheOfferte[[#This Row],[cod.Art.]]</f>
        <v>#VALUE!</v>
      </c>
      <c r="F283" t="e">
        <f>RigheOfferte[[#This Row],[Descrizione]]</f>
        <v>#VALUE!</v>
      </c>
      <c r="G283" t="e">
        <f>RigheOfferte[[#This Row],[Q.ta'']]</f>
        <v>#VALUE!</v>
      </c>
      <c r="H283" t="e">
        <f>RigheOfferte[[#This Row],[Lavorazione]]</f>
        <v>#VALUE!</v>
      </c>
      <c r="I283" t="e">
        <f>RigheOfferte[[#This Row],[Colore]]</f>
        <v>#VALUE!</v>
      </c>
      <c r="J283" t="e">
        <f>RigheOfferte[[#This Row],[Velocità]]</f>
        <v>#VALUE!</v>
      </c>
      <c r="K283" t="e">
        <f>RigheOfferte[[#This Row],[Superf.pz Mq]]</f>
        <v>#VALUE!</v>
      </c>
      <c r="L283" t="e">
        <f>RigheOfferte[[#This Row],[passo]]</f>
        <v>#VALUE!</v>
      </c>
      <c r="M283" t="e">
        <f>RigheOfferte[[#This Row],[nr.pezzi Telaio]]</f>
        <v>#VALUE!</v>
      </c>
      <c r="N283" t="e">
        <f>RigheOfferte[[#This Row],[nr.pezzi ora-unita]]</f>
        <v>#VALUE!</v>
      </c>
      <c r="O283" t="e">
        <f>Tabella1[[#This Row],[superificie]]*Resa</f>
        <v>#VALUE!</v>
      </c>
      <c r="P283" t="e">
        <f>Tabella1[[#This Row],[KgPezzo]]*Tabella1[[#This Row],[q.ta offerta]]</f>
        <v>#VALUE!</v>
      </c>
      <c r="Q283" t="e">
        <f>RigheOfferte[[#This Row],[QtaProtez]]</f>
        <v>#VALUE!</v>
      </c>
      <c r="R283" t="e">
        <f>RigheOfferte[[#This Row],[Tipo Protezione]]</f>
        <v>#VALUE!</v>
      </c>
    </row>
    <row r="284" spans="1:18">
      <c r="A284" t="e">
        <f>RigheOfferte[[#This Row],[Nprev]]</f>
        <v>#VALUE!</v>
      </c>
      <c r="B284" t="e">
        <f>RigheOfferte[[#This Row],[Nriga]]</f>
        <v>#VALUE!</v>
      </c>
      <c r="C284" t="e">
        <f>RigheOfferte[[#This Row],[Cliente]]</f>
        <v>#VALUE!</v>
      </c>
      <c r="D284" t="e">
        <f>RigheOfferte[[#This Row],[sub_cliente]]</f>
        <v>#VALUE!</v>
      </c>
      <c r="E284" t="e">
        <f>RigheOfferte[[#This Row],[cod.Art.]]</f>
        <v>#VALUE!</v>
      </c>
      <c r="F284" t="e">
        <f>RigheOfferte[[#This Row],[Descrizione]]</f>
        <v>#VALUE!</v>
      </c>
      <c r="G284" t="e">
        <f>RigheOfferte[[#This Row],[Q.ta'']]</f>
        <v>#VALUE!</v>
      </c>
      <c r="H284" t="e">
        <f>RigheOfferte[[#This Row],[Lavorazione]]</f>
        <v>#VALUE!</v>
      </c>
      <c r="I284" t="e">
        <f>RigheOfferte[[#This Row],[Colore]]</f>
        <v>#VALUE!</v>
      </c>
      <c r="J284" t="e">
        <f>RigheOfferte[[#This Row],[Velocità]]</f>
        <v>#VALUE!</v>
      </c>
      <c r="K284" t="e">
        <f>RigheOfferte[[#This Row],[Superf.pz Mq]]</f>
        <v>#VALUE!</v>
      </c>
      <c r="L284" t="e">
        <f>RigheOfferte[[#This Row],[passo]]</f>
        <v>#VALUE!</v>
      </c>
      <c r="M284" t="e">
        <f>RigheOfferte[[#This Row],[nr.pezzi Telaio]]</f>
        <v>#VALUE!</v>
      </c>
      <c r="N284" t="e">
        <f>RigheOfferte[[#This Row],[nr.pezzi ora-unita]]</f>
        <v>#VALUE!</v>
      </c>
      <c r="O284" t="e">
        <f>Tabella1[[#This Row],[superificie]]*Resa</f>
        <v>#VALUE!</v>
      </c>
      <c r="P284" t="e">
        <f>Tabella1[[#This Row],[KgPezzo]]*Tabella1[[#This Row],[q.ta offerta]]</f>
        <v>#VALUE!</v>
      </c>
      <c r="Q284" t="e">
        <f>RigheOfferte[[#This Row],[QtaProtez]]</f>
        <v>#VALUE!</v>
      </c>
      <c r="R284" t="e">
        <f>RigheOfferte[[#This Row],[Tipo Protezione]]</f>
        <v>#VALUE!</v>
      </c>
    </row>
    <row r="285" spans="1:18">
      <c r="A285" t="e">
        <f>RigheOfferte[[#This Row],[Nprev]]</f>
        <v>#VALUE!</v>
      </c>
      <c r="B285" t="e">
        <f>RigheOfferte[[#This Row],[Nriga]]</f>
        <v>#VALUE!</v>
      </c>
      <c r="C285" t="e">
        <f>RigheOfferte[[#This Row],[Cliente]]</f>
        <v>#VALUE!</v>
      </c>
      <c r="D285" t="e">
        <f>RigheOfferte[[#This Row],[sub_cliente]]</f>
        <v>#VALUE!</v>
      </c>
      <c r="E285" t="e">
        <f>RigheOfferte[[#This Row],[cod.Art.]]</f>
        <v>#VALUE!</v>
      </c>
      <c r="F285" t="e">
        <f>RigheOfferte[[#This Row],[Descrizione]]</f>
        <v>#VALUE!</v>
      </c>
      <c r="G285" t="e">
        <f>RigheOfferte[[#This Row],[Q.ta'']]</f>
        <v>#VALUE!</v>
      </c>
      <c r="H285" t="e">
        <f>RigheOfferte[[#This Row],[Lavorazione]]</f>
        <v>#VALUE!</v>
      </c>
      <c r="I285" t="e">
        <f>RigheOfferte[[#This Row],[Colore]]</f>
        <v>#VALUE!</v>
      </c>
      <c r="J285" t="e">
        <f>RigheOfferte[[#This Row],[Velocità]]</f>
        <v>#VALUE!</v>
      </c>
      <c r="K285" t="e">
        <f>RigheOfferte[[#This Row],[Superf.pz Mq]]</f>
        <v>#VALUE!</v>
      </c>
      <c r="L285" t="e">
        <f>RigheOfferte[[#This Row],[passo]]</f>
        <v>#VALUE!</v>
      </c>
      <c r="M285" t="e">
        <f>RigheOfferte[[#This Row],[nr.pezzi Telaio]]</f>
        <v>#VALUE!</v>
      </c>
      <c r="N285" t="e">
        <f>RigheOfferte[[#This Row],[nr.pezzi ora-unita]]</f>
        <v>#VALUE!</v>
      </c>
      <c r="O285" t="e">
        <f>Tabella1[[#This Row],[superificie]]*Resa</f>
        <v>#VALUE!</v>
      </c>
      <c r="P285" t="e">
        <f>Tabella1[[#This Row],[KgPezzo]]*Tabella1[[#This Row],[q.ta offerta]]</f>
        <v>#VALUE!</v>
      </c>
      <c r="Q285" t="e">
        <f>RigheOfferte[[#This Row],[QtaProtez]]</f>
        <v>#VALUE!</v>
      </c>
      <c r="R285" t="e">
        <f>RigheOfferte[[#This Row],[Tipo Protezione]]</f>
        <v>#VALUE!</v>
      </c>
    </row>
    <row r="286" spans="1:18">
      <c r="A286" t="e">
        <f>RigheOfferte[[#This Row],[Nprev]]</f>
        <v>#VALUE!</v>
      </c>
      <c r="B286" t="e">
        <f>RigheOfferte[[#This Row],[Nriga]]</f>
        <v>#VALUE!</v>
      </c>
      <c r="C286" t="e">
        <f>RigheOfferte[[#This Row],[Cliente]]</f>
        <v>#VALUE!</v>
      </c>
      <c r="D286" t="e">
        <f>RigheOfferte[[#This Row],[sub_cliente]]</f>
        <v>#VALUE!</v>
      </c>
      <c r="E286" t="e">
        <f>RigheOfferte[[#This Row],[cod.Art.]]</f>
        <v>#VALUE!</v>
      </c>
      <c r="F286" t="e">
        <f>RigheOfferte[[#This Row],[Descrizione]]</f>
        <v>#VALUE!</v>
      </c>
      <c r="G286" t="e">
        <f>RigheOfferte[[#This Row],[Q.ta'']]</f>
        <v>#VALUE!</v>
      </c>
      <c r="H286" t="e">
        <f>RigheOfferte[[#This Row],[Lavorazione]]</f>
        <v>#VALUE!</v>
      </c>
      <c r="I286" t="e">
        <f>RigheOfferte[[#This Row],[Colore]]</f>
        <v>#VALUE!</v>
      </c>
      <c r="J286" t="e">
        <f>RigheOfferte[[#This Row],[Velocità]]</f>
        <v>#VALUE!</v>
      </c>
      <c r="K286" t="e">
        <f>RigheOfferte[[#This Row],[Superf.pz Mq]]</f>
        <v>#VALUE!</v>
      </c>
      <c r="L286" t="e">
        <f>RigheOfferte[[#This Row],[passo]]</f>
        <v>#VALUE!</v>
      </c>
      <c r="M286" t="e">
        <f>RigheOfferte[[#This Row],[nr.pezzi Telaio]]</f>
        <v>#VALUE!</v>
      </c>
      <c r="N286" t="e">
        <f>RigheOfferte[[#This Row],[nr.pezzi ora-unita]]</f>
        <v>#VALUE!</v>
      </c>
      <c r="O286" t="e">
        <f>Tabella1[[#This Row],[superificie]]*Resa</f>
        <v>#VALUE!</v>
      </c>
      <c r="P286" t="e">
        <f>Tabella1[[#This Row],[KgPezzo]]*Tabella1[[#This Row],[q.ta offerta]]</f>
        <v>#VALUE!</v>
      </c>
      <c r="Q286" t="e">
        <f>RigheOfferte[[#This Row],[QtaProtez]]</f>
        <v>#VALUE!</v>
      </c>
      <c r="R286" t="e">
        <f>RigheOfferte[[#This Row],[Tipo Protezione]]</f>
        <v>#VALUE!</v>
      </c>
    </row>
    <row r="287" spans="1:18">
      <c r="A287" t="e">
        <f>RigheOfferte[[#This Row],[Nprev]]</f>
        <v>#VALUE!</v>
      </c>
      <c r="B287" t="e">
        <f>RigheOfferte[[#This Row],[Nriga]]</f>
        <v>#VALUE!</v>
      </c>
      <c r="C287" t="e">
        <f>RigheOfferte[[#This Row],[Cliente]]</f>
        <v>#VALUE!</v>
      </c>
      <c r="D287" t="e">
        <f>RigheOfferte[[#This Row],[sub_cliente]]</f>
        <v>#VALUE!</v>
      </c>
      <c r="E287" t="e">
        <f>RigheOfferte[[#This Row],[cod.Art.]]</f>
        <v>#VALUE!</v>
      </c>
      <c r="F287" t="e">
        <f>RigheOfferte[[#This Row],[Descrizione]]</f>
        <v>#VALUE!</v>
      </c>
      <c r="G287" t="e">
        <f>RigheOfferte[[#This Row],[Q.ta'']]</f>
        <v>#VALUE!</v>
      </c>
      <c r="H287" t="e">
        <f>RigheOfferte[[#This Row],[Lavorazione]]</f>
        <v>#VALUE!</v>
      </c>
      <c r="I287" t="e">
        <f>RigheOfferte[[#This Row],[Colore]]</f>
        <v>#VALUE!</v>
      </c>
      <c r="J287" t="e">
        <f>RigheOfferte[[#This Row],[Velocità]]</f>
        <v>#VALUE!</v>
      </c>
      <c r="K287" t="e">
        <f>RigheOfferte[[#This Row],[Superf.pz Mq]]</f>
        <v>#VALUE!</v>
      </c>
      <c r="L287" t="e">
        <f>RigheOfferte[[#This Row],[passo]]</f>
        <v>#VALUE!</v>
      </c>
      <c r="M287" t="e">
        <f>RigheOfferte[[#This Row],[nr.pezzi Telaio]]</f>
        <v>#VALUE!</v>
      </c>
      <c r="N287" t="e">
        <f>RigheOfferte[[#This Row],[nr.pezzi ora-unita]]</f>
        <v>#VALUE!</v>
      </c>
      <c r="O287" t="e">
        <f>Tabella1[[#This Row],[superificie]]*Resa</f>
        <v>#VALUE!</v>
      </c>
      <c r="P287" t="e">
        <f>Tabella1[[#This Row],[KgPezzo]]*Tabella1[[#This Row],[q.ta offerta]]</f>
        <v>#VALUE!</v>
      </c>
      <c r="Q287" t="e">
        <f>RigheOfferte[[#This Row],[QtaProtez]]</f>
        <v>#VALUE!</v>
      </c>
      <c r="R287" t="e">
        <f>RigheOfferte[[#This Row],[Tipo Protezione]]</f>
        <v>#VALUE!</v>
      </c>
    </row>
    <row r="288" spans="1:18">
      <c r="A288" t="e">
        <f>RigheOfferte[[#This Row],[Nprev]]</f>
        <v>#VALUE!</v>
      </c>
      <c r="B288" t="e">
        <f>RigheOfferte[[#This Row],[Nriga]]</f>
        <v>#VALUE!</v>
      </c>
      <c r="C288" t="e">
        <f>RigheOfferte[[#This Row],[Cliente]]</f>
        <v>#VALUE!</v>
      </c>
      <c r="D288" t="e">
        <f>RigheOfferte[[#This Row],[sub_cliente]]</f>
        <v>#VALUE!</v>
      </c>
      <c r="E288" t="e">
        <f>RigheOfferte[[#This Row],[cod.Art.]]</f>
        <v>#VALUE!</v>
      </c>
      <c r="F288" t="e">
        <f>RigheOfferte[[#This Row],[Descrizione]]</f>
        <v>#VALUE!</v>
      </c>
      <c r="G288" t="e">
        <f>RigheOfferte[[#This Row],[Q.ta'']]</f>
        <v>#VALUE!</v>
      </c>
      <c r="H288" t="e">
        <f>RigheOfferte[[#This Row],[Lavorazione]]</f>
        <v>#VALUE!</v>
      </c>
      <c r="I288" t="e">
        <f>RigheOfferte[[#This Row],[Colore]]</f>
        <v>#VALUE!</v>
      </c>
      <c r="J288" t="e">
        <f>RigheOfferte[[#This Row],[Velocità]]</f>
        <v>#VALUE!</v>
      </c>
      <c r="K288" t="e">
        <f>RigheOfferte[[#This Row],[Superf.pz Mq]]</f>
        <v>#VALUE!</v>
      </c>
      <c r="L288" t="e">
        <f>RigheOfferte[[#This Row],[passo]]</f>
        <v>#VALUE!</v>
      </c>
      <c r="M288" t="e">
        <f>RigheOfferte[[#This Row],[nr.pezzi Telaio]]</f>
        <v>#VALUE!</v>
      </c>
      <c r="N288" t="e">
        <f>RigheOfferte[[#This Row],[nr.pezzi ora-unita]]</f>
        <v>#VALUE!</v>
      </c>
      <c r="O288" t="e">
        <f>Tabella1[[#This Row],[superificie]]*Resa</f>
        <v>#VALUE!</v>
      </c>
      <c r="P288" t="e">
        <f>Tabella1[[#This Row],[KgPezzo]]*Tabella1[[#This Row],[q.ta offerta]]</f>
        <v>#VALUE!</v>
      </c>
      <c r="Q288" t="e">
        <f>RigheOfferte[[#This Row],[QtaProtez]]</f>
        <v>#VALUE!</v>
      </c>
      <c r="R288" t="e">
        <f>RigheOfferte[[#This Row],[Tipo Protezione]]</f>
        <v>#VALUE!</v>
      </c>
    </row>
    <row r="289" spans="1:18">
      <c r="A289" t="e">
        <f>RigheOfferte[[#This Row],[Nprev]]</f>
        <v>#VALUE!</v>
      </c>
      <c r="B289" t="e">
        <f>RigheOfferte[[#This Row],[Nriga]]</f>
        <v>#VALUE!</v>
      </c>
      <c r="C289" t="e">
        <f>RigheOfferte[[#This Row],[Cliente]]</f>
        <v>#VALUE!</v>
      </c>
      <c r="D289" t="e">
        <f>RigheOfferte[[#This Row],[sub_cliente]]</f>
        <v>#VALUE!</v>
      </c>
      <c r="E289" t="e">
        <f>RigheOfferte[[#This Row],[cod.Art.]]</f>
        <v>#VALUE!</v>
      </c>
      <c r="F289" t="e">
        <f>RigheOfferte[[#This Row],[Descrizione]]</f>
        <v>#VALUE!</v>
      </c>
      <c r="G289" t="e">
        <f>RigheOfferte[[#This Row],[Q.ta'']]</f>
        <v>#VALUE!</v>
      </c>
      <c r="H289" t="e">
        <f>RigheOfferte[[#This Row],[Lavorazione]]</f>
        <v>#VALUE!</v>
      </c>
      <c r="I289" t="e">
        <f>RigheOfferte[[#This Row],[Colore]]</f>
        <v>#VALUE!</v>
      </c>
      <c r="J289" t="e">
        <f>RigheOfferte[[#This Row],[Velocità]]</f>
        <v>#VALUE!</v>
      </c>
      <c r="K289" t="e">
        <f>RigheOfferte[[#This Row],[Superf.pz Mq]]</f>
        <v>#VALUE!</v>
      </c>
      <c r="L289" t="e">
        <f>RigheOfferte[[#This Row],[passo]]</f>
        <v>#VALUE!</v>
      </c>
      <c r="M289" t="e">
        <f>RigheOfferte[[#This Row],[nr.pezzi Telaio]]</f>
        <v>#VALUE!</v>
      </c>
      <c r="N289" t="e">
        <f>RigheOfferte[[#This Row],[nr.pezzi ora-unita]]</f>
        <v>#VALUE!</v>
      </c>
      <c r="O289" t="e">
        <f>Tabella1[[#This Row],[superificie]]*Resa</f>
        <v>#VALUE!</v>
      </c>
      <c r="P289" t="e">
        <f>Tabella1[[#This Row],[KgPezzo]]*Tabella1[[#This Row],[q.ta offerta]]</f>
        <v>#VALUE!</v>
      </c>
      <c r="Q289" t="e">
        <f>RigheOfferte[[#This Row],[QtaProtez]]</f>
        <v>#VALUE!</v>
      </c>
      <c r="R289" t="e">
        <f>RigheOfferte[[#This Row],[Tipo Protezione]]</f>
        <v>#VALUE!</v>
      </c>
    </row>
    <row r="290" spans="1:18">
      <c r="A290" t="e">
        <f>RigheOfferte[[#This Row],[Nprev]]</f>
        <v>#VALUE!</v>
      </c>
      <c r="B290" t="e">
        <f>RigheOfferte[[#This Row],[Nriga]]</f>
        <v>#VALUE!</v>
      </c>
      <c r="C290" t="e">
        <f>RigheOfferte[[#This Row],[Cliente]]</f>
        <v>#VALUE!</v>
      </c>
      <c r="D290" t="e">
        <f>RigheOfferte[[#This Row],[sub_cliente]]</f>
        <v>#VALUE!</v>
      </c>
      <c r="E290" t="e">
        <f>RigheOfferte[[#This Row],[cod.Art.]]</f>
        <v>#VALUE!</v>
      </c>
      <c r="F290" t="e">
        <f>RigheOfferte[[#This Row],[Descrizione]]</f>
        <v>#VALUE!</v>
      </c>
      <c r="G290" t="e">
        <f>RigheOfferte[[#This Row],[Q.ta'']]</f>
        <v>#VALUE!</v>
      </c>
      <c r="H290" t="e">
        <f>RigheOfferte[[#This Row],[Lavorazione]]</f>
        <v>#VALUE!</v>
      </c>
      <c r="I290" t="e">
        <f>RigheOfferte[[#This Row],[Colore]]</f>
        <v>#VALUE!</v>
      </c>
      <c r="J290" t="e">
        <f>RigheOfferte[[#This Row],[Velocità]]</f>
        <v>#VALUE!</v>
      </c>
      <c r="K290" t="e">
        <f>RigheOfferte[[#This Row],[Superf.pz Mq]]</f>
        <v>#VALUE!</v>
      </c>
      <c r="L290" t="e">
        <f>RigheOfferte[[#This Row],[passo]]</f>
        <v>#VALUE!</v>
      </c>
      <c r="M290" t="e">
        <f>RigheOfferte[[#This Row],[nr.pezzi Telaio]]</f>
        <v>#VALUE!</v>
      </c>
      <c r="N290" t="e">
        <f>RigheOfferte[[#This Row],[nr.pezzi ora-unita]]</f>
        <v>#VALUE!</v>
      </c>
      <c r="O290" t="e">
        <f>Tabella1[[#This Row],[superificie]]*Resa</f>
        <v>#VALUE!</v>
      </c>
      <c r="P290" t="e">
        <f>Tabella1[[#This Row],[KgPezzo]]*Tabella1[[#This Row],[q.ta offerta]]</f>
        <v>#VALUE!</v>
      </c>
      <c r="Q290" t="e">
        <f>RigheOfferte[[#This Row],[QtaProtez]]</f>
        <v>#VALUE!</v>
      </c>
      <c r="R290" t="e">
        <f>RigheOfferte[[#This Row],[Tipo Protezione]]</f>
        <v>#VALUE!</v>
      </c>
    </row>
    <row r="291" spans="1:18">
      <c r="A291" t="e">
        <f>RigheOfferte[[#This Row],[Nprev]]</f>
        <v>#VALUE!</v>
      </c>
      <c r="B291" t="e">
        <f>RigheOfferte[[#This Row],[Nriga]]</f>
        <v>#VALUE!</v>
      </c>
      <c r="C291" t="e">
        <f>RigheOfferte[[#This Row],[Cliente]]</f>
        <v>#VALUE!</v>
      </c>
      <c r="D291" t="e">
        <f>RigheOfferte[[#This Row],[sub_cliente]]</f>
        <v>#VALUE!</v>
      </c>
      <c r="E291" t="e">
        <f>RigheOfferte[[#This Row],[cod.Art.]]</f>
        <v>#VALUE!</v>
      </c>
      <c r="F291" t="e">
        <f>RigheOfferte[[#This Row],[Descrizione]]</f>
        <v>#VALUE!</v>
      </c>
      <c r="G291" t="e">
        <f>RigheOfferte[[#This Row],[Q.ta'']]</f>
        <v>#VALUE!</v>
      </c>
      <c r="H291" t="e">
        <f>RigheOfferte[[#This Row],[Lavorazione]]</f>
        <v>#VALUE!</v>
      </c>
      <c r="I291" t="e">
        <f>RigheOfferte[[#This Row],[Colore]]</f>
        <v>#VALUE!</v>
      </c>
      <c r="J291" t="e">
        <f>RigheOfferte[[#This Row],[Velocità]]</f>
        <v>#VALUE!</v>
      </c>
      <c r="K291" t="e">
        <f>RigheOfferte[[#This Row],[Superf.pz Mq]]</f>
        <v>#VALUE!</v>
      </c>
      <c r="L291" t="e">
        <f>RigheOfferte[[#This Row],[passo]]</f>
        <v>#VALUE!</v>
      </c>
      <c r="M291" t="e">
        <f>RigheOfferte[[#This Row],[nr.pezzi Telaio]]</f>
        <v>#VALUE!</v>
      </c>
      <c r="N291" t="e">
        <f>RigheOfferte[[#This Row],[nr.pezzi ora-unita]]</f>
        <v>#VALUE!</v>
      </c>
      <c r="O291" t="e">
        <f>Tabella1[[#This Row],[superificie]]*Resa</f>
        <v>#VALUE!</v>
      </c>
      <c r="P291" t="e">
        <f>Tabella1[[#This Row],[KgPezzo]]*Tabella1[[#This Row],[q.ta offerta]]</f>
        <v>#VALUE!</v>
      </c>
      <c r="Q291" t="e">
        <f>RigheOfferte[[#This Row],[QtaProtez]]</f>
        <v>#VALUE!</v>
      </c>
      <c r="R291" t="e">
        <f>RigheOfferte[[#This Row],[Tipo Protezione]]</f>
        <v>#VALUE!</v>
      </c>
    </row>
    <row r="292" spans="1:18">
      <c r="A292" t="e">
        <f>RigheOfferte[[#This Row],[Nprev]]</f>
        <v>#VALUE!</v>
      </c>
      <c r="B292" t="e">
        <f>RigheOfferte[[#This Row],[Nriga]]</f>
        <v>#VALUE!</v>
      </c>
      <c r="C292" t="e">
        <f>RigheOfferte[[#This Row],[Cliente]]</f>
        <v>#VALUE!</v>
      </c>
      <c r="D292" t="e">
        <f>RigheOfferte[[#This Row],[sub_cliente]]</f>
        <v>#VALUE!</v>
      </c>
      <c r="E292" t="e">
        <f>RigheOfferte[[#This Row],[cod.Art.]]</f>
        <v>#VALUE!</v>
      </c>
      <c r="F292" t="e">
        <f>RigheOfferte[[#This Row],[Descrizione]]</f>
        <v>#VALUE!</v>
      </c>
      <c r="G292" t="e">
        <f>RigheOfferte[[#This Row],[Q.ta'']]</f>
        <v>#VALUE!</v>
      </c>
      <c r="H292" t="e">
        <f>RigheOfferte[[#This Row],[Lavorazione]]</f>
        <v>#VALUE!</v>
      </c>
      <c r="I292" t="e">
        <f>RigheOfferte[[#This Row],[Colore]]</f>
        <v>#VALUE!</v>
      </c>
      <c r="J292" t="e">
        <f>RigheOfferte[[#This Row],[Velocità]]</f>
        <v>#VALUE!</v>
      </c>
      <c r="K292" t="e">
        <f>RigheOfferte[[#This Row],[Superf.pz Mq]]</f>
        <v>#VALUE!</v>
      </c>
      <c r="L292" t="e">
        <f>RigheOfferte[[#This Row],[passo]]</f>
        <v>#VALUE!</v>
      </c>
      <c r="M292" t="e">
        <f>RigheOfferte[[#This Row],[nr.pezzi Telaio]]</f>
        <v>#VALUE!</v>
      </c>
      <c r="N292" t="e">
        <f>RigheOfferte[[#This Row],[nr.pezzi ora-unita]]</f>
        <v>#VALUE!</v>
      </c>
      <c r="O292" t="e">
        <f>Tabella1[[#This Row],[superificie]]*Resa</f>
        <v>#VALUE!</v>
      </c>
      <c r="P292" t="e">
        <f>Tabella1[[#This Row],[KgPezzo]]*Tabella1[[#This Row],[q.ta offerta]]</f>
        <v>#VALUE!</v>
      </c>
      <c r="Q292" t="e">
        <f>RigheOfferte[[#This Row],[QtaProtez]]</f>
        <v>#VALUE!</v>
      </c>
      <c r="R292" t="e">
        <f>RigheOfferte[[#This Row],[Tipo Protezione]]</f>
        <v>#VALUE!</v>
      </c>
    </row>
    <row r="293" spans="1:18">
      <c r="A293" t="e">
        <f>RigheOfferte[[#This Row],[Nprev]]</f>
        <v>#VALUE!</v>
      </c>
      <c r="B293" t="e">
        <f>RigheOfferte[[#This Row],[Nriga]]</f>
        <v>#VALUE!</v>
      </c>
      <c r="C293" t="e">
        <f>RigheOfferte[[#This Row],[Cliente]]</f>
        <v>#VALUE!</v>
      </c>
      <c r="D293" t="e">
        <f>RigheOfferte[[#This Row],[sub_cliente]]</f>
        <v>#VALUE!</v>
      </c>
      <c r="E293" t="e">
        <f>RigheOfferte[[#This Row],[cod.Art.]]</f>
        <v>#VALUE!</v>
      </c>
      <c r="F293" t="e">
        <f>RigheOfferte[[#This Row],[Descrizione]]</f>
        <v>#VALUE!</v>
      </c>
      <c r="G293" t="e">
        <f>RigheOfferte[[#This Row],[Q.ta'']]</f>
        <v>#VALUE!</v>
      </c>
      <c r="H293" t="e">
        <f>RigheOfferte[[#This Row],[Lavorazione]]</f>
        <v>#VALUE!</v>
      </c>
      <c r="I293" t="e">
        <f>RigheOfferte[[#This Row],[Colore]]</f>
        <v>#VALUE!</v>
      </c>
      <c r="J293" t="e">
        <f>RigheOfferte[[#This Row],[Velocità]]</f>
        <v>#VALUE!</v>
      </c>
      <c r="K293" t="e">
        <f>RigheOfferte[[#This Row],[Superf.pz Mq]]</f>
        <v>#VALUE!</v>
      </c>
      <c r="L293" t="e">
        <f>RigheOfferte[[#This Row],[passo]]</f>
        <v>#VALUE!</v>
      </c>
      <c r="M293" t="e">
        <f>RigheOfferte[[#This Row],[nr.pezzi Telaio]]</f>
        <v>#VALUE!</v>
      </c>
      <c r="N293" t="e">
        <f>RigheOfferte[[#This Row],[nr.pezzi ora-unita]]</f>
        <v>#VALUE!</v>
      </c>
      <c r="O293" t="e">
        <f>Tabella1[[#This Row],[superificie]]*Resa</f>
        <v>#VALUE!</v>
      </c>
      <c r="P293" t="e">
        <f>Tabella1[[#This Row],[KgPezzo]]*Tabella1[[#This Row],[q.ta offerta]]</f>
        <v>#VALUE!</v>
      </c>
      <c r="Q293" t="e">
        <f>RigheOfferte[[#This Row],[QtaProtez]]</f>
        <v>#VALUE!</v>
      </c>
      <c r="R293" t="e">
        <f>RigheOfferte[[#This Row],[Tipo Protezione]]</f>
        <v>#VALUE!</v>
      </c>
    </row>
    <row r="294" spans="1:18">
      <c r="A294" t="e">
        <f>RigheOfferte[[#This Row],[Nprev]]</f>
        <v>#VALUE!</v>
      </c>
      <c r="B294" t="e">
        <f>RigheOfferte[[#This Row],[Nriga]]</f>
        <v>#VALUE!</v>
      </c>
      <c r="C294" t="e">
        <f>RigheOfferte[[#This Row],[Cliente]]</f>
        <v>#VALUE!</v>
      </c>
      <c r="D294" t="e">
        <f>RigheOfferte[[#This Row],[sub_cliente]]</f>
        <v>#VALUE!</v>
      </c>
      <c r="E294" t="e">
        <f>RigheOfferte[[#This Row],[cod.Art.]]</f>
        <v>#VALUE!</v>
      </c>
      <c r="F294" t="e">
        <f>RigheOfferte[[#This Row],[Descrizione]]</f>
        <v>#VALUE!</v>
      </c>
      <c r="G294" t="e">
        <f>RigheOfferte[[#This Row],[Q.ta'']]</f>
        <v>#VALUE!</v>
      </c>
      <c r="H294" t="e">
        <f>RigheOfferte[[#This Row],[Lavorazione]]</f>
        <v>#VALUE!</v>
      </c>
      <c r="I294" t="e">
        <f>RigheOfferte[[#This Row],[Colore]]</f>
        <v>#VALUE!</v>
      </c>
      <c r="J294" t="e">
        <f>RigheOfferte[[#This Row],[Velocità]]</f>
        <v>#VALUE!</v>
      </c>
      <c r="K294" t="e">
        <f>RigheOfferte[[#This Row],[Superf.pz Mq]]</f>
        <v>#VALUE!</v>
      </c>
      <c r="L294" t="e">
        <f>RigheOfferte[[#This Row],[passo]]</f>
        <v>#VALUE!</v>
      </c>
      <c r="M294" t="e">
        <f>RigheOfferte[[#This Row],[nr.pezzi Telaio]]</f>
        <v>#VALUE!</v>
      </c>
      <c r="N294" t="e">
        <f>RigheOfferte[[#This Row],[nr.pezzi ora-unita]]</f>
        <v>#VALUE!</v>
      </c>
      <c r="O294" t="e">
        <f>Tabella1[[#This Row],[superificie]]*Resa</f>
        <v>#VALUE!</v>
      </c>
      <c r="P294" t="e">
        <f>Tabella1[[#This Row],[KgPezzo]]*Tabella1[[#This Row],[q.ta offerta]]</f>
        <v>#VALUE!</v>
      </c>
      <c r="Q294" t="e">
        <f>RigheOfferte[[#This Row],[QtaProtez]]</f>
        <v>#VALUE!</v>
      </c>
      <c r="R294" t="e">
        <f>RigheOfferte[[#This Row],[Tipo Protezione]]</f>
        <v>#VALUE!</v>
      </c>
    </row>
    <row r="295" spans="1:18">
      <c r="A295" t="e">
        <f>RigheOfferte[[#This Row],[Nprev]]</f>
        <v>#VALUE!</v>
      </c>
      <c r="B295" t="e">
        <f>RigheOfferte[[#This Row],[Nriga]]</f>
        <v>#VALUE!</v>
      </c>
      <c r="C295" t="e">
        <f>RigheOfferte[[#This Row],[Cliente]]</f>
        <v>#VALUE!</v>
      </c>
      <c r="D295" t="e">
        <f>RigheOfferte[[#This Row],[sub_cliente]]</f>
        <v>#VALUE!</v>
      </c>
      <c r="E295" t="e">
        <f>RigheOfferte[[#This Row],[cod.Art.]]</f>
        <v>#VALUE!</v>
      </c>
      <c r="F295" t="e">
        <f>RigheOfferte[[#This Row],[Descrizione]]</f>
        <v>#VALUE!</v>
      </c>
      <c r="G295" t="e">
        <f>RigheOfferte[[#This Row],[Q.ta'']]</f>
        <v>#VALUE!</v>
      </c>
      <c r="H295" t="e">
        <f>RigheOfferte[[#This Row],[Lavorazione]]</f>
        <v>#VALUE!</v>
      </c>
      <c r="I295" t="e">
        <f>RigheOfferte[[#This Row],[Colore]]</f>
        <v>#VALUE!</v>
      </c>
      <c r="J295" t="e">
        <f>RigheOfferte[[#This Row],[Velocità]]</f>
        <v>#VALUE!</v>
      </c>
      <c r="K295" t="e">
        <f>RigheOfferte[[#This Row],[Superf.pz Mq]]</f>
        <v>#VALUE!</v>
      </c>
      <c r="L295" t="e">
        <f>RigheOfferte[[#This Row],[passo]]</f>
        <v>#VALUE!</v>
      </c>
      <c r="M295" t="e">
        <f>RigheOfferte[[#This Row],[nr.pezzi Telaio]]</f>
        <v>#VALUE!</v>
      </c>
      <c r="N295" t="e">
        <f>RigheOfferte[[#This Row],[nr.pezzi ora-unita]]</f>
        <v>#VALUE!</v>
      </c>
      <c r="O295" t="e">
        <f>Tabella1[[#This Row],[superificie]]*Resa</f>
        <v>#VALUE!</v>
      </c>
      <c r="P295" t="e">
        <f>Tabella1[[#This Row],[KgPezzo]]*Tabella1[[#This Row],[q.ta offerta]]</f>
        <v>#VALUE!</v>
      </c>
      <c r="Q295" t="e">
        <f>RigheOfferte[[#This Row],[QtaProtez]]</f>
        <v>#VALUE!</v>
      </c>
      <c r="R295" t="e">
        <f>RigheOfferte[[#This Row],[Tipo Protezione]]</f>
        <v>#VALUE!</v>
      </c>
    </row>
    <row r="296" spans="1:18">
      <c r="A296" t="e">
        <f>RigheOfferte[[#This Row],[Nprev]]</f>
        <v>#VALUE!</v>
      </c>
      <c r="B296" t="e">
        <f>RigheOfferte[[#This Row],[Nriga]]</f>
        <v>#VALUE!</v>
      </c>
      <c r="C296" t="e">
        <f>RigheOfferte[[#This Row],[Cliente]]</f>
        <v>#VALUE!</v>
      </c>
      <c r="D296" t="e">
        <f>RigheOfferte[[#This Row],[sub_cliente]]</f>
        <v>#VALUE!</v>
      </c>
      <c r="E296" t="e">
        <f>RigheOfferte[[#This Row],[cod.Art.]]</f>
        <v>#VALUE!</v>
      </c>
      <c r="F296" t="e">
        <f>RigheOfferte[[#This Row],[Descrizione]]</f>
        <v>#VALUE!</v>
      </c>
      <c r="G296" t="e">
        <f>RigheOfferte[[#This Row],[Q.ta'']]</f>
        <v>#VALUE!</v>
      </c>
      <c r="H296" t="e">
        <f>RigheOfferte[[#This Row],[Lavorazione]]</f>
        <v>#VALUE!</v>
      </c>
      <c r="I296" t="e">
        <f>RigheOfferte[[#This Row],[Colore]]</f>
        <v>#VALUE!</v>
      </c>
      <c r="J296" t="e">
        <f>RigheOfferte[[#This Row],[Velocità]]</f>
        <v>#VALUE!</v>
      </c>
      <c r="K296" t="e">
        <f>RigheOfferte[[#This Row],[Superf.pz Mq]]</f>
        <v>#VALUE!</v>
      </c>
      <c r="L296" t="e">
        <f>RigheOfferte[[#This Row],[passo]]</f>
        <v>#VALUE!</v>
      </c>
      <c r="M296" t="e">
        <f>RigheOfferte[[#This Row],[nr.pezzi Telaio]]</f>
        <v>#VALUE!</v>
      </c>
      <c r="N296" t="e">
        <f>RigheOfferte[[#This Row],[nr.pezzi ora-unita]]</f>
        <v>#VALUE!</v>
      </c>
      <c r="O296" t="e">
        <f>Tabella1[[#This Row],[superificie]]*Resa</f>
        <v>#VALUE!</v>
      </c>
      <c r="P296" t="e">
        <f>Tabella1[[#This Row],[KgPezzo]]*Tabella1[[#This Row],[q.ta offerta]]</f>
        <v>#VALUE!</v>
      </c>
      <c r="Q296" t="e">
        <f>RigheOfferte[[#This Row],[QtaProtez]]</f>
        <v>#VALUE!</v>
      </c>
      <c r="R296" t="e">
        <f>RigheOfferte[[#This Row],[Tipo Protezione]]</f>
        <v>#VALUE!</v>
      </c>
    </row>
    <row r="297" spans="1:18">
      <c r="A297" t="e">
        <f>RigheOfferte[[#This Row],[Nprev]]</f>
        <v>#VALUE!</v>
      </c>
      <c r="B297" t="e">
        <f>RigheOfferte[[#This Row],[Nriga]]</f>
        <v>#VALUE!</v>
      </c>
      <c r="C297" t="e">
        <f>RigheOfferte[[#This Row],[Cliente]]</f>
        <v>#VALUE!</v>
      </c>
      <c r="D297" t="e">
        <f>RigheOfferte[[#This Row],[sub_cliente]]</f>
        <v>#VALUE!</v>
      </c>
      <c r="E297" t="e">
        <f>RigheOfferte[[#This Row],[cod.Art.]]</f>
        <v>#VALUE!</v>
      </c>
      <c r="F297" t="e">
        <f>RigheOfferte[[#This Row],[Descrizione]]</f>
        <v>#VALUE!</v>
      </c>
      <c r="G297" t="e">
        <f>RigheOfferte[[#This Row],[Q.ta'']]</f>
        <v>#VALUE!</v>
      </c>
      <c r="H297" t="e">
        <f>RigheOfferte[[#This Row],[Lavorazione]]</f>
        <v>#VALUE!</v>
      </c>
      <c r="I297" t="e">
        <f>RigheOfferte[[#This Row],[Colore]]</f>
        <v>#VALUE!</v>
      </c>
      <c r="J297" t="e">
        <f>RigheOfferte[[#This Row],[Velocità]]</f>
        <v>#VALUE!</v>
      </c>
      <c r="K297" t="e">
        <f>RigheOfferte[[#This Row],[Superf.pz Mq]]</f>
        <v>#VALUE!</v>
      </c>
      <c r="L297" t="e">
        <f>RigheOfferte[[#This Row],[passo]]</f>
        <v>#VALUE!</v>
      </c>
      <c r="M297" t="e">
        <f>RigheOfferte[[#This Row],[nr.pezzi Telaio]]</f>
        <v>#VALUE!</v>
      </c>
      <c r="N297" t="e">
        <f>RigheOfferte[[#This Row],[nr.pezzi ora-unita]]</f>
        <v>#VALUE!</v>
      </c>
      <c r="O297" t="e">
        <f>Tabella1[[#This Row],[superificie]]*Resa</f>
        <v>#VALUE!</v>
      </c>
      <c r="P297" t="e">
        <f>Tabella1[[#This Row],[KgPezzo]]*Tabella1[[#This Row],[q.ta offerta]]</f>
        <v>#VALUE!</v>
      </c>
      <c r="Q297" t="e">
        <f>RigheOfferte[[#This Row],[QtaProtez]]</f>
        <v>#VALUE!</v>
      </c>
      <c r="R297" t="e">
        <f>RigheOfferte[[#This Row],[Tipo Protezione]]</f>
        <v>#VALUE!</v>
      </c>
    </row>
    <row r="298" spans="1:18">
      <c r="A298" t="e">
        <f>RigheOfferte[[#This Row],[Nprev]]</f>
        <v>#VALUE!</v>
      </c>
      <c r="B298" t="e">
        <f>RigheOfferte[[#This Row],[Nriga]]</f>
        <v>#VALUE!</v>
      </c>
      <c r="C298" t="e">
        <f>RigheOfferte[[#This Row],[Cliente]]</f>
        <v>#VALUE!</v>
      </c>
      <c r="D298" t="e">
        <f>RigheOfferte[[#This Row],[sub_cliente]]</f>
        <v>#VALUE!</v>
      </c>
      <c r="E298" t="e">
        <f>RigheOfferte[[#This Row],[cod.Art.]]</f>
        <v>#VALUE!</v>
      </c>
      <c r="F298" t="e">
        <f>RigheOfferte[[#This Row],[Descrizione]]</f>
        <v>#VALUE!</v>
      </c>
      <c r="G298" t="e">
        <f>RigheOfferte[[#This Row],[Q.ta'']]</f>
        <v>#VALUE!</v>
      </c>
      <c r="H298" t="e">
        <f>RigheOfferte[[#This Row],[Lavorazione]]</f>
        <v>#VALUE!</v>
      </c>
      <c r="I298" t="e">
        <f>RigheOfferte[[#This Row],[Colore]]</f>
        <v>#VALUE!</v>
      </c>
      <c r="J298" t="e">
        <f>RigheOfferte[[#This Row],[Velocità]]</f>
        <v>#VALUE!</v>
      </c>
      <c r="K298" t="e">
        <f>RigheOfferte[[#This Row],[Superf.pz Mq]]</f>
        <v>#VALUE!</v>
      </c>
      <c r="L298" t="e">
        <f>RigheOfferte[[#This Row],[passo]]</f>
        <v>#VALUE!</v>
      </c>
      <c r="M298" t="e">
        <f>RigheOfferte[[#This Row],[nr.pezzi Telaio]]</f>
        <v>#VALUE!</v>
      </c>
      <c r="N298" t="e">
        <f>RigheOfferte[[#This Row],[nr.pezzi ora-unita]]</f>
        <v>#VALUE!</v>
      </c>
      <c r="O298" t="e">
        <f>Tabella1[[#This Row],[superificie]]*Resa</f>
        <v>#VALUE!</v>
      </c>
      <c r="P298" t="e">
        <f>Tabella1[[#This Row],[KgPezzo]]*Tabella1[[#This Row],[q.ta offerta]]</f>
        <v>#VALUE!</v>
      </c>
      <c r="Q298" t="e">
        <f>RigheOfferte[[#This Row],[QtaProtez]]</f>
        <v>#VALUE!</v>
      </c>
      <c r="R298" t="e">
        <f>RigheOfferte[[#This Row],[Tipo Protezione]]</f>
        <v>#VALUE!</v>
      </c>
    </row>
    <row r="299" spans="1:18">
      <c r="A299" t="e">
        <f>RigheOfferte[[#This Row],[Nprev]]</f>
        <v>#VALUE!</v>
      </c>
      <c r="B299" t="e">
        <f>RigheOfferte[[#This Row],[Nriga]]</f>
        <v>#VALUE!</v>
      </c>
      <c r="C299" t="e">
        <f>RigheOfferte[[#This Row],[Cliente]]</f>
        <v>#VALUE!</v>
      </c>
      <c r="D299" t="e">
        <f>RigheOfferte[[#This Row],[sub_cliente]]</f>
        <v>#VALUE!</v>
      </c>
      <c r="E299" t="e">
        <f>RigheOfferte[[#This Row],[cod.Art.]]</f>
        <v>#VALUE!</v>
      </c>
      <c r="F299" t="e">
        <f>RigheOfferte[[#This Row],[Descrizione]]</f>
        <v>#VALUE!</v>
      </c>
      <c r="G299" t="e">
        <f>RigheOfferte[[#This Row],[Q.ta'']]</f>
        <v>#VALUE!</v>
      </c>
      <c r="H299" t="e">
        <f>RigheOfferte[[#This Row],[Lavorazione]]</f>
        <v>#VALUE!</v>
      </c>
      <c r="I299" t="e">
        <f>RigheOfferte[[#This Row],[Colore]]</f>
        <v>#VALUE!</v>
      </c>
      <c r="J299" t="e">
        <f>RigheOfferte[[#This Row],[Velocità]]</f>
        <v>#VALUE!</v>
      </c>
      <c r="K299" t="e">
        <f>RigheOfferte[[#This Row],[Superf.pz Mq]]</f>
        <v>#VALUE!</v>
      </c>
      <c r="L299" t="e">
        <f>RigheOfferte[[#This Row],[passo]]</f>
        <v>#VALUE!</v>
      </c>
      <c r="M299" t="e">
        <f>RigheOfferte[[#This Row],[nr.pezzi Telaio]]</f>
        <v>#VALUE!</v>
      </c>
      <c r="N299" t="e">
        <f>RigheOfferte[[#This Row],[nr.pezzi ora-unita]]</f>
        <v>#VALUE!</v>
      </c>
      <c r="O299" t="e">
        <f>Tabella1[[#This Row],[superificie]]*Resa</f>
        <v>#VALUE!</v>
      </c>
      <c r="P299" t="e">
        <f>Tabella1[[#This Row],[KgPezzo]]*Tabella1[[#This Row],[q.ta offerta]]</f>
        <v>#VALUE!</v>
      </c>
      <c r="Q299" t="e">
        <f>RigheOfferte[[#This Row],[QtaProtez]]</f>
        <v>#VALUE!</v>
      </c>
      <c r="R299" t="e">
        <f>RigheOfferte[[#This Row],[Tipo Protezione]]</f>
        <v>#VALUE!</v>
      </c>
    </row>
    <row r="300" spans="1:18">
      <c r="A300" t="e">
        <f>RigheOfferte[[#This Row],[Nprev]]</f>
        <v>#VALUE!</v>
      </c>
      <c r="B300" t="e">
        <f>RigheOfferte[[#This Row],[Nriga]]</f>
        <v>#VALUE!</v>
      </c>
      <c r="C300" t="e">
        <f>RigheOfferte[[#This Row],[Cliente]]</f>
        <v>#VALUE!</v>
      </c>
      <c r="D300" t="e">
        <f>RigheOfferte[[#This Row],[sub_cliente]]</f>
        <v>#VALUE!</v>
      </c>
      <c r="E300" t="e">
        <f>RigheOfferte[[#This Row],[cod.Art.]]</f>
        <v>#VALUE!</v>
      </c>
      <c r="F300" t="e">
        <f>RigheOfferte[[#This Row],[Descrizione]]</f>
        <v>#VALUE!</v>
      </c>
      <c r="G300" t="e">
        <f>RigheOfferte[[#This Row],[Q.ta'']]</f>
        <v>#VALUE!</v>
      </c>
      <c r="H300" t="e">
        <f>RigheOfferte[[#This Row],[Lavorazione]]</f>
        <v>#VALUE!</v>
      </c>
      <c r="I300" t="e">
        <f>RigheOfferte[[#This Row],[Colore]]</f>
        <v>#VALUE!</v>
      </c>
      <c r="J300" t="e">
        <f>RigheOfferte[[#This Row],[Velocità]]</f>
        <v>#VALUE!</v>
      </c>
      <c r="K300" t="e">
        <f>RigheOfferte[[#This Row],[Superf.pz Mq]]</f>
        <v>#VALUE!</v>
      </c>
      <c r="L300" t="e">
        <f>RigheOfferte[[#This Row],[passo]]</f>
        <v>#VALUE!</v>
      </c>
      <c r="M300" t="e">
        <f>RigheOfferte[[#This Row],[nr.pezzi Telaio]]</f>
        <v>#VALUE!</v>
      </c>
      <c r="N300" t="e">
        <f>RigheOfferte[[#This Row],[nr.pezzi ora-unita]]</f>
        <v>#VALUE!</v>
      </c>
      <c r="O300" t="e">
        <f>Tabella1[[#This Row],[superificie]]*Resa</f>
        <v>#VALUE!</v>
      </c>
      <c r="P300" t="e">
        <f>Tabella1[[#This Row],[KgPezzo]]*Tabella1[[#This Row],[q.ta offerta]]</f>
        <v>#VALUE!</v>
      </c>
      <c r="Q300" t="e">
        <f>RigheOfferte[[#This Row],[QtaProtez]]</f>
        <v>#VALUE!</v>
      </c>
      <c r="R300" t="e">
        <f>RigheOfferte[[#This Row],[Tipo Protezione]]</f>
        <v>#VALUE!</v>
      </c>
    </row>
    <row r="301" spans="1:18">
      <c r="A301" t="e">
        <f>RigheOfferte[[#This Row],[Nprev]]</f>
        <v>#VALUE!</v>
      </c>
      <c r="B301" t="e">
        <f>RigheOfferte[[#This Row],[Nriga]]</f>
        <v>#VALUE!</v>
      </c>
      <c r="C301" t="e">
        <f>RigheOfferte[[#This Row],[Cliente]]</f>
        <v>#VALUE!</v>
      </c>
      <c r="D301" t="e">
        <f>RigheOfferte[[#This Row],[sub_cliente]]</f>
        <v>#VALUE!</v>
      </c>
      <c r="E301" t="e">
        <f>RigheOfferte[[#This Row],[cod.Art.]]</f>
        <v>#VALUE!</v>
      </c>
      <c r="F301" t="e">
        <f>RigheOfferte[[#This Row],[Descrizione]]</f>
        <v>#VALUE!</v>
      </c>
      <c r="G301" t="e">
        <f>RigheOfferte[[#This Row],[Q.ta'']]</f>
        <v>#VALUE!</v>
      </c>
      <c r="H301" t="e">
        <f>RigheOfferte[[#This Row],[Lavorazione]]</f>
        <v>#VALUE!</v>
      </c>
      <c r="I301" t="e">
        <f>RigheOfferte[[#This Row],[Colore]]</f>
        <v>#VALUE!</v>
      </c>
      <c r="J301" t="e">
        <f>RigheOfferte[[#This Row],[Velocità]]</f>
        <v>#VALUE!</v>
      </c>
      <c r="K301" t="e">
        <f>RigheOfferte[[#This Row],[Superf.pz Mq]]</f>
        <v>#VALUE!</v>
      </c>
      <c r="L301" t="e">
        <f>RigheOfferte[[#This Row],[passo]]</f>
        <v>#VALUE!</v>
      </c>
      <c r="M301" t="e">
        <f>RigheOfferte[[#This Row],[nr.pezzi Telaio]]</f>
        <v>#VALUE!</v>
      </c>
      <c r="N301" t="e">
        <f>RigheOfferte[[#This Row],[nr.pezzi ora-unita]]</f>
        <v>#VALUE!</v>
      </c>
      <c r="O301" t="e">
        <f>Tabella1[[#This Row],[superificie]]*Resa</f>
        <v>#VALUE!</v>
      </c>
      <c r="P301" t="e">
        <f>Tabella1[[#This Row],[KgPezzo]]*Tabella1[[#This Row],[q.ta offerta]]</f>
        <v>#VALUE!</v>
      </c>
      <c r="Q301" t="e">
        <f>RigheOfferte[[#This Row],[QtaProtez]]</f>
        <v>#VALUE!</v>
      </c>
      <c r="R301" t="e">
        <f>RigheOfferte[[#This Row],[Tipo Protezione]]</f>
        <v>#VALUE!</v>
      </c>
    </row>
    <row r="302" spans="1:18">
      <c r="A302" t="e">
        <f>RigheOfferte[[#This Row],[Nprev]]</f>
        <v>#VALUE!</v>
      </c>
      <c r="B302" t="e">
        <f>RigheOfferte[[#This Row],[Nriga]]</f>
        <v>#VALUE!</v>
      </c>
      <c r="C302" t="e">
        <f>RigheOfferte[[#This Row],[Cliente]]</f>
        <v>#VALUE!</v>
      </c>
      <c r="D302" t="e">
        <f>RigheOfferte[[#This Row],[sub_cliente]]</f>
        <v>#VALUE!</v>
      </c>
      <c r="E302" t="e">
        <f>RigheOfferte[[#This Row],[cod.Art.]]</f>
        <v>#VALUE!</v>
      </c>
      <c r="F302" t="e">
        <f>RigheOfferte[[#This Row],[Descrizione]]</f>
        <v>#VALUE!</v>
      </c>
      <c r="G302" t="e">
        <f>RigheOfferte[[#This Row],[Q.ta'']]</f>
        <v>#VALUE!</v>
      </c>
      <c r="H302" t="e">
        <f>RigheOfferte[[#This Row],[Lavorazione]]</f>
        <v>#VALUE!</v>
      </c>
      <c r="I302" t="e">
        <f>RigheOfferte[[#This Row],[Colore]]</f>
        <v>#VALUE!</v>
      </c>
      <c r="J302" t="e">
        <f>RigheOfferte[[#This Row],[Velocità]]</f>
        <v>#VALUE!</v>
      </c>
      <c r="K302" t="e">
        <f>RigheOfferte[[#This Row],[Superf.pz Mq]]</f>
        <v>#VALUE!</v>
      </c>
      <c r="L302" t="e">
        <f>RigheOfferte[[#This Row],[passo]]</f>
        <v>#VALUE!</v>
      </c>
      <c r="M302" t="e">
        <f>RigheOfferte[[#This Row],[nr.pezzi Telaio]]</f>
        <v>#VALUE!</v>
      </c>
      <c r="N302" t="e">
        <f>RigheOfferte[[#This Row],[nr.pezzi ora-unita]]</f>
        <v>#VALUE!</v>
      </c>
      <c r="O302" t="e">
        <f>Tabella1[[#This Row],[superificie]]*Resa</f>
        <v>#VALUE!</v>
      </c>
      <c r="P302" t="e">
        <f>Tabella1[[#This Row],[KgPezzo]]*Tabella1[[#This Row],[q.ta offerta]]</f>
        <v>#VALUE!</v>
      </c>
      <c r="Q302" t="e">
        <f>RigheOfferte[[#This Row],[QtaProtez]]</f>
        <v>#VALUE!</v>
      </c>
      <c r="R302" t="e">
        <f>RigheOfferte[[#This Row],[Tipo Protezione]]</f>
        <v>#VALUE!</v>
      </c>
    </row>
    <row r="303" spans="1:18">
      <c r="A303" t="e">
        <f>RigheOfferte[[#This Row],[Nprev]]</f>
        <v>#VALUE!</v>
      </c>
      <c r="B303" t="e">
        <f>RigheOfferte[[#This Row],[Nriga]]</f>
        <v>#VALUE!</v>
      </c>
      <c r="C303" t="e">
        <f>RigheOfferte[[#This Row],[Cliente]]</f>
        <v>#VALUE!</v>
      </c>
      <c r="D303" t="e">
        <f>RigheOfferte[[#This Row],[sub_cliente]]</f>
        <v>#VALUE!</v>
      </c>
      <c r="E303" t="e">
        <f>RigheOfferte[[#This Row],[cod.Art.]]</f>
        <v>#VALUE!</v>
      </c>
      <c r="F303" t="e">
        <f>RigheOfferte[[#This Row],[Descrizione]]</f>
        <v>#VALUE!</v>
      </c>
      <c r="G303" t="e">
        <f>RigheOfferte[[#This Row],[Q.ta'']]</f>
        <v>#VALUE!</v>
      </c>
      <c r="H303" t="e">
        <f>RigheOfferte[[#This Row],[Lavorazione]]</f>
        <v>#VALUE!</v>
      </c>
      <c r="I303" t="e">
        <f>RigheOfferte[[#This Row],[Colore]]</f>
        <v>#VALUE!</v>
      </c>
      <c r="J303" t="e">
        <f>RigheOfferte[[#This Row],[Velocità]]</f>
        <v>#VALUE!</v>
      </c>
      <c r="K303" t="e">
        <f>RigheOfferte[[#This Row],[Superf.pz Mq]]</f>
        <v>#VALUE!</v>
      </c>
      <c r="L303" t="e">
        <f>RigheOfferte[[#This Row],[passo]]</f>
        <v>#VALUE!</v>
      </c>
      <c r="M303" t="e">
        <f>RigheOfferte[[#This Row],[nr.pezzi Telaio]]</f>
        <v>#VALUE!</v>
      </c>
      <c r="N303" t="e">
        <f>RigheOfferte[[#This Row],[nr.pezzi ora-unita]]</f>
        <v>#VALUE!</v>
      </c>
      <c r="O303" t="e">
        <f>Tabella1[[#This Row],[superificie]]*Resa</f>
        <v>#VALUE!</v>
      </c>
      <c r="P303" t="e">
        <f>Tabella1[[#This Row],[KgPezzo]]*Tabella1[[#This Row],[q.ta offerta]]</f>
        <v>#VALUE!</v>
      </c>
      <c r="Q303" t="e">
        <f>RigheOfferte[[#This Row],[QtaProtez]]</f>
        <v>#VALUE!</v>
      </c>
      <c r="R303" t="e">
        <f>RigheOfferte[[#This Row],[Tipo Protezione]]</f>
        <v>#VALUE!</v>
      </c>
    </row>
    <row r="304" spans="1:18">
      <c r="A304" t="e">
        <f>RigheOfferte[[#This Row],[Nprev]]</f>
        <v>#VALUE!</v>
      </c>
      <c r="B304" t="e">
        <f>RigheOfferte[[#This Row],[Nriga]]</f>
        <v>#VALUE!</v>
      </c>
      <c r="C304" t="e">
        <f>RigheOfferte[[#This Row],[Cliente]]</f>
        <v>#VALUE!</v>
      </c>
      <c r="D304" t="e">
        <f>RigheOfferte[[#This Row],[sub_cliente]]</f>
        <v>#VALUE!</v>
      </c>
      <c r="E304" t="e">
        <f>RigheOfferte[[#This Row],[cod.Art.]]</f>
        <v>#VALUE!</v>
      </c>
      <c r="F304" t="e">
        <f>RigheOfferte[[#This Row],[Descrizione]]</f>
        <v>#VALUE!</v>
      </c>
      <c r="G304" t="e">
        <f>RigheOfferte[[#This Row],[Q.ta'']]</f>
        <v>#VALUE!</v>
      </c>
      <c r="H304" t="e">
        <f>RigheOfferte[[#This Row],[Lavorazione]]</f>
        <v>#VALUE!</v>
      </c>
      <c r="I304" t="e">
        <f>RigheOfferte[[#This Row],[Colore]]</f>
        <v>#VALUE!</v>
      </c>
      <c r="J304" t="e">
        <f>RigheOfferte[[#This Row],[Velocità]]</f>
        <v>#VALUE!</v>
      </c>
      <c r="K304" t="e">
        <f>RigheOfferte[[#This Row],[Superf.pz Mq]]</f>
        <v>#VALUE!</v>
      </c>
      <c r="L304" t="e">
        <f>RigheOfferte[[#This Row],[passo]]</f>
        <v>#VALUE!</v>
      </c>
      <c r="M304" t="e">
        <f>RigheOfferte[[#This Row],[nr.pezzi Telaio]]</f>
        <v>#VALUE!</v>
      </c>
      <c r="N304" t="e">
        <f>RigheOfferte[[#This Row],[nr.pezzi ora-unita]]</f>
        <v>#VALUE!</v>
      </c>
      <c r="O304" t="e">
        <f>Tabella1[[#This Row],[superificie]]*Resa</f>
        <v>#VALUE!</v>
      </c>
      <c r="P304" t="e">
        <f>Tabella1[[#This Row],[KgPezzo]]*Tabella1[[#This Row],[q.ta offerta]]</f>
        <v>#VALUE!</v>
      </c>
      <c r="Q304" t="e">
        <f>RigheOfferte[[#This Row],[QtaProtez]]</f>
        <v>#VALUE!</v>
      </c>
      <c r="R304" t="e">
        <f>RigheOfferte[[#This Row],[Tipo Protezione]]</f>
        <v>#VALUE!</v>
      </c>
    </row>
    <row r="305" spans="1:18">
      <c r="A305" t="e">
        <f>RigheOfferte[[#This Row],[Nprev]]</f>
        <v>#VALUE!</v>
      </c>
      <c r="B305" t="e">
        <f>RigheOfferte[[#This Row],[Nriga]]</f>
        <v>#VALUE!</v>
      </c>
      <c r="C305" t="e">
        <f>RigheOfferte[[#This Row],[Cliente]]</f>
        <v>#VALUE!</v>
      </c>
      <c r="D305" t="e">
        <f>RigheOfferte[[#This Row],[sub_cliente]]</f>
        <v>#VALUE!</v>
      </c>
      <c r="E305" t="e">
        <f>RigheOfferte[[#This Row],[cod.Art.]]</f>
        <v>#VALUE!</v>
      </c>
      <c r="F305" t="e">
        <f>RigheOfferte[[#This Row],[Descrizione]]</f>
        <v>#VALUE!</v>
      </c>
      <c r="G305" t="e">
        <f>RigheOfferte[[#This Row],[Q.ta'']]</f>
        <v>#VALUE!</v>
      </c>
      <c r="H305" t="e">
        <f>RigheOfferte[[#This Row],[Lavorazione]]</f>
        <v>#VALUE!</v>
      </c>
      <c r="I305" t="e">
        <f>RigheOfferte[[#This Row],[Colore]]</f>
        <v>#VALUE!</v>
      </c>
      <c r="J305" t="e">
        <f>RigheOfferte[[#This Row],[Velocità]]</f>
        <v>#VALUE!</v>
      </c>
      <c r="K305" t="e">
        <f>RigheOfferte[[#This Row],[Superf.pz Mq]]</f>
        <v>#VALUE!</v>
      </c>
      <c r="L305" t="e">
        <f>RigheOfferte[[#This Row],[passo]]</f>
        <v>#VALUE!</v>
      </c>
      <c r="M305" t="e">
        <f>RigheOfferte[[#This Row],[nr.pezzi Telaio]]</f>
        <v>#VALUE!</v>
      </c>
      <c r="N305" t="e">
        <f>RigheOfferte[[#This Row],[nr.pezzi ora-unita]]</f>
        <v>#VALUE!</v>
      </c>
      <c r="O305" t="e">
        <f>Tabella1[[#This Row],[superificie]]*Resa</f>
        <v>#VALUE!</v>
      </c>
      <c r="P305" t="e">
        <f>Tabella1[[#This Row],[KgPezzo]]*Tabella1[[#This Row],[q.ta offerta]]</f>
        <v>#VALUE!</v>
      </c>
      <c r="Q305" t="e">
        <f>RigheOfferte[[#This Row],[QtaProtez]]</f>
        <v>#VALUE!</v>
      </c>
      <c r="R305" t="e">
        <f>RigheOfferte[[#This Row],[Tipo Protezione]]</f>
        <v>#VALUE!</v>
      </c>
    </row>
    <row r="306" spans="1:18">
      <c r="A306" t="e">
        <f>RigheOfferte[[#This Row],[Nprev]]</f>
        <v>#VALUE!</v>
      </c>
      <c r="B306" t="e">
        <f>RigheOfferte[[#This Row],[Nriga]]</f>
        <v>#VALUE!</v>
      </c>
      <c r="C306" t="e">
        <f>RigheOfferte[[#This Row],[Cliente]]</f>
        <v>#VALUE!</v>
      </c>
      <c r="D306" t="e">
        <f>RigheOfferte[[#This Row],[sub_cliente]]</f>
        <v>#VALUE!</v>
      </c>
      <c r="E306" t="e">
        <f>RigheOfferte[[#This Row],[cod.Art.]]</f>
        <v>#VALUE!</v>
      </c>
      <c r="F306" t="e">
        <f>RigheOfferte[[#This Row],[Descrizione]]</f>
        <v>#VALUE!</v>
      </c>
      <c r="G306" t="e">
        <f>RigheOfferte[[#This Row],[Q.ta'']]</f>
        <v>#VALUE!</v>
      </c>
      <c r="H306" t="e">
        <f>RigheOfferte[[#This Row],[Lavorazione]]</f>
        <v>#VALUE!</v>
      </c>
      <c r="I306" t="e">
        <f>RigheOfferte[[#This Row],[Colore]]</f>
        <v>#VALUE!</v>
      </c>
      <c r="J306" t="e">
        <f>RigheOfferte[[#This Row],[Velocità]]</f>
        <v>#VALUE!</v>
      </c>
      <c r="K306" t="e">
        <f>RigheOfferte[[#This Row],[Superf.pz Mq]]</f>
        <v>#VALUE!</v>
      </c>
      <c r="L306" t="e">
        <f>RigheOfferte[[#This Row],[passo]]</f>
        <v>#VALUE!</v>
      </c>
      <c r="M306" t="e">
        <f>RigheOfferte[[#This Row],[nr.pezzi Telaio]]</f>
        <v>#VALUE!</v>
      </c>
      <c r="N306" t="e">
        <f>RigheOfferte[[#This Row],[nr.pezzi ora-unita]]</f>
        <v>#VALUE!</v>
      </c>
      <c r="O306" t="e">
        <f>Tabella1[[#This Row],[superificie]]*Resa</f>
        <v>#VALUE!</v>
      </c>
      <c r="P306" t="e">
        <f>Tabella1[[#This Row],[KgPezzo]]*Tabella1[[#This Row],[q.ta offerta]]</f>
        <v>#VALUE!</v>
      </c>
      <c r="Q306" t="e">
        <f>RigheOfferte[[#This Row],[QtaProtez]]</f>
        <v>#VALUE!</v>
      </c>
      <c r="R306" t="e">
        <f>RigheOfferte[[#This Row],[Tipo Protezione]]</f>
        <v>#VALUE!</v>
      </c>
    </row>
    <row r="307" spans="1:18">
      <c r="A307" t="e">
        <f>RigheOfferte[[#This Row],[Nprev]]</f>
        <v>#VALUE!</v>
      </c>
      <c r="B307" t="e">
        <f>RigheOfferte[[#This Row],[Nriga]]</f>
        <v>#VALUE!</v>
      </c>
      <c r="C307" t="e">
        <f>RigheOfferte[[#This Row],[Cliente]]</f>
        <v>#VALUE!</v>
      </c>
      <c r="D307" t="e">
        <f>RigheOfferte[[#This Row],[sub_cliente]]</f>
        <v>#VALUE!</v>
      </c>
      <c r="E307" t="e">
        <f>RigheOfferte[[#This Row],[cod.Art.]]</f>
        <v>#VALUE!</v>
      </c>
      <c r="F307" t="e">
        <f>RigheOfferte[[#This Row],[Descrizione]]</f>
        <v>#VALUE!</v>
      </c>
      <c r="G307" t="e">
        <f>RigheOfferte[[#This Row],[Q.ta'']]</f>
        <v>#VALUE!</v>
      </c>
      <c r="H307" t="e">
        <f>RigheOfferte[[#This Row],[Lavorazione]]</f>
        <v>#VALUE!</v>
      </c>
      <c r="I307" t="e">
        <f>RigheOfferte[[#This Row],[Colore]]</f>
        <v>#VALUE!</v>
      </c>
      <c r="J307" t="e">
        <f>RigheOfferte[[#This Row],[Velocità]]</f>
        <v>#VALUE!</v>
      </c>
      <c r="K307" t="e">
        <f>RigheOfferte[[#This Row],[Superf.pz Mq]]</f>
        <v>#VALUE!</v>
      </c>
      <c r="L307" t="e">
        <f>RigheOfferte[[#This Row],[passo]]</f>
        <v>#VALUE!</v>
      </c>
      <c r="M307" t="e">
        <f>RigheOfferte[[#This Row],[nr.pezzi Telaio]]</f>
        <v>#VALUE!</v>
      </c>
      <c r="N307" t="e">
        <f>RigheOfferte[[#This Row],[nr.pezzi ora-unita]]</f>
        <v>#VALUE!</v>
      </c>
      <c r="O307" t="e">
        <f>Tabella1[[#This Row],[superificie]]*Resa</f>
        <v>#VALUE!</v>
      </c>
      <c r="P307" t="e">
        <f>Tabella1[[#This Row],[KgPezzo]]*Tabella1[[#This Row],[q.ta offerta]]</f>
        <v>#VALUE!</v>
      </c>
      <c r="Q307" t="e">
        <f>RigheOfferte[[#This Row],[QtaProtez]]</f>
        <v>#VALUE!</v>
      </c>
      <c r="R307" t="e">
        <f>RigheOfferte[[#This Row],[Tipo Protezione]]</f>
        <v>#VALUE!</v>
      </c>
    </row>
    <row r="308" spans="1:18">
      <c r="A308" t="e">
        <f>RigheOfferte[[#This Row],[Nprev]]</f>
        <v>#VALUE!</v>
      </c>
      <c r="B308" t="e">
        <f>RigheOfferte[[#This Row],[Nriga]]</f>
        <v>#VALUE!</v>
      </c>
      <c r="C308" t="e">
        <f>RigheOfferte[[#This Row],[Cliente]]</f>
        <v>#VALUE!</v>
      </c>
      <c r="D308" t="e">
        <f>RigheOfferte[[#This Row],[sub_cliente]]</f>
        <v>#VALUE!</v>
      </c>
      <c r="E308" t="e">
        <f>RigheOfferte[[#This Row],[cod.Art.]]</f>
        <v>#VALUE!</v>
      </c>
      <c r="F308" t="e">
        <f>RigheOfferte[[#This Row],[Descrizione]]</f>
        <v>#VALUE!</v>
      </c>
      <c r="G308" t="e">
        <f>RigheOfferte[[#This Row],[Q.ta'']]</f>
        <v>#VALUE!</v>
      </c>
      <c r="H308" t="e">
        <f>RigheOfferte[[#This Row],[Lavorazione]]</f>
        <v>#VALUE!</v>
      </c>
      <c r="I308" t="e">
        <f>RigheOfferte[[#This Row],[Colore]]</f>
        <v>#VALUE!</v>
      </c>
      <c r="J308" t="e">
        <f>RigheOfferte[[#This Row],[Velocità]]</f>
        <v>#VALUE!</v>
      </c>
      <c r="K308" t="e">
        <f>RigheOfferte[[#This Row],[Superf.pz Mq]]</f>
        <v>#VALUE!</v>
      </c>
      <c r="L308" t="e">
        <f>RigheOfferte[[#This Row],[passo]]</f>
        <v>#VALUE!</v>
      </c>
      <c r="M308" t="e">
        <f>RigheOfferte[[#This Row],[nr.pezzi Telaio]]</f>
        <v>#VALUE!</v>
      </c>
      <c r="N308" t="e">
        <f>RigheOfferte[[#This Row],[nr.pezzi ora-unita]]</f>
        <v>#VALUE!</v>
      </c>
      <c r="O308" t="e">
        <f>Tabella1[[#This Row],[superificie]]*Resa</f>
        <v>#VALUE!</v>
      </c>
      <c r="P308" t="e">
        <f>Tabella1[[#This Row],[KgPezzo]]*Tabella1[[#This Row],[q.ta offerta]]</f>
        <v>#VALUE!</v>
      </c>
      <c r="Q308" t="e">
        <f>RigheOfferte[[#This Row],[QtaProtez]]</f>
        <v>#VALUE!</v>
      </c>
      <c r="R308" t="e">
        <f>RigheOfferte[[#This Row],[Tipo Protezione]]</f>
        <v>#VALUE!</v>
      </c>
    </row>
    <row r="309" spans="1:18">
      <c r="A309" t="e">
        <f>RigheOfferte[[#This Row],[Nprev]]</f>
        <v>#VALUE!</v>
      </c>
      <c r="B309" t="e">
        <f>RigheOfferte[[#This Row],[Nriga]]</f>
        <v>#VALUE!</v>
      </c>
      <c r="C309" t="e">
        <f>RigheOfferte[[#This Row],[Cliente]]</f>
        <v>#VALUE!</v>
      </c>
      <c r="D309" t="e">
        <f>RigheOfferte[[#This Row],[sub_cliente]]</f>
        <v>#VALUE!</v>
      </c>
      <c r="E309" t="e">
        <f>RigheOfferte[[#This Row],[cod.Art.]]</f>
        <v>#VALUE!</v>
      </c>
      <c r="F309" t="e">
        <f>RigheOfferte[[#This Row],[Descrizione]]</f>
        <v>#VALUE!</v>
      </c>
      <c r="G309" t="e">
        <f>RigheOfferte[[#This Row],[Q.ta'']]</f>
        <v>#VALUE!</v>
      </c>
      <c r="H309" t="e">
        <f>RigheOfferte[[#This Row],[Lavorazione]]</f>
        <v>#VALUE!</v>
      </c>
      <c r="I309" t="e">
        <f>RigheOfferte[[#This Row],[Colore]]</f>
        <v>#VALUE!</v>
      </c>
      <c r="J309" t="e">
        <f>RigheOfferte[[#This Row],[Velocità]]</f>
        <v>#VALUE!</v>
      </c>
      <c r="K309" t="e">
        <f>RigheOfferte[[#This Row],[Superf.pz Mq]]</f>
        <v>#VALUE!</v>
      </c>
      <c r="L309" t="e">
        <f>RigheOfferte[[#This Row],[passo]]</f>
        <v>#VALUE!</v>
      </c>
      <c r="M309" t="e">
        <f>RigheOfferte[[#This Row],[nr.pezzi Telaio]]</f>
        <v>#VALUE!</v>
      </c>
      <c r="N309" t="e">
        <f>RigheOfferte[[#This Row],[nr.pezzi ora-unita]]</f>
        <v>#VALUE!</v>
      </c>
      <c r="O309" t="e">
        <f>Tabella1[[#This Row],[superificie]]*Resa</f>
        <v>#VALUE!</v>
      </c>
      <c r="P309" t="e">
        <f>Tabella1[[#This Row],[KgPezzo]]*Tabella1[[#This Row],[q.ta offerta]]</f>
        <v>#VALUE!</v>
      </c>
      <c r="Q309" t="e">
        <f>RigheOfferte[[#This Row],[QtaProtez]]</f>
        <v>#VALUE!</v>
      </c>
      <c r="R309" t="e">
        <f>RigheOfferte[[#This Row],[Tipo Protezione]]</f>
        <v>#VALUE!</v>
      </c>
    </row>
    <row r="310" spans="1:18">
      <c r="A310" t="e">
        <f>RigheOfferte[[#This Row],[Nprev]]</f>
        <v>#VALUE!</v>
      </c>
      <c r="B310" t="e">
        <f>RigheOfferte[[#This Row],[Nriga]]</f>
        <v>#VALUE!</v>
      </c>
      <c r="C310" t="e">
        <f>RigheOfferte[[#This Row],[Cliente]]</f>
        <v>#VALUE!</v>
      </c>
      <c r="D310" t="e">
        <f>RigheOfferte[[#This Row],[sub_cliente]]</f>
        <v>#VALUE!</v>
      </c>
      <c r="E310" t="e">
        <f>RigheOfferte[[#This Row],[cod.Art.]]</f>
        <v>#VALUE!</v>
      </c>
      <c r="F310" t="e">
        <f>RigheOfferte[[#This Row],[Descrizione]]</f>
        <v>#VALUE!</v>
      </c>
      <c r="G310" t="e">
        <f>RigheOfferte[[#This Row],[Q.ta'']]</f>
        <v>#VALUE!</v>
      </c>
      <c r="H310" t="e">
        <f>RigheOfferte[[#This Row],[Lavorazione]]</f>
        <v>#VALUE!</v>
      </c>
      <c r="I310" t="e">
        <f>RigheOfferte[[#This Row],[Colore]]</f>
        <v>#VALUE!</v>
      </c>
      <c r="J310" t="e">
        <f>RigheOfferte[[#This Row],[Velocità]]</f>
        <v>#VALUE!</v>
      </c>
      <c r="K310" t="e">
        <f>RigheOfferte[[#This Row],[Superf.pz Mq]]</f>
        <v>#VALUE!</v>
      </c>
      <c r="L310" t="e">
        <f>RigheOfferte[[#This Row],[passo]]</f>
        <v>#VALUE!</v>
      </c>
      <c r="M310" t="e">
        <f>RigheOfferte[[#This Row],[nr.pezzi Telaio]]</f>
        <v>#VALUE!</v>
      </c>
      <c r="N310" t="e">
        <f>RigheOfferte[[#This Row],[nr.pezzi ora-unita]]</f>
        <v>#VALUE!</v>
      </c>
      <c r="O310" t="e">
        <f>Tabella1[[#This Row],[superificie]]*Resa</f>
        <v>#VALUE!</v>
      </c>
      <c r="P310" t="e">
        <f>Tabella1[[#This Row],[KgPezzo]]*Tabella1[[#This Row],[q.ta offerta]]</f>
        <v>#VALUE!</v>
      </c>
      <c r="Q310" t="e">
        <f>RigheOfferte[[#This Row],[QtaProtez]]</f>
        <v>#VALUE!</v>
      </c>
      <c r="R310" t="e">
        <f>RigheOfferte[[#This Row],[Tipo Protezione]]</f>
        <v>#VALUE!</v>
      </c>
    </row>
    <row r="311" spans="1:18">
      <c r="A311" t="e">
        <f>RigheOfferte[[#This Row],[Nprev]]</f>
        <v>#VALUE!</v>
      </c>
      <c r="B311" t="e">
        <f>RigheOfferte[[#This Row],[Nriga]]</f>
        <v>#VALUE!</v>
      </c>
      <c r="C311" t="e">
        <f>RigheOfferte[[#This Row],[Cliente]]</f>
        <v>#VALUE!</v>
      </c>
      <c r="D311" t="e">
        <f>RigheOfferte[[#This Row],[sub_cliente]]</f>
        <v>#VALUE!</v>
      </c>
      <c r="E311" t="e">
        <f>RigheOfferte[[#This Row],[cod.Art.]]</f>
        <v>#VALUE!</v>
      </c>
      <c r="F311" t="e">
        <f>RigheOfferte[[#This Row],[Descrizione]]</f>
        <v>#VALUE!</v>
      </c>
      <c r="G311" t="e">
        <f>RigheOfferte[[#This Row],[Q.ta'']]</f>
        <v>#VALUE!</v>
      </c>
      <c r="H311" t="e">
        <f>RigheOfferte[[#This Row],[Lavorazione]]</f>
        <v>#VALUE!</v>
      </c>
      <c r="I311" t="e">
        <f>RigheOfferte[[#This Row],[Colore]]</f>
        <v>#VALUE!</v>
      </c>
      <c r="J311" t="e">
        <f>RigheOfferte[[#This Row],[Velocità]]</f>
        <v>#VALUE!</v>
      </c>
      <c r="K311" t="e">
        <f>RigheOfferte[[#This Row],[Superf.pz Mq]]</f>
        <v>#VALUE!</v>
      </c>
      <c r="L311" t="e">
        <f>RigheOfferte[[#This Row],[passo]]</f>
        <v>#VALUE!</v>
      </c>
      <c r="M311" t="e">
        <f>RigheOfferte[[#This Row],[nr.pezzi Telaio]]</f>
        <v>#VALUE!</v>
      </c>
      <c r="N311" t="e">
        <f>RigheOfferte[[#This Row],[nr.pezzi ora-unita]]</f>
        <v>#VALUE!</v>
      </c>
      <c r="O311" t="e">
        <f>Tabella1[[#This Row],[superificie]]*Resa</f>
        <v>#VALUE!</v>
      </c>
      <c r="P311" t="e">
        <f>Tabella1[[#This Row],[KgPezzo]]*Tabella1[[#This Row],[q.ta offerta]]</f>
        <v>#VALUE!</v>
      </c>
      <c r="Q311" t="e">
        <f>RigheOfferte[[#This Row],[QtaProtez]]</f>
        <v>#VALUE!</v>
      </c>
      <c r="R311" t="e">
        <f>RigheOfferte[[#This Row],[Tipo Protezione]]</f>
        <v>#VALUE!</v>
      </c>
    </row>
    <row r="312" spans="1:18">
      <c r="A312" t="e">
        <f>RigheOfferte[[#This Row],[Nprev]]</f>
        <v>#VALUE!</v>
      </c>
      <c r="B312" t="e">
        <f>RigheOfferte[[#This Row],[Nriga]]</f>
        <v>#VALUE!</v>
      </c>
      <c r="C312" t="e">
        <f>RigheOfferte[[#This Row],[Cliente]]</f>
        <v>#VALUE!</v>
      </c>
      <c r="D312" t="e">
        <f>RigheOfferte[[#This Row],[sub_cliente]]</f>
        <v>#VALUE!</v>
      </c>
      <c r="E312" t="e">
        <f>RigheOfferte[[#This Row],[cod.Art.]]</f>
        <v>#VALUE!</v>
      </c>
      <c r="F312" t="e">
        <f>RigheOfferte[[#This Row],[Descrizione]]</f>
        <v>#VALUE!</v>
      </c>
      <c r="G312" t="e">
        <f>RigheOfferte[[#This Row],[Q.ta'']]</f>
        <v>#VALUE!</v>
      </c>
      <c r="H312" t="e">
        <f>RigheOfferte[[#This Row],[Lavorazione]]</f>
        <v>#VALUE!</v>
      </c>
      <c r="I312" t="e">
        <f>RigheOfferte[[#This Row],[Colore]]</f>
        <v>#VALUE!</v>
      </c>
      <c r="J312" t="e">
        <f>RigheOfferte[[#This Row],[Velocità]]</f>
        <v>#VALUE!</v>
      </c>
      <c r="K312" t="e">
        <f>RigheOfferte[[#This Row],[Superf.pz Mq]]</f>
        <v>#VALUE!</v>
      </c>
      <c r="L312" t="e">
        <f>RigheOfferte[[#This Row],[passo]]</f>
        <v>#VALUE!</v>
      </c>
      <c r="M312" t="e">
        <f>RigheOfferte[[#This Row],[nr.pezzi Telaio]]</f>
        <v>#VALUE!</v>
      </c>
      <c r="N312" t="e">
        <f>RigheOfferte[[#This Row],[nr.pezzi ora-unita]]</f>
        <v>#VALUE!</v>
      </c>
      <c r="O312" t="e">
        <f>Tabella1[[#This Row],[superificie]]*Resa</f>
        <v>#VALUE!</v>
      </c>
      <c r="P312" t="e">
        <f>Tabella1[[#This Row],[KgPezzo]]*Tabella1[[#This Row],[q.ta offerta]]</f>
        <v>#VALUE!</v>
      </c>
      <c r="Q312" t="e">
        <f>RigheOfferte[[#This Row],[QtaProtez]]</f>
        <v>#VALUE!</v>
      </c>
      <c r="R312" t="e">
        <f>RigheOfferte[[#This Row],[Tipo Protezione]]</f>
        <v>#VALUE!</v>
      </c>
    </row>
    <row r="313" spans="1:18">
      <c r="A313" t="e">
        <f>RigheOfferte[[#This Row],[Nprev]]</f>
        <v>#VALUE!</v>
      </c>
      <c r="B313" t="e">
        <f>RigheOfferte[[#This Row],[Nriga]]</f>
        <v>#VALUE!</v>
      </c>
      <c r="C313" t="e">
        <f>RigheOfferte[[#This Row],[Cliente]]</f>
        <v>#VALUE!</v>
      </c>
      <c r="D313" t="e">
        <f>RigheOfferte[[#This Row],[sub_cliente]]</f>
        <v>#VALUE!</v>
      </c>
      <c r="E313" t="e">
        <f>RigheOfferte[[#This Row],[cod.Art.]]</f>
        <v>#VALUE!</v>
      </c>
      <c r="F313" t="e">
        <f>RigheOfferte[[#This Row],[Descrizione]]</f>
        <v>#VALUE!</v>
      </c>
      <c r="G313" t="e">
        <f>RigheOfferte[[#This Row],[Q.ta'']]</f>
        <v>#VALUE!</v>
      </c>
      <c r="H313" t="e">
        <f>RigheOfferte[[#This Row],[Lavorazione]]</f>
        <v>#VALUE!</v>
      </c>
      <c r="I313" t="e">
        <f>RigheOfferte[[#This Row],[Colore]]</f>
        <v>#VALUE!</v>
      </c>
      <c r="J313" t="e">
        <f>RigheOfferte[[#This Row],[Velocità]]</f>
        <v>#VALUE!</v>
      </c>
      <c r="K313" t="e">
        <f>RigheOfferte[[#This Row],[Superf.pz Mq]]</f>
        <v>#VALUE!</v>
      </c>
      <c r="L313" t="e">
        <f>RigheOfferte[[#This Row],[passo]]</f>
        <v>#VALUE!</v>
      </c>
      <c r="M313" t="e">
        <f>RigheOfferte[[#This Row],[nr.pezzi Telaio]]</f>
        <v>#VALUE!</v>
      </c>
      <c r="N313" t="e">
        <f>RigheOfferte[[#This Row],[nr.pezzi ora-unita]]</f>
        <v>#VALUE!</v>
      </c>
      <c r="O313" t="e">
        <f>Tabella1[[#This Row],[superificie]]*Resa</f>
        <v>#VALUE!</v>
      </c>
      <c r="P313" t="e">
        <f>Tabella1[[#This Row],[KgPezzo]]*Tabella1[[#This Row],[q.ta offerta]]</f>
        <v>#VALUE!</v>
      </c>
      <c r="Q313" t="e">
        <f>RigheOfferte[[#This Row],[QtaProtez]]</f>
        <v>#VALUE!</v>
      </c>
      <c r="R313" t="e">
        <f>RigheOfferte[[#This Row],[Tipo Protezione]]</f>
        <v>#VALUE!</v>
      </c>
    </row>
    <row r="314" spans="1:18">
      <c r="A314" t="e">
        <f>RigheOfferte[[#This Row],[Nprev]]</f>
        <v>#VALUE!</v>
      </c>
      <c r="B314" t="e">
        <f>RigheOfferte[[#This Row],[Nriga]]</f>
        <v>#VALUE!</v>
      </c>
      <c r="C314" t="e">
        <f>RigheOfferte[[#This Row],[Cliente]]</f>
        <v>#VALUE!</v>
      </c>
      <c r="D314" t="e">
        <f>RigheOfferte[[#This Row],[sub_cliente]]</f>
        <v>#VALUE!</v>
      </c>
      <c r="E314" t="e">
        <f>RigheOfferte[[#This Row],[cod.Art.]]</f>
        <v>#VALUE!</v>
      </c>
      <c r="F314" t="e">
        <f>RigheOfferte[[#This Row],[Descrizione]]</f>
        <v>#VALUE!</v>
      </c>
      <c r="G314" t="e">
        <f>RigheOfferte[[#This Row],[Q.ta'']]</f>
        <v>#VALUE!</v>
      </c>
      <c r="H314" t="e">
        <f>RigheOfferte[[#This Row],[Lavorazione]]</f>
        <v>#VALUE!</v>
      </c>
      <c r="I314" t="e">
        <f>RigheOfferte[[#This Row],[Colore]]</f>
        <v>#VALUE!</v>
      </c>
      <c r="J314" t="e">
        <f>RigheOfferte[[#This Row],[Velocità]]</f>
        <v>#VALUE!</v>
      </c>
      <c r="K314" t="e">
        <f>RigheOfferte[[#This Row],[Superf.pz Mq]]</f>
        <v>#VALUE!</v>
      </c>
      <c r="L314" t="e">
        <f>RigheOfferte[[#This Row],[passo]]</f>
        <v>#VALUE!</v>
      </c>
      <c r="M314" t="e">
        <f>RigheOfferte[[#This Row],[nr.pezzi Telaio]]</f>
        <v>#VALUE!</v>
      </c>
      <c r="N314" t="e">
        <f>RigheOfferte[[#This Row],[nr.pezzi ora-unita]]</f>
        <v>#VALUE!</v>
      </c>
      <c r="O314" t="e">
        <f>Tabella1[[#This Row],[superificie]]*Resa</f>
        <v>#VALUE!</v>
      </c>
      <c r="P314" t="e">
        <f>Tabella1[[#This Row],[KgPezzo]]*Tabella1[[#This Row],[q.ta offerta]]</f>
        <v>#VALUE!</v>
      </c>
      <c r="Q314" t="e">
        <f>RigheOfferte[[#This Row],[QtaProtez]]</f>
        <v>#VALUE!</v>
      </c>
      <c r="R314" t="e">
        <f>RigheOfferte[[#This Row],[Tipo Protezione]]</f>
        <v>#VALUE!</v>
      </c>
    </row>
    <row r="315" spans="1:18">
      <c r="A315" t="e">
        <f>RigheOfferte[[#This Row],[Nprev]]</f>
        <v>#VALUE!</v>
      </c>
      <c r="B315" t="e">
        <f>RigheOfferte[[#This Row],[Nriga]]</f>
        <v>#VALUE!</v>
      </c>
      <c r="C315" t="e">
        <f>RigheOfferte[[#This Row],[Cliente]]</f>
        <v>#VALUE!</v>
      </c>
      <c r="D315" t="e">
        <f>RigheOfferte[[#This Row],[sub_cliente]]</f>
        <v>#VALUE!</v>
      </c>
      <c r="E315" t="e">
        <f>RigheOfferte[[#This Row],[cod.Art.]]</f>
        <v>#VALUE!</v>
      </c>
      <c r="F315" t="e">
        <f>RigheOfferte[[#This Row],[Descrizione]]</f>
        <v>#VALUE!</v>
      </c>
      <c r="G315" t="e">
        <f>RigheOfferte[[#This Row],[Q.ta'']]</f>
        <v>#VALUE!</v>
      </c>
      <c r="H315" t="e">
        <f>RigheOfferte[[#This Row],[Lavorazione]]</f>
        <v>#VALUE!</v>
      </c>
      <c r="I315" t="e">
        <f>RigheOfferte[[#This Row],[Colore]]</f>
        <v>#VALUE!</v>
      </c>
      <c r="J315" t="e">
        <f>RigheOfferte[[#This Row],[Velocità]]</f>
        <v>#VALUE!</v>
      </c>
      <c r="K315" t="e">
        <f>RigheOfferte[[#This Row],[Superf.pz Mq]]</f>
        <v>#VALUE!</v>
      </c>
      <c r="L315" t="e">
        <f>RigheOfferte[[#This Row],[passo]]</f>
        <v>#VALUE!</v>
      </c>
      <c r="M315" t="e">
        <f>RigheOfferte[[#This Row],[nr.pezzi Telaio]]</f>
        <v>#VALUE!</v>
      </c>
      <c r="N315" t="e">
        <f>RigheOfferte[[#This Row],[nr.pezzi ora-unita]]</f>
        <v>#VALUE!</v>
      </c>
      <c r="O315" t="e">
        <f>Tabella1[[#This Row],[superificie]]*Resa</f>
        <v>#VALUE!</v>
      </c>
      <c r="P315" t="e">
        <f>Tabella1[[#This Row],[KgPezzo]]*Tabella1[[#This Row],[q.ta offerta]]</f>
        <v>#VALUE!</v>
      </c>
      <c r="Q315" t="e">
        <f>RigheOfferte[[#This Row],[QtaProtez]]</f>
        <v>#VALUE!</v>
      </c>
      <c r="R315" t="e">
        <f>RigheOfferte[[#This Row],[Tipo Protezione]]</f>
        <v>#VALUE!</v>
      </c>
    </row>
    <row r="316" spans="1:18">
      <c r="A316" t="e">
        <f>RigheOfferte[[#This Row],[Nprev]]</f>
        <v>#VALUE!</v>
      </c>
      <c r="B316" t="e">
        <f>RigheOfferte[[#This Row],[Nriga]]</f>
        <v>#VALUE!</v>
      </c>
      <c r="C316" t="e">
        <f>RigheOfferte[[#This Row],[Cliente]]</f>
        <v>#VALUE!</v>
      </c>
      <c r="D316" t="e">
        <f>RigheOfferte[[#This Row],[sub_cliente]]</f>
        <v>#VALUE!</v>
      </c>
      <c r="E316" t="e">
        <f>RigheOfferte[[#This Row],[cod.Art.]]</f>
        <v>#VALUE!</v>
      </c>
      <c r="F316" t="e">
        <f>RigheOfferte[[#This Row],[Descrizione]]</f>
        <v>#VALUE!</v>
      </c>
      <c r="G316" t="e">
        <f>RigheOfferte[[#This Row],[Q.ta'']]</f>
        <v>#VALUE!</v>
      </c>
      <c r="H316" t="e">
        <f>RigheOfferte[[#This Row],[Lavorazione]]</f>
        <v>#VALUE!</v>
      </c>
      <c r="I316" t="e">
        <f>RigheOfferte[[#This Row],[Colore]]</f>
        <v>#VALUE!</v>
      </c>
      <c r="J316" t="e">
        <f>RigheOfferte[[#This Row],[Velocità]]</f>
        <v>#VALUE!</v>
      </c>
      <c r="K316" t="e">
        <f>RigheOfferte[[#This Row],[Superf.pz Mq]]</f>
        <v>#VALUE!</v>
      </c>
      <c r="L316" t="e">
        <f>RigheOfferte[[#This Row],[passo]]</f>
        <v>#VALUE!</v>
      </c>
      <c r="M316" t="e">
        <f>RigheOfferte[[#This Row],[nr.pezzi Telaio]]</f>
        <v>#VALUE!</v>
      </c>
      <c r="N316" t="e">
        <f>RigheOfferte[[#This Row],[nr.pezzi ora-unita]]</f>
        <v>#VALUE!</v>
      </c>
      <c r="O316" t="e">
        <f>Tabella1[[#This Row],[superificie]]*Resa</f>
        <v>#VALUE!</v>
      </c>
      <c r="P316" t="e">
        <f>Tabella1[[#This Row],[KgPezzo]]*Tabella1[[#This Row],[q.ta offerta]]</f>
        <v>#VALUE!</v>
      </c>
      <c r="Q316" t="e">
        <f>RigheOfferte[[#This Row],[QtaProtez]]</f>
        <v>#VALUE!</v>
      </c>
      <c r="R316" t="e">
        <f>RigheOfferte[[#This Row],[Tipo Protezione]]</f>
        <v>#VALUE!</v>
      </c>
    </row>
    <row r="317" spans="1:18">
      <c r="A317" t="e">
        <f>RigheOfferte[[#This Row],[Nprev]]</f>
        <v>#VALUE!</v>
      </c>
      <c r="B317" t="e">
        <f>RigheOfferte[[#This Row],[Nriga]]</f>
        <v>#VALUE!</v>
      </c>
      <c r="C317" t="e">
        <f>RigheOfferte[[#This Row],[Cliente]]</f>
        <v>#VALUE!</v>
      </c>
      <c r="D317" t="e">
        <f>RigheOfferte[[#This Row],[sub_cliente]]</f>
        <v>#VALUE!</v>
      </c>
      <c r="E317" t="e">
        <f>RigheOfferte[[#This Row],[cod.Art.]]</f>
        <v>#VALUE!</v>
      </c>
      <c r="F317" t="e">
        <f>RigheOfferte[[#This Row],[Descrizione]]</f>
        <v>#VALUE!</v>
      </c>
      <c r="G317" t="e">
        <f>RigheOfferte[[#This Row],[Q.ta'']]</f>
        <v>#VALUE!</v>
      </c>
      <c r="H317" t="e">
        <f>RigheOfferte[[#This Row],[Lavorazione]]</f>
        <v>#VALUE!</v>
      </c>
      <c r="I317" t="e">
        <f>RigheOfferte[[#This Row],[Colore]]</f>
        <v>#VALUE!</v>
      </c>
      <c r="J317" t="e">
        <f>RigheOfferte[[#This Row],[Velocità]]</f>
        <v>#VALUE!</v>
      </c>
      <c r="K317" t="e">
        <f>RigheOfferte[[#This Row],[Superf.pz Mq]]</f>
        <v>#VALUE!</v>
      </c>
      <c r="L317" t="e">
        <f>RigheOfferte[[#This Row],[passo]]</f>
        <v>#VALUE!</v>
      </c>
      <c r="M317" t="e">
        <f>RigheOfferte[[#This Row],[nr.pezzi Telaio]]</f>
        <v>#VALUE!</v>
      </c>
      <c r="N317" t="e">
        <f>RigheOfferte[[#This Row],[nr.pezzi ora-unita]]</f>
        <v>#VALUE!</v>
      </c>
      <c r="O317" t="e">
        <f>Tabella1[[#This Row],[superificie]]*Resa</f>
        <v>#VALUE!</v>
      </c>
      <c r="P317" t="e">
        <f>Tabella1[[#This Row],[KgPezzo]]*Tabella1[[#This Row],[q.ta offerta]]</f>
        <v>#VALUE!</v>
      </c>
      <c r="Q317" t="e">
        <f>RigheOfferte[[#This Row],[QtaProtez]]</f>
        <v>#VALUE!</v>
      </c>
      <c r="R317" t="e">
        <f>RigheOfferte[[#This Row],[Tipo Protezione]]</f>
        <v>#VALUE!</v>
      </c>
    </row>
    <row r="318" spans="1:18">
      <c r="A318" t="e">
        <f>RigheOfferte[[#This Row],[Nprev]]</f>
        <v>#VALUE!</v>
      </c>
      <c r="B318" t="e">
        <f>RigheOfferte[[#This Row],[Nriga]]</f>
        <v>#VALUE!</v>
      </c>
      <c r="C318" t="e">
        <f>RigheOfferte[[#This Row],[Cliente]]</f>
        <v>#VALUE!</v>
      </c>
      <c r="D318" t="e">
        <f>RigheOfferte[[#This Row],[sub_cliente]]</f>
        <v>#VALUE!</v>
      </c>
      <c r="E318" t="e">
        <f>RigheOfferte[[#This Row],[cod.Art.]]</f>
        <v>#VALUE!</v>
      </c>
      <c r="F318" t="e">
        <f>RigheOfferte[[#This Row],[Descrizione]]</f>
        <v>#VALUE!</v>
      </c>
      <c r="G318" t="e">
        <f>RigheOfferte[[#This Row],[Q.ta'']]</f>
        <v>#VALUE!</v>
      </c>
      <c r="H318" t="e">
        <f>RigheOfferte[[#This Row],[Lavorazione]]</f>
        <v>#VALUE!</v>
      </c>
      <c r="I318" t="e">
        <f>RigheOfferte[[#This Row],[Colore]]</f>
        <v>#VALUE!</v>
      </c>
      <c r="J318" t="e">
        <f>RigheOfferte[[#This Row],[Velocità]]</f>
        <v>#VALUE!</v>
      </c>
      <c r="K318" t="e">
        <f>RigheOfferte[[#This Row],[Superf.pz Mq]]</f>
        <v>#VALUE!</v>
      </c>
      <c r="L318" t="e">
        <f>RigheOfferte[[#This Row],[passo]]</f>
        <v>#VALUE!</v>
      </c>
      <c r="M318" t="e">
        <f>RigheOfferte[[#This Row],[nr.pezzi Telaio]]</f>
        <v>#VALUE!</v>
      </c>
      <c r="N318" t="e">
        <f>RigheOfferte[[#This Row],[nr.pezzi ora-unita]]</f>
        <v>#VALUE!</v>
      </c>
      <c r="O318" t="e">
        <f>Tabella1[[#This Row],[superificie]]*Resa</f>
        <v>#VALUE!</v>
      </c>
      <c r="P318" t="e">
        <f>Tabella1[[#This Row],[KgPezzo]]*Tabella1[[#This Row],[q.ta offerta]]</f>
        <v>#VALUE!</v>
      </c>
      <c r="Q318" t="e">
        <f>RigheOfferte[[#This Row],[QtaProtez]]</f>
        <v>#VALUE!</v>
      </c>
      <c r="R318" t="e">
        <f>RigheOfferte[[#This Row],[Tipo Protezione]]</f>
        <v>#VALUE!</v>
      </c>
    </row>
    <row r="319" spans="1:18">
      <c r="A319" t="e">
        <f>RigheOfferte[[#This Row],[Nprev]]</f>
        <v>#VALUE!</v>
      </c>
      <c r="B319" t="e">
        <f>RigheOfferte[[#This Row],[Nriga]]</f>
        <v>#VALUE!</v>
      </c>
      <c r="C319" t="e">
        <f>RigheOfferte[[#This Row],[Cliente]]</f>
        <v>#VALUE!</v>
      </c>
      <c r="D319" t="e">
        <f>RigheOfferte[[#This Row],[sub_cliente]]</f>
        <v>#VALUE!</v>
      </c>
      <c r="E319" t="e">
        <f>RigheOfferte[[#This Row],[cod.Art.]]</f>
        <v>#VALUE!</v>
      </c>
      <c r="F319" t="e">
        <f>RigheOfferte[[#This Row],[Descrizione]]</f>
        <v>#VALUE!</v>
      </c>
      <c r="G319" t="e">
        <f>RigheOfferte[[#This Row],[Q.ta'']]</f>
        <v>#VALUE!</v>
      </c>
      <c r="H319" t="e">
        <f>RigheOfferte[[#This Row],[Lavorazione]]</f>
        <v>#VALUE!</v>
      </c>
      <c r="I319" t="e">
        <f>RigheOfferte[[#This Row],[Colore]]</f>
        <v>#VALUE!</v>
      </c>
      <c r="J319" t="e">
        <f>RigheOfferte[[#This Row],[Velocità]]</f>
        <v>#VALUE!</v>
      </c>
      <c r="K319" t="e">
        <f>RigheOfferte[[#This Row],[Superf.pz Mq]]</f>
        <v>#VALUE!</v>
      </c>
      <c r="L319" t="e">
        <f>RigheOfferte[[#This Row],[passo]]</f>
        <v>#VALUE!</v>
      </c>
      <c r="M319" t="e">
        <f>RigheOfferte[[#This Row],[nr.pezzi Telaio]]</f>
        <v>#VALUE!</v>
      </c>
      <c r="N319" t="e">
        <f>RigheOfferte[[#This Row],[nr.pezzi ora-unita]]</f>
        <v>#VALUE!</v>
      </c>
      <c r="O319" t="e">
        <f>Tabella1[[#This Row],[superificie]]*Resa</f>
        <v>#VALUE!</v>
      </c>
      <c r="P319" t="e">
        <f>Tabella1[[#This Row],[KgPezzo]]*Tabella1[[#This Row],[q.ta offerta]]</f>
        <v>#VALUE!</v>
      </c>
      <c r="Q319" t="e">
        <f>RigheOfferte[[#This Row],[QtaProtez]]</f>
        <v>#VALUE!</v>
      </c>
      <c r="R319" t="e">
        <f>RigheOfferte[[#This Row],[Tipo Protezione]]</f>
        <v>#VALUE!</v>
      </c>
    </row>
    <row r="320" spans="1:18">
      <c r="A320" t="e">
        <f>RigheOfferte[[#This Row],[Nprev]]</f>
        <v>#VALUE!</v>
      </c>
      <c r="B320" t="e">
        <f>RigheOfferte[[#This Row],[Nriga]]</f>
        <v>#VALUE!</v>
      </c>
      <c r="C320" t="e">
        <f>RigheOfferte[[#This Row],[Cliente]]</f>
        <v>#VALUE!</v>
      </c>
      <c r="D320" t="e">
        <f>RigheOfferte[[#This Row],[sub_cliente]]</f>
        <v>#VALUE!</v>
      </c>
      <c r="E320" t="e">
        <f>RigheOfferte[[#This Row],[cod.Art.]]</f>
        <v>#VALUE!</v>
      </c>
      <c r="F320" t="e">
        <f>RigheOfferte[[#This Row],[Descrizione]]</f>
        <v>#VALUE!</v>
      </c>
      <c r="G320" t="e">
        <f>RigheOfferte[[#This Row],[Q.ta'']]</f>
        <v>#VALUE!</v>
      </c>
      <c r="H320" t="e">
        <f>RigheOfferte[[#This Row],[Lavorazione]]</f>
        <v>#VALUE!</v>
      </c>
      <c r="I320" t="e">
        <f>RigheOfferte[[#This Row],[Colore]]</f>
        <v>#VALUE!</v>
      </c>
      <c r="J320" t="e">
        <f>RigheOfferte[[#This Row],[Velocità]]</f>
        <v>#VALUE!</v>
      </c>
      <c r="K320" t="e">
        <f>RigheOfferte[[#This Row],[Superf.pz Mq]]</f>
        <v>#VALUE!</v>
      </c>
      <c r="L320" t="e">
        <f>RigheOfferte[[#This Row],[passo]]</f>
        <v>#VALUE!</v>
      </c>
      <c r="M320" t="e">
        <f>RigheOfferte[[#This Row],[nr.pezzi Telaio]]</f>
        <v>#VALUE!</v>
      </c>
      <c r="N320" t="e">
        <f>RigheOfferte[[#This Row],[nr.pezzi ora-unita]]</f>
        <v>#VALUE!</v>
      </c>
      <c r="O320" t="e">
        <f>Tabella1[[#This Row],[superificie]]*Resa</f>
        <v>#VALUE!</v>
      </c>
      <c r="P320" t="e">
        <f>Tabella1[[#This Row],[KgPezzo]]*Tabella1[[#This Row],[q.ta offerta]]</f>
        <v>#VALUE!</v>
      </c>
      <c r="Q320" t="e">
        <f>RigheOfferte[[#This Row],[QtaProtez]]</f>
        <v>#VALUE!</v>
      </c>
      <c r="R320" t="e">
        <f>RigheOfferte[[#This Row],[Tipo Protezione]]</f>
        <v>#VALUE!</v>
      </c>
    </row>
    <row r="321" spans="1:18">
      <c r="A321" t="e">
        <f>RigheOfferte[[#This Row],[Nprev]]</f>
        <v>#VALUE!</v>
      </c>
      <c r="B321" t="e">
        <f>RigheOfferte[[#This Row],[Nriga]]</f>
        <v>#VALUE!</v>
      </c>
      <c r="C321" t="e">
        <f>RigheOfferte[[#This Row],[Cliente]]</f>
        <v>#VALUE!</v>
      </c>
      <c r="D321" t="e">
        <f>RigheOfferte[[#This Row],[sub_cliente]]</f>
        <v>#VALUE!</v>
      </c>
      <c r="E321" t="e">
        <f>RigheOfferte[[#This Row],[cod.Art.]]</f>
        <v>#VALUE!</v>
      </c>
      <c r="F321" t="e">
        <f>RigheOfferte[[#This Row],[Descrizione]]</f>
        <v>#VALUE!</v>
      </c>
      <c r="G321" t="e">
        <f>RigheOfferte[[#This Row],[Q.ta'']]</f>
        <v>#VALUE!</v>
      </c>
      <c r="H321" t="e">
        <f>RigheOfferte[[#This Row],[Lavorazione]]</f>
        <v>#VALUE!</v>
      </c>
      <c r="I321" t="e">
        <f>RigheOfferte[[#This Row],[Colore]]</f>
        <v>#VALUE!</v>
      </c>
      <c r="J321" t="e">
        <f>RigheOfferte[[#This Row],[Velocità]]</f>
        <v>#VALUE!</v>
      </c>
      <c r="K321" t="e">
        <f>RigheOfferte[[#This Row],[Superf.pz Mq]]</f>
        <v>#VALUE!</v>
      </c>
      <c r="L321" t="e">
        <f>RigheOfferte[[#This Row],[passo]]</f>
        <v>#VALUE!</v>
      </c>
      <c r="M321" t="e">
        <f>RigheOfferte[[#This Row],[nr.pezzi Telaio]]</f>
        <v>#VALUE!</v>
      </c>
      <c r="N321" t="e">
        <f>RigheOfferte[[#This Row],[nr.pezzi ora-unita]]</f>
        <v>#VALUE!</v>
      </c>
      <c r="O321" t="e">
        <f>Tabella1[[#This Row],[superificie]]*Resa</f>
        <v>#VALUE!</v>
      </c>
      <c r="P321" t="e">
        <f>Tabella1[[#This Row],[KgPezzo]]*Tabella1[[#This Row],[q.ta offerta]]</f>
        <v>#VALUE!</v>
      </c>
      <c r="Q321" t="e">
        <f>RigheOfferte[[#This Row],[QtaProtez]]</f>
        <v>#VALUE!</v>
      </c>
      <c r="R321" t="e">
        <f>RigheOfferte[[#This Row],[Tipo Protezione]]</f>
        <v>#VALUE!</v>
      </c>
    </row>
    <row r="322" spans="1:18">
      <c r="A322" t="e">
        <f>RigheOfferte[[#This Row],[Nprev]]</f>
        <v>#VALUE!</v>
      </c>
      <c r="B322" t="e">
        <f>RigheOfferte[[#This Row],[Nriga]]</f>
        <v>#VALUE!</v>
      </c>
      <c r="C322" t="e">
        <f>RigheOfferte[[#This Row],[Cliente]]</f>
        <v>#VALUE!</v>
      </c>
      <c r="D322" t="e">
        <f>RigheOfferte[[#This Row],[sub_cliente]]</f>
        <v>#VALUE!</v>
      </c>
      <c r="E322" t="e">
        <f>RigheOfferte[[#This Row],[cod.Art.]]</f>
        <v>#VALUE!</v>
      </c>
      <c r="F322" t="e">
        <f>RigheOfferte[[#This Row],[Descrizione]]</f>
        <v>#VALUE!</v>
      </c>
      <c r="G322" t="e">
        <f>RigheOfferte[[#This Row],[Q.ta'']]</f>
        <v>#VALUE!</v>
      </c>
      <c r="H322" t="e">
        <f>RigheOfferte[[#This Row],[Lavorazione]]</f>
        <v>#VALUE!</v>
      </c>
      <c r="I322" t="e">
        <f>RigheOfferte[[#This Row],[Colore]]</f>
        <v>#VALUE!</v>
      </c>
      <c r="J322" t="e">
        <f>RigheOfferte[[#This Row],[Velocità]]</f>
        <v>#VALUE!</v>
      </c>
      <c r="K322" t="e">
        <f>RigheOfferte[[#This Row],[Superf.pz Mq]]</f>
        <v>#VALUE!</v>
      </c>
      <c r="L322" t="e">
        <f>RigheOfferte[[#This Row],[passo]]</f>
        <v>#VALUE!</v>
      </c>
      <c r="M322" t="e">
        <f>RigheOfferte[[#This Row],[nr.pezzi Telaio]]</f>
        <v>#VALUE!</v>
      </c>
      <c r="N322" t="e">
        <f>RigheOfferte[[#This Row],[nr.pezzi ora-unita]]</f>
        <v>#VALUE!</v>
      </c>
      <c r="O322" t="e">
        <f>Tabella1[[#This Row],[superificie]]*Resa</f>
        <v>#VALUE!</v>
      </c>
      <c r="P322" t="e">
        <f>Tabella1[[#This Row],[KgPezzo]]*Tabella1[[#This Row],[q.ta offerta]]</f>
        <v>#VALUE!</v>
      </c>
      <c r="Q322" t="e">
        <f>RigheOfferte[[#This Row],[QtaProtez]]</f>
        <v>#VALUE!</v>
      </c>
      <c r="R322" t="e">
        <f>RigheOfferte[[#This Row],[Tipo Protezione]]</f>
        <v>#VALUE!</v>
      </c>
    </row>
    <row r="323" spans="1:18">
      <c r="A323" t="e">
        <f>RigheOfferte[[#This Row],[Nprev]]</f>
        <v>#VALUE!</v>
      </c>
      <c r="B323" t="e">
        <f>RigheOfferte[[#This Row],[Nriga]]</f>
        <v>#VALUE!</v>
      </c>
      <c r="C323" t="e">
        <f>RigheOfferte[[#This Row],[Cliente]]</f>
        <v>#VALUE!</v>
      </c>
      <c r="D323" t="e">
        <f>RigheOfferte[[#This Row],[sub_cliente]]</f>
        <v>#VALUE!</v>
      </c>
      <c r="E323" t="e">
        <f>RigheOfferte[[#This Row],[cod.Art.]]</f>
        <v>#VALUE!</v>
      </c>
      <c r="F323" t="e">
        <f>RigheOfferte[[#This Row],[Descrizione]]</f>
        <v>#VALUE!</v>
      </c>
      <c r="G323" t="e">
        <f>RigheOfferte[[#This Row],[Q.ta'']]</f>
        <v>#VALUE!</v>
      </c>
      <c r="H323" t="e">
        <f>RigheOfferte[[#This Row],[Lavorazione]]</f>
        <v>#VALUE!</v>
      </c>
      <c r="I323" t="e">
        <f>RigheOfferte[[#This Row],[Colore]]</f>
        <v>#VALUE!</v>
      </c>
      <c r="J323" t="e">
        <f>RigheOfferte[[#This Row],[Velocità]]</f>
        <v>#VALUE!</v>
      </c>
      <c r="K323" t="e">
        <f>RigheOfferte[[#This Row],[Superf.pz Mq]]</f>
        <v>#VALUE!</v>
      </c>
      <c r="L323" t="e">
        <f>RigheOfferte[[#This Row],[passo]]</f>
        <v>#VALUE!</v>
      </c>
      <c r="M323" t="e">
        <f>RigheOfferte[[#This Row],[nr.pezzi Telaio]]</f>
        <v>#VALUE!</v>
      </c>
      <c r="N323" t="e">
        <f>RigheOfferte[[#This Row],[nr.pezzi ora-unita]]</f>
        <v>#VALUE!</v>
      </c>
      <c r="O323" t="e">
        <f>Tabella1[[#This Row],[superificie]]*Resa</f>
        <v>#VALUE!</v>
      </c>
      <c r="P323" t="e">
        <f>Tabella1[[#This Row],[KgPezzo]]*Tabella1[[#This Row],[q.ta offerta]]</f>
        <v>#VALUE!</v>
      </c>
      <c r="Q323" t="e">
        <f>RigheOfferte[[#This Row],[QtaProtez]]</f>
        <v>#VALUE!</v>
      </c>
      <c r="R323" t="e">
        <f>RigheOfferte[[#This Row],[Tipo Protezione]]</f>
        <v>#VALUE!</v>
      </c>
    </row>
    <row r="324" spans="1:18">
      <c r="A324" t="e">
        <f>RigheOfferte[[#This Row],[Nprev]]</f>
        <v>#VALUE!</v>
      </c>
      <c r="B324" t="e">
        <f>RigheOfferte[[#This Row],[Nriga]]</f>
        <v>#VALUE!</v>
      </c>
      <c r="C324" t="e">
        <f>RigheOfferte[[#This Row],[Cliente]]</f>
        <v>#VALUE!</v>
      </c>
      <c r="D324" t="e">
        <f>RigheOfferte[[#This Row],[sub_cliente]]</f>
        <v>#VALUE!</v>
      </c>
      <c r="E324" t="e">
        <f>RigheOfferte[[#This Row],[cod.Art.]]</f>
        <v>#VALUE!</v>
      </c>
      <c r="F324" t="e">
        <f>RigheOfferte[[#This Row],[Descrizione]]</f>
        <v>#VALUE!</v>
      </c>
      <c r="G324" t="e">
        <f>RigheOfferte[[#This Row],[Q.ta'']]</f>
        <v>#VALUE!</v>
      </c>
      <c r="H324" t="e">
        <f>RigheOfferte[[#This Row],[Lavorazione]]</f>
        <v>#VALUE!</v>
      </c>
      <c r="I324" t="e">
        <f>RigheOfferte[[#This Row],[Colore]]</f>
        <v>#VALUE!</v>
      </c>
      <c r="J324" t="e">
        <f>RigheOfferte[[#This Row],[Velocità]]</f>
        <v>#VALUE!</v>
      </c>
      <c r="K324" t="e">
        <f>RigheOfferte[[#This Row],[Superf.pz Mq]]</f>
        <v>#VALUE!</v>
      </c>
      <c r="L324" t="e">
        <f>RigheOfferte[[#This Row],[passo]]</f>
        <v>#VALUE!</v>
      </c>
      <c r="M324" t="e">
        <f>RigheOfferte[[#This Row],[nr.pezzi Telaio]]</f>
        <v>#VALUE!</v>
      </c>
      <c r="N324" t="e">
        <f>RigheOfferte[[#This Row],[nr.pezzi ora-unita]]</f>
        <v>#VALUE!</v>
      </c>
      <c r="O324" t="e">
        <f>Tabella1[[#This Row],[superificie]]*Resa</f>
        <v>#VALUE!</v>
      </c>
      <c r="P324" t="e">
        <f>Tabella1[[#This Row],[KgPezzo]]*Tabella1[[#This Row],[q.ta offerta]]</f>
        <v>#VALUE!</v>
      </c>
      <c r="Q324" t="e">
        <f>RigheOfferte[[#This Row],[QtaProtez]]</f>
        <v>#VALUE!</v>
      </c>
      <c r="R324" t="e">
        <f>RigheOfferte[[#This Row],[Tipo Protezione]]</f>
        <v>#VALUE!</v>
      </c>
    </row>
    <row r="325" spans="1:18">
      <c r="A325" t="e">
        <f>RigheOfferte[[#This Row],[Nprev]]</f>
        <v>#VALUE!</v>
      </c>
      <c r="B325" t="e">
        <f>RigheOfferte[[#This Row],[Nriga]]</f>
        <v>#VALUE!</v>
      </c>
      <c r="C325" t="e">
        <f>RigheOfferte[[#This Row],[Cliente]]</f>
        <v>#VALUE!</v>
      </c>
      <c r="D325" t="e">
        <f>RigheOfferte[[#This Row],[sub_cliente]]</f>
        <v>#VALUE!</v>
      </c>
      <c r="E325" t="e">
        <f>RigheOfferte[[#This Row],[cod.Art.]]</f>
        <v>#VALUE!</v>
      </c>
      <c r="F325" t="e">
        <f>RigheOfferte[[#This Row],[Descrizione]]</f>
        <v>#VALUE!</v>
      </c>
      <c r="G325" t="e">
        <f>RigheOfferte[[#This Row],[Q.ta'']]</f>
        <v>#VALUE!</v>
      </c>
      <c r="H325" t="e">
        <f>RigheOfferte[[#This Row],[Lavorazione]]</f>
        <v>#VALUE!</v>
      </c>
      <c r="I325" t="e">
        <f>RigheOfferte[[#This Row],[Colore]]</f>
        <v>#VALUE!</v>
      </c>
      <c r="J325" t="e">
        <f>RigheOfferte[[#This Row],[Velocità]]</f>
        <v>#VALUE!</v>
      </c>
      <c r="K325" t="e">
        <f>RigheOfferte[[#This Row],[Superf.pz Mq]]</f>
        <v>#VALUE!</v>
      </c>
      <c r="L325" t="e">
        <f>RigheOfferte[[#This Row],[passo]]</f>
        <v>#VALUE!</v>
      </c>
      <c r="M325" t="e">
        <f>RigheOfferte[[#This Row],[nr.pezzi Telaio]]</f>
        <v>#VALUE!</v>
      </c>
      <c r="N325" t="e">
        <f>RigheOfferte[[#This Row],[nr.pezzi ora-unita]]</f>
        <v>#VALUE!</v>
      </c>
      <c r="O325" t="e">
        <f>Tabella1[[#This Row],[superificie]]*Resa</f>
        <v>#VALUE!</v>
      </c>
      <c r="P325" t="e">
        <f>Tabella1[[#This Row],[KgPezzo]]*Tabella1[[#This Row],[q.ta offerta]]</f>
        <v>#VALUE!</v>
      </c>
      <c r="Q325" t="e">
        <f>RigheOfferte[[#This Row],[QtaProtez]]</f>
        <v>#VALUE!</v>
      </c>
      <c r="R325" t="e">
        <f>RigheOfferte[[#This Row],[Tipo Protezione]]</f>
        <v>#VALUE!</v>
      </c>
    </row>
    <row r="326" spans="1:18">
      <c r="A326" t="e">
        <f>RigheOfferte[[#This Row],[Nprev]]</f>
        <v>#VALUE!</v>
      </c>
      <c r="B326" t="e">
        <f>RigheOfferte[[#This Row],[Nriga]]</f>
        <v>#VALUE!</v>
      </c>
      <c r="C326" t="e">
        <f>RigheOfferte[[#This Row],[Cliente]]</f>
        <v>#VALUE!</v>
      </c>
      <c r="D326" t="e">
        <f>RigheOfferte[[#This Row],[sub_cliente]]</f>
        <v>#VALUE!</v>
      </c>
      <c r="E326" t="e">
        <f>RigheOfferte[[#This Row],[cod.Art.]]</f>
        <v>#VALUE!</v>
      </c>
      <c r="F326" t="e">
        <f>RigheOfferte[[#This Row],[Descrizione]]</f>
        <v>#VALUE!</v>
      </c>
      <c r="G326" t="e">
        <f>RigheOfferte[[#This Row],[Q.ta'']]</f>
        <v>#VALUE!</v>
      </c>
      <c r="H326" t="e">
        <f>RigheOfferte[[#This Row],[Lavorazione]]</f>
        <v>#VALUE!</v>
      </c>
      <c r="I326" t="e">
        <f>RigheOfferte[[#This Row],[Colore]]</f>
        <v>#VALUE!</v>
      </c>
      <c r="J326" t="e">
        <f>RigheOfferte[[#This Row],[Velocità]]</f>
        <v>#VALUE!</v>
      </c>
      <c r="K326" t="e">
        <f>RigheOfferte[[#This Row],[Superf.pz Mq]]</f>
        <v>#VALUE!</v>
      </c>
      <c r="L326" t="e">
        <f>RigheOfferte[[#This Row],[passo]]</f>
        <v>#VALUE!</v>
      </c>
      <c r="M326" t="e">
        <f>RigheOfferte[[#This Row],[nr.pezzi Telaio]]</f>
        <v>#VALUE!</v>
      </c>
      <c r="N326" t="e">
        <f>RigheOfferte[[#This Row],[nr.pezzi ora-unita]]</f>
        <v>#VALUE!</v>
      </c>
      <c r="O326" t="e">
        <f>Tabella1[[#This Row],[superificie]]*Resa</f>
        <v>#VALUE!</v>
      </c>
      <c r="P326" t="e">
        <f>Tabella1[[#This Row],[KgPezzo]]*Tabella1[[#This Row],[q.ta offerta]]</f>
        <v>#VALUE!</v>
      </c>
      <c r="Q326" t="e">
        <f>RigheOfferte[[#This Row],[QtaProtez]]</f>
        <v>#VALUE!</v>
      </c>
      <c r="R326" t="e">
        <f>RigheOfferte[[#This Row],[Tipo Protezione]]</f>
        <v>#VALUE!</v>
      </c>
    </row>
    <row r="327" spans="1:18">
      <c r="A327" t="e">
        <f>RigheOfferte[[#This Row],[Nprev]]</f>
        <v>#VALUE!</v>
      </c>
      <c r="B327" t="e">
        <f>RigheOfferte[[#This Row],[Nriga]]</f>
        <v>#VALUE!</v>
      </c>
      <c r="C327" t="e">
        <f>RigheOfferte[[#This Row],[Cliente]]</f>
        <v>#VALUE!</v>
      </c>
      <c r="D327" t="e">
        <f>RigheOfferte[[#This Row],[sub_cliente]]</f>
        <v>#VALUE!</v>
      </c>
      <c r="E327" t="e">
        <f>RigheOfferte[[#This Row],[cod.Art.]]</f>
        <v>#VALUE!</v>
      </c>
      <c r="F327" t="e">
        <f>RigheOfferte[[#This Row],[Descrizione]]</f>
        <v>#VALUE!</v>
      </c>
      <c r="G327" t="e">
        <f>RigheOfferte[[#This Row],[Q.ta'']]</f>
        <v>#VALUE!</v>
      </c>
      <c r="H327" t="e">
        <f>RigheOfferte[[#This Row],[Lavorazione]]</f>
        <v>#VALUE!</v>
      </c>
      <c r="I327" t="e">
        <f>RigheOfferte[[#This Row],[Colore]]</f>
        <v>#VALUE!</v>
      </c>
      <c r="J327" t="e">
        <f>RigheOfferte[[#This Row],[Velocità]]</f>
        <v>#VALUE!</v>
      </c>
      <c r="K327" t="e">
        <f>RigheOfferte[[#This Row],[Superf.pz Mq]]</f>
        <v>#VALUE!</v>
      </c>
      <c r="L327" t="e">
        <f>RigheOfferte[[#This Row],[passo]]</f>
        <v>#VALUE!</v>
      </c>
      <c r="M327" t="e">
        <f>RigheOfferte[[#This Row],[nr.pezzi Telaio]]</f>
        <v>#VALUE!</v>
      </c>
      <c r="N327" t="e">
        <f>RigheOfferte[[#This Row],[nr.pezzi ora-unita]]</f>
        <v>#VALUE!</v>
      </c>
      <c r="O327" t="e">
        <f>Tabella1[[#This Row],[superificie]]*Resa</f>
        <v>#VALUE!</v>
      </c>
      <c r="P327" t="e">
        <f>Tabella1[[#This Row],[KgPezzo]]*Tabella1[[#This Row],[q.ta offerta]]</f>
        <v>#VALUE!</v>
      </c>
      <c r="Q327" t="e">
        <f>RigheOfferte[[#This Row],[QtaProtez]]</f>
        <v>#VALUE!</v>
      </c>
      <c r="R327" t="e">
        <f>RigheOfferte[[#This Row],[Tipo Protezione]]</f>
        <v>#VALUE!</v>
      </c>
    </row>
    <row r="328" spans="1:18">
      <c r="A328" t="e">
        <f>RigheOfferte[[#This Row],[Nprev]]</f>
        <v>#VALUE!</v>
      </c>
      <c r="B328" t="e">
        <f>RigheOfferte[[#This Row],[Nriga]]</f>
        <v>#VALUE!</v>
      </c>
      <c r="C328" t="e">
        <f>RigheOfferte[[#This Row],[Cliente]]</f>
        <v>#VALUE!</v>
      </c>
      <c r="D328" t="e">
        <f>RigheOfferte[[#This Row],[sub_cliente]]</f>
        <v>#VALUE!</v>
      </c>
      <c r="E328" t="e">
        <f>RigheOfferte[[#This Row],[cod.Art.]]</f>
        <v>#VALUE!</v>
      </c>
      <c r="F328" t="e">
        <f>RigheOfferte[[#This Row],[Descrizione]]</f>
        <v>#VALUE!</v>
      </c>
      <c r="G328" t="e">
        <f>RigheOfferte[[#This Row],[Q.ta'']]</f>
        <v>#VALUE!</v>
      </c>
      <c r="H328" t="e">
        <f>RigheOfferte[[#This Row],[Lavorazione]]</f>
        <v>#VALUE!</v>
      </c>
      <c r="I328" t="e">
        <f>RigheOfferte[[#This Row],[Colore]]</f>
        <v>#VALUE!</v>
      </c>
      <c r="J328" t="e">
        <f>RigheOfferte[[#This Row],[Velocità]]</f>
        <v>#VALUE!</v>
      </c>
      <c r="K328" t="e">
        <f>RigheOfferte[[#This Row],[Superf.pz Mq]]</f>
        <v>#VALUE!</v>
      </c>
      <c r="L328" t="e">
        <f>RigheOfferte[[#This Row],[passo]]</f>
        <v>#VALUE!</v>
      </c>
      <c r="M328" t="e">
        <f>RigheOfferte[[#This Row],[nr.pezzi Telaio]]</f>
        <v>#VALUE!</v>
      </c>
      <c r="N328" t="e">
        <f>RigheOfferte[[#This Row],[nr.pezzi ora-unita]]</f>
        <v>#VALUE!</v>
      </c>
      <c r="O328" t="e">
        <f>Tabella1[[#This Row],[superificie]]*Resa</f>
        <v>#VALUE!</v>
      </c>
      <c r="P328" t="e">
        <f>Tabella1[[#This Row],[KgPezzo]]*Tabella1[[#This Row],[q.ta offerta]]</f>
        <v>#VALUE!</v>
      </c>
      <c r="Q328" t="e">
        <f>RigheOfferte[[#This Row],[QtaProtez]]</f>
        <v>#VALUE!</v>
      </c>
      <c r="R328" t="e">
        <f>RigheOfferte[[#This Row],[Tipo Protezione]]</f>
        <v>#VALUE!</v>
      </c>
    </row>
    <row r="329" spans="1:18">
      <c r="A329" t="e">
        <f>RigheOfferte[[#This Row],[Nprev]]</f>
        <v>#VALUE!</v>
      </c>
      <c r="B329" t="e">
        <f>RigheOfferte[[#This Row],[Nriga]]</f>
        <v>#VALUE!</v>
      </c>
      <c r="C329" t="e">
        <f>RigheOfferte[[#This Row],[Cliente]]</f>
        <v>#VALUE!</v>
      </c>
      <c r="D329" t="e">
        <f>RigheOfferte[[#This Row],[sub_cliente]]</f>
        <v>#VALUE!</v>
      </c>
      <c r="E329" t="e">
        <f>RigheOfferte[[#This Row],[cod.Art.]]</f>
        <v>#VALUE!</v>
      </c>
      <c r="F329" t="e">
        <f>RigheOfferte[[#This Row],[Descrizione]]</f>
        <v>#VALUE!</v>
      </c>
      <c r="G329" t="e">
        <f>RigheOfferte[[#This Row],[Q.ta'']]</f>
        <v>#VALUE!</v>
      </c>
      <c r="H329" t="e">
        <f>RigheOfferte[[#This Row],[Lavorazione]]</f>
        <v>#VALUE!</v>
      </c>
      <c r="I329" t="e">
        <f>RigheOfferte[[#This Row],[Colore]]</f>
        <v>#VALUE!</v>
      </c>
      <c r="J329" t="e">
        <f>RigheOfferte[[#This Row],[Velocità]]</f>
        <v>#VALUE!</v>
      </c>
      <c r="K329" t="e">
        <f>RigheOfferte[[#This Row],[Superf.pz Mq]]</f>
        <v>#VALUE!</v>
      </c>
      <c r="L329" t="e">
        <f>RigheOfferte[[#This Row],[passo]]</f>
        <v>#VALUE!</v>
      </c>
      <c r="M329" t="e">
        <f>RigheOfferte[[#This Row],[nr.pezzi Telaio]]</f>
        <v>#VALUE!</v>
      </c>
      <c r="N329" t="e">
        <f>RigheOfferte[[#This Row],[nr.pezzi ora-unita]]</f>
        <v>#VALUE!</v>
      </c>
      <c r="O329" t="e">
        <f>Tabella1[[#This Row],[superificie]]*Resa</f>
        <v>#VALUE!</v>
      </c>
      <c r="P329" t="e">
        <f>Tabella1[[#This Row],[KgPezzo]]*Tabella1[[#This Row],[q.ta offerta]]</f>
        <v>#VALUE!</v>
      </c>
      <c r="Q329" t="e">
        <f>RigheOfferte[[#This Row],[QtaProtez]]</f>
        <v>#VALUE!</v>
      </c>
      <c r="R329" t="e">
        <f>RigheOfferte[[#This Row],[Tipo Protezione]]</f>
        <v>#VALUE!</v>
      </c>
    </row>
    <row r="330" spans="1:18">
      <c r="A330" t="e">
        <f>RigheOfferte[[#This Row],[Nprev]]</f>
        <v>#VALUE!</v>
      </c>
      <c r="B330" t="e">
        <f>RigheOfferte[[#This Row],[Nriga]]</f>
        <v>#VALUE!</v>
      </c>
      <c r="C330" t="e">
        <f>RigheOfferte[[#This Row],[Cliente]]</f>
        <v>#VALUE!</v>
      </c>
      <c r="D330" t="e">
        <f>RigheOfferte[[#This Row],[sub_cliente]]</f>
        <v>#VALUE!</v>
      </c>
      <c r="E330" t="e">
        <f>RigheOfferte[[#This Row],[cod.Art.]]</f>
        <v>#VALUE!</v>
      </c>
      <c r="F330" t="e">
        <f>RigheOfferte[[#This Row],[Descrizione]]</f>
        <v>#VALUE!</v>
      </c>
      <c r="G330" t="e">
        <f>RigheOfferte[[#This Row],[Q.ta'']]</f>
        <v>#VALUE!</v>
      </c>
      <c r="H330" t="e">
        <f>RigheOfferte[[#This Row],[Lavorazione]]</f>
        <v>#VALUE!</v>
      </c>
      <c r="I330" t="e">
        <f>RigheOfferte[[#This Row],[Colore]]</f>
        <v>#VALUE!</v>
      </c>
      <c r="J330" t="e">
        <f>RigheOfferte[[#This Row],[Velocità]]</f>
        <v>#VALUE!</v>
      </c>
      <c r="K330" t="e">
        <f>RigheOfferte[[#This Row],[Superf.pz Mq]]</f>
        <v>#VALUE!</v>
      </c>
      <c r="L330" t="e">
        <f>RigheOfferte[[#This Row],[passo]]</f>
        <v>#VALUE!</v>
      </c>
      <c r="M330" t="e">
        <f>RigheOfferte[[#This Row],[nr.pezzi Telaio]]</f>
        <v>#VALUE!</v>
      </c>
      <c r="N330" t="e">
        <f>RigheOfferte[[#This Row],[nr.pezzi ora-unita]]</f>
        <v>#VALUE!</v>
      </c>
      <c r="O330" t="e">
        <f>Tabella1[[#This Row],[superificie]]*Resa</f>
        <v>#VALUE!</v>
      </c>
      <c r="P330" t="e">
        <f>Tabella1[[#This Row],[KgPezzo]]*Tabella1[[#This Row],[q.ta offerta]]</f>
        <v>#VALUE!</v>
      </c>
      <c r="Q330" t="e">
        <f>RigheOfferte[[#This Row],[QtaProtez]]</f>
        <v>#VALUE!</v>
      </c>
      <c r="R330" t="e">
        <f>RigheOfferte[[#This Row],[Tipo Protezione]]</f>
        <v>#VALUE!</v>
      </c>
    </row>
    <row r="331" spans="1:18">
      <c r="A331" t="e">
        <f>RigheOfferte[[#This Row],[Nprev]]</f>
        <v>#VALUE!</v>
      </c>
      <c r="B331" t="e">
        <f>RigheOfferte[[#This Row],[Nriga]]</f>
        <v>#VALUE!</v>
      </c>
      <c r="C331" t="e">
        <f>RigheOfferte[[#This Row],[Cliente]]</f>
        <v>#VALUE!</v>
      </c>
      <c r="D331" t="e">
        <f>RigheOfferte[[#This Row],[sub_cliente]]</f>
        <v>#VALUE!</v>
      </c>
      <c r="E331" t="e">
        <f>RigheOfferte[[#This Row],[cod.Art.]]</f>
        <v>#VALUE!</v>
      </c>
      <c r="F331" t="e">
        <f>RigheOfferte[[#This Row],[Descrizione]]</f>
        <v>#VALUE!</v>
      </c>
      <c r="G331" t="e">
        <f>RigheOfferte[[#This Row],[Q.ta'']]</f>
        <v>#VALUE!</v>
      </c>
      <c r="H331" t="e">
        <f>RigheOfferte[[#This Row],[Lavorazione]]</f>
        <v>#VALUE!</v>
      </c>
      <c r="I331" t="e">
        <f>RigheOfferte[[#This Row],[Colore]]</f>
        <v>#VALUE!</v>
      </c>
      <c r="J331" t="e">
        <f>RigheOfferte[[#This Row],[Velocità]]</f>
        <v>#VALUE!</v>
      </c>
      <c r="K331" t="e">
        <f>RigheOfferte[[#This Row],[Superf.pz Mq]]</f>
        <v>#VALUE!</v>
      </c>
      <c r="L331" t="e">
        <f>RigheOfferte[[#This Row],[passo]]</f>
        <v>#VALUE!</v>
      </c>
      <c r="M331" t="e">
        <f>RigheOfferte[[#This Row],[nr.pezzi Telaio]]</f>
        <v>#VALUE!</v>
      </c>
      <c r="N331" t="e">
        <f>RigheOfferte[[#This Row],[nr.pezzi ora-unita]]</f>
        <v>#VALUE!</v>
      </c>
      <c r="O331" t="e">
        <f>Tabella1[[#This Row],[superificie]]*Resa</f>
        <v>#VALUE!</v>
      </c>
      <c r="P331" t="e">
        <f>Tabella1[[#This Row],[KgPezzo]]*Tabella1[[#This Row],[q.ta offerta]]</f>
        <v>#VALUE!</v>
      </c>
      <c r="Q331" t="e">
        <f>RigheOfferte[[#This Row],[QtaProtez]]</f>
        <v>#VALUE!</v>
      </c>
      <c r="R331" t="e">
        <f>RigheOfferte[[#This Row],[Tipo Protezione]]</f>
        <v>#VALUE!</v>
      </c>
    </row>
    <row r="332" spans="1:18">
      <c r="A332" t="e">
        <f>RigheOfferte[[#This Row],[Nprev]]</f>
        <v>#VALUE!</v>
      </c>
      <c r="B332" t="e">
        <f>RigheOfferte[[#This Row],[Nriga]]</f>
        <v>#VALUE!</v>
      </c>
      <c r="C332" t="e">
        <f>RigheOfferte[[#This Row],[Cliente]]</f>
        <v>#VALUE!</v>
      </c>
      <c r="D332" t="e">
        <f>RigheOfferte[[#This Row],[sub_cliente]]</f>
        <v>#VALUE!</v>
      </c>
      <c r="E332" t="e">
        <f>RigheOfferte[[#This Row],[cod.Art.]]</f>
        <v>#VALUE!</v>
      </c>
      <c r="F332" t="e">
        <f>RigheOfferte[[#This Row],[Descrizione]]</f>
        <v>#VALUE!</v>
      </c>
      <c r="G332" t="e">
        <f>RigheOfferte[[#This Row],[Q.ta'']]</f>
        <v>#VALUE!</v>
      </c>
      <c r="H332" t="e">
        <f>RigheOfferte[[#This Row],[Lavorazione]]</f>
        <v>#VALUE!</v>
      </c>
      <c r="I332" t="e">
        <f>RigheOfferte[[#This Row],[Colore]]</f>
        <v>#VALUE!</v>
      </c>
      <c r="J332" t="e">
        <f>RigheOfferte[[#This Row],[Velocità]]</f>
        <v>#VALUE!</v>
      </c>
      <c r="K332" t="e">
        <f>RigheOfferte[[#This Row],[Superf.pz Mq]]</f>
        <v>#VALUE!</v>
      </c>
      <c r="L332" t="e">
        <f>RigheOfferte[[#This Row],[passo]]</f>
        <v>#VALUE!</v>
      </c>
      <c r="M332" t="e">
        <f>RigheOfferte[[#This Row],[nr.pezzi Telaio]]</f>
        <v>#VALUE!</v>
      </c>
      <c r="N332" t="e">
        <f>RigheOfferte[[#This Row],[nr.pezzi ora-unita]]</f>
        <v>#VALUE!</v>
      </c>
      <c r="O332" t="e">
        <f>Tabella1[[#This Row],[superificie]]*Resa</f>
        <v>#VALUE!</v>
      </c>
      <c r="P332" t="e">
        <f>Tabella1[[#This Row],[KgPezzo]]*Tabella1[[#This Row],[q.ta offerta]]</f>
        <v>#VALUE!</v>
      </c>
      <c r="Q332" t="e">
        <f>RigheOfferte[[#This Row],[QtaProtez]]</f>
        <v>#VALUE!</v>
      </c>
      <c r="R332" t="e">
        <f>RigheOfferte[[#This Row],[Tipo Protezione]]</f>
        <v>#VALUE!</v>
      </c>
    </row>
    <row r="333" spans="1:18">
      <c r="A333" t="e">
        <f>RigheOfferte[[#This Row],[Nprev]]</f>
        <v>#VALUE!</v>
      </c>
      <c r="B333" t="e">
        <f>RigheOfferte[[#This Row],[Nriga]]</f>
        <v>#VALUE!</v>
      </c>
      <c r="C333" t="e">
        <f>RigheOfferte[[#This Row],[Cliente]]</f>
        <v>#VALUE!</v>
      </c>
      <c r="D333" t="e">
        <f>RigheOfferte[[#This Row],[sub_cliente]]</f>
        <v>#VALUE!</v>
      </c>
      <c r="E333" t="e">
        <f>RigheOfferte[[#This Row],[cod.Art.]]</f>
        <v>#VALUE!</v>
      </c>
      <c r="F333" t="e">
        <f>RigheOfferte[[#This Row],[Descrizione]]</f>
        <v>#VALUE!</v>
      </c>
      <c r="G333" t="e">
        <f>RigheOfferte[[#This Row],[Q.ta'']]</f>
        <v>#VALUE!</v>
      </c>
      <c r="H333" t="e">
        <f>RigheOfferte[[#This Row],[Lavorazione]]</f>
        <v>#VALUE!</v>
      </c>
      <c r="I333" t="e">
        <f>RigheOfferte[[#This Row],[Colore]]</f>
        <v>#VALUE!</v>
      </c>
      <c r="J333" t="e">
        <f>RigheOfferte[[#This Row],[Velocità]]</f>
        <v>#VALUE!</v>
      </c>
      <c r="K333" t="e">
        <f>RigheOfferte[[#This Row],[Superf.pz Mq]]</f>
        <v>#VALUE!</v>
      </c>
      <c r="L333" t="e">
        <f>RigheOfferte[[#This Row],[passo]]</f>
        <v>#VALUE!</v>
      </c>
      <c r="M333" t="e">
        <f>RigheOfferte[[#This Row],[nr.pezzi Telaio]]</f>
        <v>#VALUE!</v>
      </c>
      <c r="N333" t="e">
        <f>RigheOfferte[[#This Row],[nr.pezzi ora-unita]]</f>
        <v>#VALUE!</v>
      </c>
      <c r="O333" t="e">
        <f>Tabella1[[#This Row],[superificie]]*Resa</f>
        <v>#VALUE!</v>
      </c>
      <c r="P333" t="e">
        <f>Tabella1[[#This Row],[KgPezzo]]*Tabella1[[#This Row],[q.ta offerta]]</f>
        <v>#VALUE!</v>
      </c>
      <c r="Q333" t="e">
        <f>RigheOfferte[[#This Row],[QtaProtez]]</f>
        <v>#VALUE!</v>
      </c>
      <c r="R333" t="e">
        <f>RigheOfferte[[#This Row],[Tipo Protezione]]</f>
        <v>#VALUE!</v>
      </c>
    </row>
    <row r="334" spans="1:18">
      <c r="A334" t="e">
        <f>RigheOfferte[[#This Row],[Nprev]]</f>
        <v>#VALUE!</v>
      </c>
      <c r="B334" t="e">
        <f>RigheOfferte[[#This Row],[Nriga]]</f>
        <v>#VALUE!</v>
      </c>
      <c r="C334" t="e">
        <f>RigheOfferte[[#This Row],[Cliente]]</f>
        <v>#VALUE!</v>
      </c>
      <c r="D334" t="e">
        <f>RigheOfferte[[#This Row],[sub_cliente]]</f>
        <v>#VALUE!</v>
      </c>
      <c r="E334" t="e">
        <f>RigheOfferte[[#This Row],[cod.Art.]]</f>
        <v>#VALUE!</v>
      </c>
      <c r="F334" t="e">
        <f>RigheOfferte[[#This Row],[Descrizione]]</f>
        <v>#VALUE!</v>
      </c>
      <c r="G334" t="e">
        <f>RigheOfferte[[#This Row],[Q.ta'']]</f>
        <v>#VALUE!</v>
      </c>
      <c r="H334" t="e">
        <f>RigheOfferte[[#This Row],[Lavorazione]]</f>
        <v>#VALUE!</v>
      </c>
      <c r="I334" t="e">
        <f>RigheOfferte[[#This Row],[Colore]]</f>
        <v>#VALUE!</v>
      </c>
      <c r="J334" t="e">
        <f>RigheOfferte[[#This Row],[Velocità]]</f>
        <v>#VALUE!</v>
      </c>
      <c r="K334" t="e">
        <f>RigheOfferte[[#This Row],[Superf.pz Mq]]</f>
        <v>#VALUE!</v>
      </c>
      <c r="L334" t="e">
        <f>RigheOfferte[[#This Row],[passo]]</f>
        <v>#VALUE!</v>
      </c>
      <c r="M334" t="e">
        <f>RigheOfferte[[#This Row],[nr.pezzi Telaio]]</f>
        <v>#VALUE!</v>
      </c>
      <c r="N334" t="e">
        <f>RigheOfferte[[#This Row],[nr.pezzi ora-unita]]</f>
        <v>#VALUE!</v>
      </c>
      <c r="O334" t="e">
        <f>Tabella1[[#This Row],[superificie]]*Resa</f>
        <v>#VALUE!</v>
      </c>
      <c r="P334" t="e">
        <f>Tabella1[[#This Row],[KgPezzo]]*Tabella1[[#This Row],[q.ta offerta]]</f>
        <v>#VALUE!</v>
      </c>
      <c r="Q334" t="e">
        <f>RigheOfferte[[#This Row],[QtaProtez]]</f>
        <v>#VALUE!</v>
      </c>
      <c r="R334" t="e">
        <f>RigheOfferte[[#This Row],[Tipo Protezione]]</f>
        <v>#VALUE!</v>
      </c>
    </row>
    <row r="335" spans="1:18">
      <c r="A335" t="e">
        <f>RigheOfferte[[#This Row],[Nprev]]</f>
        <v>#VALUE!</v>
      </c>
      <c r="B335" t="e">
        <f>RigheOfferte[[#This Row],[Nriga]]</f>
        <v>#VALUE!</v>
      </c>
      <c r="C335" t="e">
        <f>RigheOfferte[[#This Row],[Cliente]]</f>
        <v>#VALUE!</v>
      </c>
      <c r="D335" t="e">
        <f>RigheOfferte[[#This Row],[sub_cliente]]</f>
        <v>#VALUE!</v>
      </c>
      <c r="E335" t="e">
        <f>RigheOfferte[[#This Row],[cod.Art.]]</f>
        <v>#VALUE!</v>
      </c>
      <c r="F335" t="e">
        <f>RigheOfferte[[#This Row],[Descrizione]]</f>
        <v>#VALUE!</v>
      </c>
      <c r="G335" t="e">
        <f>RigheOfferte[[#This Row],[Q.ta'']]</f>
        <v>#VALUE!</v>
      </c>
      <c r="H335" t="e">
        <f>RigheOfferte[[#This Row],[Lavorazione]]</f>
        <v>#VALUE!</v>
      </c>
      <c r="I335" t="e">
        <f>RigheOfferte[[#This Row],[Colore]]</f>
        <v>#VALUE!</v>
      </c>
      <c r="J335" t="e">
        <f>RigheOfferte[[#This Row],[Velocità]]</f>
        <v>#VALUE!</v>
      </c>
      <c r="K335" t="e">
        <f>RigheOfferte[[#This Row],[Superf.pz Mq]]</f>
        <v>#VALUE!</v>
      </c>
      <c r="L335" t="e">
        <f>RigheOfferte[[#This Row],[passo]]</f>
        <v>#VALUE!</v>
      </c>
      <c r="M335" t="e">
        <f>RigheOfferte[[#This Row],[nr.pezzi Telaio]]</f>
        <v>#VALUE!</v>
      </c>
      <c r="N335" t="e">
        <f>RigheOfferte[[#This Row],[nr.pezzi ora-unita]]</f>
        <v>#VALUE!</v>
      </c>
      <c r="O335" t="e">
        <f>Tabella1[[#This Row],[superificie]]*Resa</f>
        <v>#VALUE!</v>
      </c>
      <c r="P335" t="e">
        <f>Tabella1[[#This Row],[KgPezzo]]*Tabella1[[#This Row],[q.ta offerta]]</f>
        <v>#VALUE!</v>
      </c>
      <c r="Q335" t="e">
        <f>RigheOfferte[[#This Row],[QtaProtez]]</f>
        <v>#VALUE!</v>
      </c>
      <c r="R335" t="e">
        <f>RigheOfferte[[#This Row],[Tipo Protezione]]</f>
        <v>#VALUE!</v>
      </c>
    </row>
    <row r="336" spans="1:18">
      <c r="A336" t="e">
        <f>RigheOfferte[[#This Row],[Nprev]]</f>
        <v>#VALUE!</v>
      </c>
      <c r="B336" t="e">
        <f>RigheOfferte[[#This Row],[Nriga]]</f>
        <v>#VALUE!</v>
      </c>
      <c r="C336" t="e">
        <f>RigheOfferte[[#This Row],[Cliente]]</f>
        <v>#VALUE!</v>
      </c>
      <c r="D336" t="e">
        <f>RigheOfferte[[#This Row],[sub_cliente]]</f>
        <v>#VALUE!</v>
      </c>
      <c r="E336" t="e">
        <f>RigheOfferte[[#This Row],[cod.Art.]]</f>
        <v>#VALUE!</v>
      </c>
      <c r="F336" t="e">
        <f>RigheOfferte[[#This Row],[Descrizione]]</f>
        <v>#VALUE!</v>
      </c>
      <c r="G336" t="e">
        <f>RigheOfferte[[#This Row],[Q.ta'']]</f>
        <v>#VALUE!</v>
      </c>
      <c r="H336" t="e">
        <f>RigheOfferte[[#This Row],[Lavorazione]]</f>
        <v>#VALUE!</v>
      </c>
      <c r="I336" t="e">
        <f>RigheOfferte[[#This Row],[Colore]]</f>
        <v>#VALUE!</v>
      </c>
      <c r="J336" t="e">
        <f>RigheOfferte[[#This Row],[Velocità]]</f>
        <v>#VALUE!</v>
      </c>
      <c r="K336" t="e">
        <f>RigheOfferte[[#This Row],[Superf.pz Mq]]</f>
        <v>#VALUE!</v>
      </c>
      <c r="L336" t="e">
        <f>RigheOfferte[[#This Row],[passo]]</f>
        <v>#VALUE!</v>
      </c>
      <c r="M336" t="e">
        <f>RigheOfferte[[#This Row],[nr.pezzi Telaio]]</f>
        <v>#VALUE!</v>
      </c>
      <c r="N336" t="e">
        <f>RigheOfferte[[#This Row],[nr.pezzi ora-unita]]</f>
        <v>#VALUE!</v>
      </c>
      <c r="O336" t="e">
        <f>Tabella1[[#This Row],[superificie]]*Resa</f>
        <v>#VALUE!</v>
      </c>
      <c r="P336" t="e">
        <f>Tabella1[[#This Row],[KgPezzo]]*Tabella1[[#This Row],[q.ta offerta]]</f>
        <v>#VALUE!</v>
      </c>
      <c r="Q336" t="e">
        <f>RigheOfferte[[#This Row],[QtaProtez]]</f>
        <v>#VALUE!</v>
      </c>
      <c r="R336" t="e">
        <f>RigheOfferte[[#This Row],[Tipo Protezione]]</f>
        <v>#VALUE!</v>
      </c>
    </row>
    <row r="337" spans="1:18">
      <c r="A337" t="e">
        <f>RigheOfferte[[#This Row],[Nprev]]</f>
        <v>#VALUE!</v>
      </c>
      <c r="B337" t="e">
        <f>RigheOfferte[[#This Row],[Nriga]]</f>
        <v>#VALUE!</v>
      </c>
      <c r="C337" t="e">
        <f>RigheOfferte[[#This Row],[Cliente]]</f>
        <v>#VALUE!</v>
      </c>
      <c r="D337" t="e">
        <f>RigheOfferte[[#This Row],[sub_cliente]]</f>
        <v>#VALUE!</v>
      </c>
      <c r="E337" t="e">
        <f>RigheOfferte[[#This Row],[cod.Art.]]</f>
        <v>#VALUE!</v>
      </c>
      <c r="F337" t="e">
        <f>RigheOfferte[[#This Row],[Descrizione]]</f>
        <v>#VALUE!</v>
      </c>
      <c r="G337" t="e">
        <f>RigheOfferte[[#This Row],[Q.ta'']]</f>
        <v>#VALUE!</v>
      </c>
      <c r="H337" t="e">
        <f>RigheOfferte[[#This Row],[Lavorazione]]</f>
        <v>#VALUE!</v>
      </c>
      <c r="I337" t="e">
        <f>RigheOfferte[[#This Row],[Colore]]</f>
        <v>#VALUE!</v>
      </c>
      <c r="J337" t="e">
        <f>RigheOfferte[[#This Row],[Velocità]]</f>
        <v>#VALUE!</v>
      </c>
      <c r="K337" t="e">
        <f>RigheOfferte[[#This Row],[Superf.pz Mq]]</f>
        <v>#VALUE!</v>
      </c>
      <c r="L337" t="e">
        <f>RigheOfferte[[#This Row],[passo]]</f>
        <v>#VALUE!</v>
      </c>
      <c r="M337" t="e">
        <f>RigheOfferte[[#This Row],[nr.pezzi Telaio]]</f>
        <v>#VALUE!</v>
      </c>
      <c r="N337" t="e">
        <f>RigheOfferte[[#This Row],[nr.pezzi ora-unita]]</f>
        <v>#VALUE!</v>
      </c>
      <c r="O337" t="e">
        <f>Tabella1[[#This Row],[superificie]]*Resa</f>
        <v>#VALUE!</v>
      </c>
      <c r="P337" t="e">
        <f>Tabella1[[#This Row],[KgPezzo]]*Tabella1[[#This Row],[q.ta offerta]]</f>
        <v>#VALUE!</v>
      </c>
      <c r="Q337" t="e">
        <f>RigheOfferte[[#This Row],[QtaProtez]]</f>
        <v>#VALUE!</v>
      </c>
      <c r="R337" t="e">
        <f>RigheOfferte[[#This Row],[Tipo Protezione]]</f>
        <v>#VALUE!</v>
      </c>
    </row>
    <row r="338" spans="1:18">
      <c r="A338" t="e">
        <f>RigheOfferte[[#This Row],[Nprev]]</f>
        <v>#VALUE!</v>
      </c>
      <c r="B338" t="e">
        <f>RigheOfferte[[#This Row],[Nriga]]</f>
        <v>#VALUE!</v>
      </c>
      <c r="C338" t="e">
        <f>RigheOfferte[[#This Row],[Cliente]]</f>
        <v>#VALUE!</v>
      </c>
      <c r="D338" t="e">
        <f>RigheOfferte[[#This Row],[sub_cliente]]</f>
        <v>#VALUE!</v>
      </c>
      <c r="E338" t="e">
        <f>RigheOfferte[[#This Row],[cod.Art.]]</f>
        <v>#VALUE!</v>
      </c>
      <c r="F338" t="e">
        <f>RigheOfferte[[#This Row],[Descrizione]]</f>
        <v>#VALUE!</v>
      </c>
      <c r="G338" t="e">
        <f>RigheOfferte[[#This Row],[Q.ta'']]</f>
        <v>#VALUE!</v>
      </c>
      <c r="H338" t="e">
        <f>RigheOfferte[[#This Row],[Lavorazione]]</f>
        <v>#VALUE!</v>
      </c>
      <c r="I338" t="e">
        <f>RigheOfferte[[#This Row],[Colore]]</f>
        <v>#VALUE!</v>
      </c>
      <c r="J338" t="e">
        <f>RigheOfferte[[#This Row],[Velocità]]</f>
        <v>#VALUE!</v>
      </c>
      <c r="K338" t="e">
        <f>RigheOfferte[[#This Row],[Superf.pz Mq]]</f>
        <v>#VALUE!</v>
      </c>
      <c r="L338" t="e">
        <f>RigheOfferte[[#This Row],[passo]]</f>
        <v>#VALUE!</v>
      </c>
      <c r="M338" t="e">
        <f>RigheOfferte[[#This Row],[nr.pezzi Telaio]]</f>
        <v>#VALUE!</v>
      </c>
      <c r="N338" t="e">
        <f>RigheOfferte[[#This Row],[nr.pezzi ora-unita]]</f>
        <v>#VALUE!</v>
      </c>
      <c r="O338" t="e">
        <f>Tabella1[[#This Row],[superificie]]*Resa</f>
        <v>#VALUE!</v>
      </c>
      <c r="P338" t="e">
        <f>Tabella1[[#This Row],[KgPezzo]]*Tabella1[[#This Row],[q.ta offerta]]</f>
        <v>#VALUE!</v>
      </c>
      <c r="Q338" t="e">
        <f>RigheOfferte[[#This Row],[QtaProtez]]</f>
        <v>#VALUE!</v>
      </c>
      <c r="R338" t="e">
        <f>RigheOfferte[[#This Row],[Tipo Protezione]]</f>
        <v>#VALUE!</v>
      </c>
    </row>
    <row r="339" spans="1:18">
      <c r="A339" t="e">
        <f>RigheOfferte[[#This Row],[Nprev]]</f>
        <v>#VALUE!</v>
      </c>
      <c r="B339" t="e">
        <f>RigheOfferte[[#This Row],[Nriga]]</f>
        <v>#VALUE!</v>
      </c>
      <c r="C339" t="e">
        <f>RigheOfferte[[#This Row],[Cliente]]</f>
        <v>#VALUE!</v>
      </c>
      <c r="D339" t="e">
        <f>RigheOfferte[[#This Row],[sub_cliente]]</f>
        <v>#VALUE!</v>
      </c>
      <c r="E339" t="e">
        <f>RigheOfferte[[#This Row],[cod.Art.]]</f>
        <v>#VALUE!</v>
      </c>
      <c r="F339" t="e">
        <f>RigheOfferte[[#This Row],[Descrizione]]</f>
        <v>#VALUE!</v>
      </c>
      <c r="G339" t="e">
        <f>RigheOfferte[[#This Row],[Q.ta'']]</f>
        <v>#VALUE!</v>
      </c>
      <c r="H339" t="e">
        <f>RigheOfferte[[#This Row],[Lavorazione]]</f>
        <v>#VALUE!</v>
      </c>
      <c r="I339" t="e">
        <f>RigheOfferte[[#This Row],[Colore]]</f>
        <v>#VALUE!</v>
      </c>
      <c r="J339" t="e">
        <f>RigheOfferte[[#This Row],[Velocità]]</f>
        <v>#VALUE!</v>
      </c>
      <c r="K339" t="e">
        <f>RigheOfferte[[#This Row],[Superf.pz Mq]]</f>
        <v>#VALUE!</v>
      </c>
      <c r="L339" t="e">
        <f>RigheOfferte[[#This Row],[passo]]</f>
        <v>#VALUE!</v>
      </c>
      <c r="M339" t="e">
        <f>RigheOfferte[[#This Row],[nr.pezzi Telaio]]</f>
        <v>#VALUE!</v>
      </c>
      <c r="N339" t="e">
        <f>RigheOfferte[[#This Row],[nr.pezzi ora-unita]]</f>
        <v>#VALUE!</v>
      </c>
      <c r="O339" t="e">
        <f>Tabella1[[#This Row],[superificie]]*Resa</f>
        <v>#VALUE!</v>
      </c>
      <c r="P339" t="e">
        <f>Tabella1[[#This Row],[KgPezzo]]*Tabella1[[#This Row],[q.ta offerta]]</f>
        <v>#VALUE!</v>
      </c>
      <c r="Q339" t="e">
        <f>RigheOfferte[[#This Row],[QtaProtez]]</f>
        <v>#VALUE!</v>
      </c>
      <c r="R339" t="e">
        <f>RigheOfferte[[#This Row],[Tipo Protezione]]</f>
        <v>#VALUE!</v>
      </c>
    </row>
    <row r="340" spans="1:18">
      <c r="A340" t="e">
        <f>RigheOfferte[[#This Row],[Nprev]]</f>
        <v>#VALUE!</v>
      </c>
      <c r="B340" t="e">
        <f>RigheOfferte[[#This Row],[Nriga]]</f>
        <v>#VALUE!</v>
      </c>
      <c r="C340" t="e">
        <f>RigheOfferte[[#This Row],[Cliente]]</f>
        <v>#VALUE!</v>
      </c>
      <c r="D340" t="e">
        <f>RigheOfferte[[#This Row],[sub_cliente]]</f>
        <v>#VALUE!</v>
      </c>
      <c r="E340" t="e">
        <f>RigheOfferte[[#This Row],[cod.Art.]]</f>
        <v>#VALUE!</v>
      </c>
      <c r="F340" t="e">
        <f>RigheOfferte[[#This Row],[Descrizione]]</f>
        <v>#VALUE!</v>
      </c>
      <c r="G340" t="e">
        <f>RigheOfferte[[#This Row],[Q.ta'']]</f>
        <v>#VALUE!</v>
      </c>
      <c r="H340" t="e">
        <f>RigheOfferte[[#This Row],[Lavorazione]]</f>
        <v>#VALUE!</v>
      </c>
      <c r="I340" t="e">
        <f>RigheOfferte[[#This Row],[Colore]]</f>
        <v>#VALUE!</v>
      </c>
      <c r="J340" t="e">
        <f>RigheOfferte[[#This Row],[Velocità]]</f>
        <v>#VALUE!</v>
      </c>
      <c r="K340" t="e">
        <f>RigheOfferte[[#This Row],[Superf.pz Mq]]</f>
        <v>#VALUE!</v>
      </c>
      <c r="L340" t="e">
        <f>RigheOfferte[[#This Row],[passo]]</f>
        <v>#VALUE!</v>
      </c>
      <c r="M340" t="e">
        <f>RigheOfferte[[#This Row],[nr.pezzi Telaio]]</f>
        <v>#VALUE!</v>
      </c>
      <c r="N340" t="e">
        <f>RigheOfferte[[#This Row],[nr.pezzi ora-unita]]</f>
        <v>#VALUE!</v>
      </c>
      <c r="O340" t="e">
        <f>Tabella1[[#This Row],[superificie]]*Resa</f>
        <v>#VALUE!</v>
      </c>
      <c r="P340" t="e">
        <f>Tabella1[[#This Row],[KgPezzo]]*Tabella1[[#This Row],[q.ta offerta]]</f>
        <v>#VALUE!</v>
      </c>
      <c r="Q340" t="e">
        <f>RigheOfferte[[#This Row],[QtaProtez]]</f>
        <v>#VALUE!</v>
      </c>
      <c r="R340" t="e">
        <f>RigheOfferte[[#This Row],[Tipo Protezione]]</f>
        <v>#VALUE!</v>
      </c>
    </row>
    <row r="341" spans="1:18">
      <c r="A341" t="e">
        <f>RigheOfferte[[#This Row],[Nprev]]</f>
        <v>#VALUE!</v>
      </c>
      <c r="B341" t="e">
        <f>RigheOfferte[[#This Row],[Nriga]]</f>
        <v>#VALUE!</v>
      </c>
      <c r="C341" t="e">
        <f>RigheOfferte[[#This Row],[Cliente]]</f>
        <v>#VALUE!</v>
      </c>
      <c r="D341" t="e">
        <f>RigheOfferte[[#This Row],[sub_cliente]]</f>
        <v>#VALUE!</v>
      </c>
      <c r="E341" t="e">
        <f>RigheOfferte[[#This Row],[cod.Art.]]</f>
        <v>#VALUE!</v>
      </c>
      <c r="F341" t="e">
        <f>RigheOfferte[[#This Row],[Descrizione]]</f>
        <v>#VALUE!</v>
      </c>
      <c r="G341" t="e">
        <f>RigheOfferte[[#This Row],[Q.ta'']]</f>
        <v>#VALUE!</v>
      </c>
      <c r="H341" t="e">
        <f>RigheOfferte[[#This Row],[Lavorazione]]</f>
        <v>#VALUE!</v>
      </c>
      <c r="I341" t="e">
        <f>RigheOfferte[[#This Row],[Colore]]</f>
        <v>#VALUE!</v>
      </c>
      <c r="J341" t="e">
        <f>RigheOfferte[[#This Row],[Velocità]]</f>
        <v>#VALUE!</v>
      </c>
      <c r="K341" t="e">
        <f>RigheOfferte[[#This Row],[Superf.pz Mq]]</f>
        <v>#VALUE!</v>
      </c>
      <c r="L341" t="e">
        <f>RigheOfferte[[#This Row],[passo]]</f>
        <v>#VALUE!</v>
      </c>
      <c r="M341" t="e">
        <f>RigheOfferte[[#This Row],[nr.pezzi Telaio]]</f>
        <v>#VALUE!</v>
      </c>
      <c r="N341" t="e">
        <f>RigheOfferte[[#This Row],[nr.pezzi ora-unita]]</f>
        <v>#VALUE!</v>
      </c>
      <c r="O341" t="e">
        <f>Tabella1[[#This Row],[superificie]]*Resa</f>
        <v>#VALUE!</v>
      </c>
      <c r="P341" t="e">
        <f>Tabella1[[#This Row],[KgPezzo]]*Tabella1[[#This Row],[q.ta offerta]]</f>
        <v>#VALUE!</v>
      </c>
      <c r="Q341" t="e">
        <f>RigheOfferte[[#This Row],[QtaProtez]]</f>
        <v>#VALUE!</v>
      </c>
      <c r="R341" t="e">
        <f>RigheOfferte[[#This Row],[Tipo Protezione]]</f>
        <v>#VALUE!</v>
      </c>
    </row>
    <row r="342" spans="1:18">
      <c r="A342" t="e">
        <f>RigheOfferte[[#This Row],[Nprev]]</f>
        <v>#VALUE!</v>
      </c>
      <c r="B342" t="e">
        <f>RigheOfferte[[#This Row],[Nriga]]</f>
        <v>#VALUE!</v>
      </c>
      <c r="C342" t="e">
        <f>RigheOfferte[[#This Row],[Cliente]]</f>
        <v>#VALUE!</v>
      </c>
      <c r="D342" t="e">
        <f>RigheOfferte[[#This Row],[sub_cliente]]</f>
        <v>#VALUE!</v>
      </c>
      <c r="E342" t="e">
        <f>RigheOfferte[[#This Row],[cod.Art.]]</f>
        <v>#VALUE!</v>
      </c>
      <c r="F342" t="e">
        <f>RigheOfferte[[#This Row],[Descrizione]]</f>
        <v>#VALUE!</v>
      </c>
      <c r="G342" t="e">
        <f>RigheOfferte[[#This Row],[Q.ta'']]</f>
        <v>#VALUE!</v>
      </c>
      <c r="H342" t="e">
        <f>RigheOfferte[[#This Row],[Lavorazione]]</f>
        <v>#VALUE!</v>
      </c>
      <c r="I342" t="e">
        <f>RigheOfferte[[#This Row],[Colore]]</f>
        <v>#VALUE!</v>
      </c>
      <c r="J342" t="e">
        <f>RigheOfferte[[#This Row],[Velocità]]</f>
        <v>#VALUE!</v>
      </c>
      <c r="K342" t="e">
        <f>RigheOfferte[[#This Row],[Superf.pz Mq]]</f>
        <v>#VALUE!</v>
      </c>
      <c r="L342" t="e">
        <f>RigheOfferte[[#This Row],[passo]]</f>
        <v>#VALUE!</v>
      </c>
      <c r="M342" t="e">
        <f>RigheOfferte[[#This Row],[nr.pezzi Telaio]]</f>
        <v>#VALUE!</v>
      </c>
      <c r="N342" t="e">
        <f>RigheOfferte[[#This Row],[nr.pezzi ora-unita]]</f>
        <v>#VALUE!</v>
      </c>
      <c r="O342" t="e">
        <f>Tabella1[[#This Row],[superificie]]*Resa</f>
        <v>#VALUE!</v>
      </c>
      <c r="P342" t="e">
        <f>Tabella1[[#This Row],[KgPezzo]]*Tabella1[[#This Row],[q.ta offerta]]</f>
        <v>#VALUE!</v>
      </c>
      <c r="Q342" t="e">
        <f>RigheOfferte[[#This Row],[QtaProtez]]</f>
        <v>#VALUE!</v>
      </c>
      <c r="R342" t="e">
        <f>RigheOfferte[[#This Row],[Tipo Protezione]]</f>
        <v>#VALUE!</v>
      </c>
    </row>
    <row r="343" spans="1:18">
      <c r="A343" t="e">
        <f>RigheOfferte[[#This Row],[Nprev]]</f>
        <v>#VALUE!</v>
      </c>
      <c r="B343" t="e">
        <f>RigheOfferte[[#This Row],[Nriga]]</f>
        <v>#VALUE!</v>
      </c>
      <c r="C343" t="e">
        <f>RigheOfferte[[#This Row],[Cliente]]</f>
        <v>#VALUE!</v>
      </c>
      <c r="D343" t="e">
        <f>RigheOfferte[[#This Row],[sub_cliente]]</f>
        <v>#VALUE!</v>
      </c>
      <c r="E343" t="e">
        <f>RigheOfferte[[#This Row],[cod.Art.]]</f>
        <v>#VALUE!</v>
      </c>
      <c r="F343" t="e">
        <f>RigheOfferte[[#This Row],[Descrizione]]</f>
        <v>#VALUE!</v>
      </c>
      <c r="G343" t="e">
        <f>RigheOfferte[[#This Row],[Q.ta'']]</f>
        <v>#VALUE!</v>
      </c>
      <c r="H343" t="e">
        <f>RigheOfferte[[#This Row],[Lavorazione]]</f>
        <v>#VALUE!</v>
      </c>
      <c r="I343" t="e">
        <f>RigheOfferte[[#This Row],[Colore]]</f>
        <v>#VALUE!</v>
      </c>
      <c r="J343" t="e">
        <f>RigheOfferte[[#This Row],[Velocità]]</f>
        <v>#VALUE!</v>
      </c>
      <c r="K343" t="e">
        <f>RigheOfferte[[#This Row],[Superf.pz Mq]]</f>
        <v>#VALUE!</v>
      </c>
      <c r="L343" t="e">
        <f>RigheOfferte[[#This Row],[passo]]</f>
        <v>#VALUE!</v>
      </c>
      <c r="M343" t="e">
        <f>RigheOfferte[[#This Row],[nr.pezzi Telaio]]</f>
        <v>#VALUE!</v>
      </c>
      <c r="N343" t="e">
        <f>RigheOfferte[[#This Row],[nr.pezzi ora-unita]]</f>
        <v>#VALUE!</v>
      </c>
      <c r="O343" t="e">
        <f>Tabella1[[#This Row],[superificie]]*Resa</f>
        <v>#VALUE!</v>
      </c>
      <c r="P343" t="e">
        <f>Tabella1[[#This Row],[KgPezzo]]*Tabella1[[#This Row],[q.ta offerta]]</f>
        <v>#VALUE!</v>
      </c>
      <c r="Q343" t="e">
        <f>RigheOfferte[[#This Row],[QtaProtez]]</f>
        <v>#VALUE!</v>
      </c>
      <c r="R343" t="e">
        <f>RigheOfferte[[#This Row],[Tipo Protezione]]</f>
        <v>#VALUE!</v>
      </c>
    </row>
    <row r="344" spans="1:18">
      <c r="A344" t="e">
        <f>RigheOfferte[[#This Row],[Nprev]]</f>
        <v>#VALUE!</v>
      </c>
      <c r="B344" t="e">
        <f>RigheOfferte[[#This Row],[Nriga]]</f>
        <v>#VALUE!</v>
      </c>
      <c r="C344" t="e">
        <f>RigheOfferte[[#This Row],[Cliente]]</f>
        <v>#VALUE!</v>
      </c>
      <c r="D344" t="e">
        <f>RigheOfferte[[#This Row],[sub_cliente]]</f>
        <v>#VALUE!</v>
      </c>
      <c r="E344" t="e">
        <f>RigheOfferte[[#This Row],[cod.Art.]]</f>
        <v>#VALUE!</v>
      </c>
      <c r="F344" t="e">
        <f>RigheOfferte[[#This Row],[Descrizione]]</f>
        <v>#VALUE!</v>
      </c>
      <c r="G344" t="e">
        <f>RigheOfferte[[#This Row],[Q.ta'']]</f>
        <v>#VALUE!</v>
      </c>
      <c r="H344" t="e">
        <f>RigheOfferte[[#This Row],[Lavorazione]]</f>
        <v>#VALUE!</v>
      </c>
      <c r="I344" t="e">
        <f>RigheOfferte[[#This Row],[Colore]]</f>
        <v>#VALUE!</v>
      </c>
      <c r="J344" t="e">
        <f>RigheOfferte[[#This Row],[Velocità]]</f>
        <v>#VALUE!</v>
      </c>
      <c r="K344" t="e">
        <f>RigheOfferte[[#This Row],[Superf.pz Mq]]</f>
        <v>#VALUE!</v>
      </c>
      <c r="L344" t="e">
        <f>RigheOfferte[[#This Row],[passo]]</f>
        <v>#VALUE!</v>
      </c>
      <c r="M344" t="e">
        <f>RigheOfferte[[#This Row],[nr.pezzi Telaio]]</f>
        <v>#VALUE!</v>
      </c>
      <c r="N344" t="e">
        <f>RigheOfferte[[#This Row],[nr.pezzi ora-unita]]</f>
        <v>#VALUE!</v>
      </c>
      <c r="O344" t="e">
        <f>Tabella1[[#This Row],[superificie]]*Resa</f>
        <v>#VALUE!</v>
      </c>
      <c r="P344" t="e">
        <f>Tabella1[[#This Row],[KgPezzo]]*Tabella1[[#This Row],[q.ta offerta]]</f>
        <v>#VALUE!</v>
      </c>
      <c r="Q344" t="e">
        <f>RigheOfferte[[#This Row],[QtaProtez]]</f>
        <v>#VALUE!</v>
      </c>
      <c r="R344" t="e">
        <f>RigheOfferte[[#This Row],[Tipo Protezione]]</f>
        <v>#VALUE!</v>
      </c>
    </row>
    <row r="345" spans="1:18">
      <c r="A345" t="e">
        <f>RigheOfferte[[#This Row],[Nprev]]</f>
        <v>#VALUE!</v>
      </c>
      <c r="B345" t="e">
        <f>RigheOfferte[[#This Row],[Nriga]]</f>
        <v>#VALUE!</v>
      </c>
      <c r="C345" t="e">
        <f>RigheOfferte[[#This Row],[Cliente]]</f>
        <v>#VALUE!</v>
      </c>
      <c r="D345" t="e">
        <f>RigheOfferte[[#This Row],[sub_cliente]]</f>
        <v>#VALUE!</v>
      </c>
      <c r="E345" t="e">
        <f>RigheOfferte[[#This Row],[cod.Art.]]</f>
        <v>#VALUE!</v>
      </c>
      <c r="F345" t="e">
        <f>RigheOfferte[[#This Row],[Descrizione]]</f>
        <v>#VALUE!</v>
      </c>
      <c r="G345" t="e">
        <f>RigheOfferte[[#This Row],[Q.ta'']]</f>
        <v>#VALUE!</v>
      </c>
      <c r="H345" t="e">
        <f>RigheOfferte[[#This Row],[Lavorazione]]</f>
        <v>#VALUE!</v>
      </c>
      <c r="I345" t="e">
        <f>RigheOfferte[[#This Row],[Colore]]</f>
        <v>#VALUE!</v>
      </c>
      <c r="J345" t="e">
        <f>RigheOfferte[[#This Row],[Velocità]]</f>
        <v>#VALUE!</v>
      </c>
      <c r="K345" t="e">
        <f>RigheOfferte[[#This Row],[Superf.pz Mq]]</f>
        <v>#VALUE!</v>
      </c>
      <c r="L345" t="e">
        <f>RigheOfferte[[#This Row],[passo]]</f>
        <v>#VALUE!</v>
      </c>
      <c r="M345" t="e">
        <f>RigheOfferte[[#This Row],[nr.pezzi Telaio]]</f>
        <v>#VALUE!</v>
      </c>
      <c r="N345" t="e">
        <f>RigheOfferte[[#This Row],[nr.pezzi ora-unita]]</f>
        <v>#VALUE!</v>
      </c>
      <c r="O345" t="e">
        <f>Tabella1[[#This Row],[superificie]]*Resa</f>
        <v>#VALUE!</v>
      </c>
      <c r="P345" t="e">
        <f>Tabella1[[#This Row],[KgPezzo]]*Tabella1[[#This Row],[q.ta offerta]]</f>
        <v>#VALUE!</v>
      </c>
      <c r="Q345" t="e">
        <f>RigheOfferte[[#This Row],[QtaProtez]]</f>
        <v>#VALUE!</v>
      </c>
      <c r="R345" t="e">
        <f>RigheOfferte[[#This Row],[Tipo Protezione]]</f>
        <v>#VALUE!</v>
      </c>
    </row>
    <row r="346" spans="1:18">
      <c r="A346" t="e">
        <f>RigheOfferte[[#This Row],[Nprev]]</f>
        <v>#VALUE!</v>
      </c>
      <c r="B346" t="e">
        <f>RigheOfferte[[#This Row],[Nriga]]</f>
        <v>#VALUE!</v>
      </c>
      <c r="C346" t="e">
        <f>RigheOfferte[[#This Row],[Cliente]]</f>
        <v>#VALUE!</v>
      </c>
      <c r="D346" t="e">
        <f>RigheOfferte[[#This Row],[sub_cliente]]</f>
        <v>#VALUE!</v>
      </c>
      <c r="E346" t="e">
        <f>RigheOfferte[[#This Row],[cod.Art.]]</f>
        <v>#VALUE!</v>
      </c>
      <c r="F346" t="e">
        <f>RigheOfferte[[#This Row],[Descrizione]]</f>
        <v>#VALUE!</v>
      </c>
      <c r="G346" t="e">
        <f>RigheOfferte[[#This Row],[Q.ta'']]</f>
        <v>#VALUE!</v>
      </c>
      <c r="H346" t="e">
        <f>RigheOfferte[[#This Row],[Lavorazione]]</f>
        <v>#VALUE!</v>
      </c>
      <c r="I346" t="e">
        <f>RigheOfferte[[#This Row],[Colore]]</f>
        <v>#VALUE!</v>
      </c>
      <c r="J346" t="e">
        <f>RigheOfferte[[#This Row],[Velocità]]</f>
        <v>#VALUE!</v>
      </c>
      <c r="K346" t="e">
        <f>RigheOfferte[[#This Row],[Superf.pz Mq]]</f>
        <v>#VALUE!</v>
      </c>
      <c r="L346" t="e">
        <f>RigheOfferte[[#This Row],[passo]]</f>
        <v>#VALUE!</v>
      </c>
      <c r="M346" t="e">
        <f>RigheOfferte[[#This Row],[nr.pezzi Telaio]]</f>
        <v>#VALUE!</v>
      </c>
      <c r="N346" t="e">
        <f>RigheOfferte[[#This Row],[nr.pezzi ora-unita]]</f>
        <v>#VALUE!</v>
      </c>
      <c r="O346" t="e">
        <f>Tabella1[[#This Row],[superificie]]*Resa</f>
        <v>#VALUE!</v>
      </c>
      <c r="P346" t="e">
        <f>Tabella1[[#This Row],[KgPezzo]]*Tabella1[[#This Row],[q.ta offerta]]</f>
        <v>#VALUE!</v>
      </c>
      <c r="Q346" t="e">
        <f>RigheOfferte[[#This Row],[QtaProtez]]</f>
        <v>#VALUE!</v>
      </c>
      <c r="R346" t="e">
        <f>RigheOfferte[[#This Row],[Tipo Protezione]]</f>
        <v>#VALUE!</v>
      </c>
    </row>
    <row r="347" spans="1:18">
      <c r="A347" t="e">
        <f>RigheOfferte[[#This Row],[Nprev]]</f>
        <v>#VALUE!</v>
      </c>
      <c r="B347" t="e">
        <f>RigheOfferte[[#This Row],[Nriga]]</f>
        <v>#VALUE!</v>
      </c>
      <c r="C347" t="e">
        <f>RigheOfferte[[#This Row],[Cliente]]</f>
        <v>#VALUE!</v>
      </c>
      <c r="D347" t="e">
        <f>RigheOfferte[[#This Row],[sub_cliente]]</f>
        <v>#VALUE!</v>
      </c>
      <c r="E347" t="e">
        <f>RigheOfferte[[#This Row],[cod.Art.]]</f>
        <v>#VALUE!</v>
      </c>
      <c r="F347" t="e">
        <f>RigheOfferte[[#This Row],[Descrizione]]</f>
        <v>#VALUE!</v>
      </c>
      <c r="G347" t="e">
        <f>RigheOfferte[[#This Row],[Q.ta'']]</f>
        <v>#VALUE!</v>
      </c>
      <c r="H347" t="e">
        <f>RigheOfferte[[#This Row],[Lavorazione]]</f>
        <v>#VALUE!</v>
      </c>
      <c r="I347" t="e">
        <f>RigheOfferte[[#This Row],[Colore]]</f>
        <v>#VALUE!</v>
      </c>
      <c r="J347" t="e">
        <f>RigheOfferte[[#This Row],[Velocità]]</f>
        <v>#VALUE!</v>
      </c>
      <c r="K347" t="e">
        <f>RigheOfferte[[#This Row],[Superf.pz Mq]]</f>
        <v>#VALUE!</v>
      </c>
      <c r="L347" t="e">
        <f>RigheOfferte[[#This Row],[passo]]</f>
        <v>#VALUE!</v>
      </c>
      <c r="M347" t="e">
        <f>RigheOfferte[[#This Row],[nr.pezzi Telaio]]</f>
        <v>#VALUE!</v>
      </c>
      <c r="N347" t="e">
        <f>RigheOfferte[[#This Row],[nr.pezzi ora-unita]]</f>
        <v>#VALUE!</v>
      </c>
      <c r="O347" t="e">
        <f>Tabella1[[#This Row],[superificie]]*Resa</f>
        <v>#VALUE!</v>
      </c>
      <c r="P347" t="e">
        <f>Tabella1[[#This Row],[KgPezzo]]*Tabella1[[#This Row],[q.ta offerta]]</f>
        <v>#VALUE!</v>
      </c>
      <c r="Q347" t="e">
        <f>RigheOfferte[[#This Row],[QtaProtez]]</f>
        <v>#VALUE!</v>
      </c>
      <c r="R347" t="e">
        <f>RigheOfferte[[#This Row],[Tipo Protezione]]</f>
        <v>#VALUE!</v>
      </c>
    </row>
    <row r="348" spans="1:18">
      <c r="A348" t="e">
        <f>RigheOfferte[[#This Row],[Nprev]]</f>
        <v>#VALUE!</v>
      </c>
      <c r="B348" t="e">
        <f>RigheOfferte[[#This Row],[Nriga]]</f>
        <v>#VALUE!</v>
      </c>
      <c r="C348" t="e">
        <f>RigheOfferte[[#This Row],[Cliente]]</f>
        <v>#VALUE!</v>
      </c>
      <c r="D348" t="e">
        <f>RigheOfferte[[#This Row],[sub_cliente]]</f>
        <v>#VALUE!</v>
      </c>
      <c r="E348" t="e">
        <f>RigheOfferte[[#This Row],[cod.Art.]]</f>
        <v>#VALUE!</v>
      </c>
      <c r="F348" t="e">
        <f>RigheOfferte[[#This Row],[Descrizione]]</f>
        <v>#VALUE!</v>
      </c>
      <c r="G348" t="e">
        <f>RigheOfferte[[#This Row],[Q.ta'']]</f>
        <v>#VALUE!</v>
      </c>
      <c r="H348" t="e">
        <f>RigheOfferte[[#This Row],[Lavorazione]]</f>
        <v>#VALUE!</v>
      </c>
      <c r="I348" t="e">
        <f>RigheOfferte[[#This Row],[Colore]]</f>
        <v>#VALUE!</v>
      </c>
      <c r="J348" t="e">
        <f>RigheOfferte[[#This Row],[Velocità]]</f>
        <v>#VALUE!</v>
      </c>
      <c r="K348" t="e">
        <f>RigheOfferte[[#This Row],[Superf.pz Mq]]</f>
        <v>#VALUE!</v>
      </c>
      <c r="L348" t="e">
        <f>RigheOfferte[[#This Row],[passo]]</f>
        <v>#VALUE!</v>
      </c>
      <c r="M348" t="e">
        <f>RigheOfferte[[#This Row],[nr.pezzi Telaio]]</f>
        <v>#VALUE!</v>
      </c>
      <c r="N348" t="e">
        <f>RigheOfferte[[#This Row],[nr.pezzi ora-unita]]</f>
        <v>#VALUE!</v>
      </c>
      <c r="O348" t="e">
        <f>Tabella1[[#This Row],[superificie]]*Resa</f>
        <v>#VALUE!</v>
      </c>
      <c r="P348" t="e">
        <f>Tabella1[[#This Row],[KgPezzo]]*Tabella1[[#This Row],[q.ta offerta]]</f>
        <v>#VALUE!</v>
      </c>
      <c r="Q348" t="e">
        <f>RigheOfferte[[#This Row],[QtaProtez]]</f>
        <v>#VALUE!</v>
      </c>
      <c r="R348" t="e">
        <f>RigheOfferte[[#This Row],[Tipo Protezione]]</f>
        <v>#VALUE!</v>
      </c>
    </row>
    <row r="349" spans="1:18">
      <c r="A349" t="e">
        <f>RigheOfferte[[#This Row],[Nprev]]</f>
        <v>#VALUE!</v>
      </c>
      <c r="B349" t="e">
        <f>RigheOfferte[[#This Row],[Nriga]]</f>
        <v>#VALUE!</v>
      </c>
      <c r="C349" t="e">
        <f>RigheOfferte[[#This Row],[Cliente]]</f>
        <v>#VALUE!</v>
      </c>
      <c r="D349" t="e">
        <f>RigheOfferte[[#This Row],[sub_cliente]]</f>
        <v>#VALUE!</v>
      </c>
      <c r="E349" t="e">
        <f>RigheOfferte[[#This Row],[cod.Art.]]</f>
        <v>#VALUE!</v>
      </c>
      <c r="F349" t="e">
        <f>RigheOfferte[[#This Row],[Descrizione]]</f>
        <v>#VALUE!</v>
      </c>
      <c r="G349" t="e">
        <f>RigheOfferte[[#This Row],[Q.ta'']]</f>
        <v>#VALUE!</v>
      </c>
      <c r="H349" t="e">
        <f>RigheOfferte[[#This Row],[Lavorazione]]</f>
        <v>#VALUE!</v>
      </c>
      <c r="I349" t="e">
        <f>RigheOfferte[[#This Row],[Colore]]</f>
        <v>#VALUE!</v>
      </c>
      <c r="J349" t="e">
        <f>RigheOfferte[[#This Row],[Velocità]]</f>
        <v>#VALUE!</v>
      </c>
      <c r="K349" t="e">
        <f>RigheOfferte[[#This Row],[Superf.pz Mq]]</f>
        <v>#VALUE!</v>
      </c>
      <c r="L349" t="e">
        <f>RigheOfferte[[#This Row],[passo]]</f>
        <v>#VALUE!</v>
      </c>
      <c r="M349" t="e">
        <f>RigheOfferte[[#This Row],[nr.pezzi Telaio]]</f>
        <v>#VALUE!</v>
      </c>
      <c r="N349" t="e">
        <f>RigheOfferte[[#This Row],[nr.pezzi ora-unita]]</f>
        <v>#VALUE!</v>
      </c>
      <c r="O349" t="e">
        <f>Tabella1[[#This Row],[superificie]]*Resa</f>
        <v>#VALUE!</v>
      </c>
      <c r="P349" t="e">
        <f>Tabella1[[#This Row],[KgPezzo]]*Tabella1[[#This Row],[q.ta offerta]]</f>
        <v>#VALUE!</v>
      </c>
      <c r="Q349" t="e">
        <f>RigheOfferte[[#This Row],[QtaProtez]]</f>
        <v>#VALUE!</v>
      </c>
      <c r="R349" t="e">
        <f>RigheOfferte[[#This Row],[Tipo Protezione]]</f>
        <v>#VALUE!</v>
      </c>
    </row>
    <row r="350" spans="1:18">
      <c r="A350" t="e">
        <f>RigheOfferte[[#This Row],[Nprev]]</f>
        <v>#VALUE!</v>
      </c>
      <c r="B350" t="e">
        <f>RigheOfferte[[#This Row],[Nriga]]</f>
        <v>#VALUE!</v>
      </c>
      <c r="C350" t="e">
        <f>RigheOfferte[[#This Row],[Cliente]]</f>
        <v>#VALUE!</v>
      </c>
      <c r="D350" t="e">
        <f>RigheOfferte[[#This Row],[sub_cliente]]</f>
        <v>#VALUE!</v>
      </c>
      <c r="E350" t="e">
        <f>RigheOfferte[[#This Row],[cod.Art.]]</f>
        <v>#VALUE!</v>
      </c>
      <c r="F350" t="e">
        <f>RigheOfferte[[#This Row],[Descrizione]]</f>
        <v>#VALUE!</v>
      </c>
      <c r="G350" t="e">
        <f>RigheOfferte[[#This Row],[Q.ta'']]</f>
        <v>#VALUE!</v>
      </c>
      <c r="H350" t="e">
        <f>RigheOfferte[[#This Row],[Lavorazione]]</f>
        <v>#VALUE!</v>
      </c>
      <c r="I350" t="e">
        <f>RigheOfferte[[#This Row],[Colore]]</f>
        <v>#VALUE!</v>
      </c>
      <c r="J350" t="e">
        <f>RigheOfferte[[#This Row],[Velocità]]</f>
        <v>#VALUE!</v>
      </c>
      <c r="K350" t="e">
        <f>RigheOfferte[[#This Row],[Superf.pz Mq]]</f>
        <v>#VALUE!</v>
      </c>
      <c r="L350" t="e">
        <f>RigheOfferte[[#This Row],[passo]]</f>
        <v>#VALUE!</v>
      </c>
      <c r="M350" t="e">
        <f>RigheOfferte[[#This Row],[nr.pezzi Telaio]]</f>
        <v>#VALUE!</v>
      </c>
      <c r="N350" t="e">
        <f>RigheOfferte[[#This Row],[nr.pezzi ora-unita]]</f>
        <v>#VALUE!</v>
      </c>
      <c r="O350" t="e">
        <f>Tabella1[[#This Row],[superificie]]*Resa</f>
        <v>#VALUE!</v>
      </c>
      <c r="P350" t="e">
        <f>Tabella1[[#This Row],[KgPezzo]]*Tabella1[[#This Row],[q.ta offerta]]</f>
        <v>#VALUE!</v>
      </c>
      <c r="Q350" t="e">
        <f>RigheOfferte[[#This Row],[QtaProtez]]</f>
        <v>#VALUE!</v>
      </c>
      <c r="R350" t="e">
        <f>RigheOfferte[[#This Row],[Tipo Protezione]]</f>
        <v>#VALUE!</v>
      </c>
    </row>
    <row r="351" spans="1:18">
      <c r="A351" t="e">
        <f>RigheOfferte[[#This Row],[Nprev]]</f>
        <v>#VALUE!</v>
      </c>
      <c r="B351" t="e">
        <f>RigheOfferte[[#This Row],[Nriga]]</f>
        <v>#VALUE!</v>
      </c>
      <c r="C351" t="e">
        <f>RigheOfferte[[#This Row],[Cliente]]</f>
        <v>#VALUE!</v>
      </c>
      <c r="D351" t="e">
        <f>RigheOfferte[[#This Row],[sub_cliente]]</f>
        <v>#VALUE!</v>
      </c>
      <c r="E351" t="e">
        <f>RigheOfferte[[#This Row],[cod.Art.]]</f>
        <v>#VALUE!</v>
      </c>
      <c r="F351" t="e">
        <f>RigheOfferte[[#This Row],[Descrizione]]</f>
        <v>#VALUE!</v>
      </c>
      <c r="G351" t="e">
        <f>RigheOfferte[[#This Row],[Q.ta'']]</f>
        <v>#VALUE!</v>
      </c>
      <c r="H351" t="e">
        <f>RigheOfferte[[#This Row],[Lavorazione]]</f>
        <v>#VALUE!</v>
      </c>
      <c r="I351" t="e">
        <f>RigheOfferte[[#This Row],[Colore]]</f>
        <v>#VALUE!</v>
      </c>
      <c r="J351" t="e">
        <f>RigheOfferte[[#This Row],[Velocità]]</f>
        <v>#VALUE!</v>
      </c>
      <c r="K351" t="e">
        <f>RigheOfferte[[#This Row],[Superf.pz Mq]]</f>
        <v>#VALUE!</v>
      </c>
      <c r="L351" t="e">
        <f>RigheOfferte[[#This Row],[passo]]</f>
        <v>#VALUE!</v>
      </c>
      <c r="M351" t="e">
        <f>RigheOfferte[[#This Row],[nr.pezzi Telaio]]</f>
        <v>#VALUE!</v>
      </c>
      <c r="N351" t="e">
        <f>RigheOfferte[[#This Row],[nr.pezzi ora-unita]]</f>
        <v>#VALUE!</v>
      </c>
      <c r="O351" t="e">
        <f>Tabella1[[#This Row],[superificie]]*Resa</f>
        <v>#VALUE!</v>
      </c>
      <c r="P351" t="e">
        <f>Tabella1[[#This Row],[KgPezzo]]*Tabella1[[#This Row],[q.ta offerta]]</f>
        <v>#VALUE!</v>
      </c>
      <c r="Q351" t="e">
        <f>RigheOfferte[[#This Row],[QtaProtez]]</f>
        <v>#VALUE!</v>
      </c>
      <c r="R351" t="e">
        <f>RigheOfferte[[#This Row],[Tipo Protezione]]</f>
        <v>#VALUE!</v>
      </c>
    </row>
    <row r="352" spans="1:18">
      <c r="A352" t="e">
        <f>RigheOfferte[[#This Row],[Nprev]]</f>
        <v>#VALUE!</v>
      </c>
      <c r="B352" t="e">
        <f>RigheOfferte[[#This Row],[Nriga]]</f>
        <v>#VALUE!</v>
      </c>
      <c r="C352" t="e">
        <f>RigheOfferte[[#This Row],[Cliente]]</f>
        <v>#VALUE!</v>
      </c>
      <c r="D352" t="e">
        <f>RigheOfferte[[#This Row],[sub_cliente]]</f>
        <v>#VALUE!</v>
      </c>
      <c r="E352" t="e">
        <f>RigheOfferte[[#This Row],[cod.Art.]]</f>
        <v>#VALUE!</v>
      </c>
      <c r="F352" t="e">
        <f>RigheOfferte[[#This Row],[Descrizione]]</f>
        <v>#VALUE!</v>
      </c>
      <c r="G352" t="e">
        <f>RigheOfferte[[#This Row],[Q.ta'']]</f>
        <v>#VALUE!</v>
      </c>
      <c r="H352" t="e">
        <f>RigheOfferte[[#This Row],[Lavorazione]]</f>
        <v>#VALUE!</v>
      </c>
      <c r="I352" t="e">
        <f>RigheOfferte[[#This Row],[Colore]]</f>
        <v>#VALUE!</v>
      </c>
      <c r="J352" t="e">
        <f>RigheOfferte[[#This Row],[Velocità]]</f>
        <v>#VALUE!</v>
      </c>
      <c r="K352" t="e">
        <f>RigheOfferte[[#This Row],[Superf.pz Mq]]</f>
        <v>#VALUE!</v>
      </c>
      <c r="L352" t="e">
        <f>RigheOfferte[[#This Row],[passo]]</f>
        <v>#VALUE!</v>
      </c>
      <c r="M352" t="e">
        <f>RigheOfferte[[#This Row],[nr.pezzi Telaio]]</f>
        <v>#VALUE!</v>
      </c>
      <c r="N352" t="e">
        <f>RigheOfferte[[#This Row],[nr.pezzi ora-unita]]</f>
        <v>#VALUE!</v>
      </c>
      <c r="O352" t="e">
        <f>Tabella1[[#This Row],[superificie]]*Resa</f>
        <v>#VALUE!</v>
      </c>
      <c r="P352" t="e">
        <f>Tabella1[[#This Row],[KgPezzo]]*Tabella1[[#This Row],[q.ta offerta]]</f>
        <v>#VALUE!</v>
      </c>
      <c r="Q352" t="e">
        <f>RigheOfferte[[#This Row],[QtaProtez]]</f>
        <v>#VALUE!</v>
      </c>
      <c r="R352" t="e">
        <f>RigheOfferte[[#This Row],[Tipo Protezione]]</f>
        <v>#VALUE!</v>
      </c>
    </row>
    <row r="353" spans="1:18">
      <c r="A353" t="e">
        <f>RigheOfferte[[#This Row],[Nprev]]</f>
        <v>#VALUE!</v>
      </c>
      <c r="B353" t="e">
        <f>RigheOfferte[[#This Row],[Nriga]]</f>
        <v>#VALUE!</v>
      </c>
      <c r="C353" t="e">
        <f>RigheOfferte[[#This Row],[Cliente]]</f>
        <v>#VALUE!</v>
      </c>
      <c r="D353" t="e">
        <f>RigheOfferte[[#This Row],[sub_cliente]]</f>
        <v>#VALUE!</v>
      </c>
      <c r="E353" t="e">
        <f>RigheOfferte[[#This Row],[cod.Art.]]</f>
        <v>#VALUE!</v>
      </c>
      <c r="F353" t="e">
        <f>RigheOfferte[[#This Row],[Descrizione]]</f>
        <v>#VALUE!</v>
      </c>
      <c r="G353" t="e">
        <f>RigheOfferte[[#This Row],[Q.ta'']]</f>
        <v>#VALUE!</v>
      </c>
      <c r="H353" t="e">
        <f>RigheOfferte[[#This Row],[Lavorazione]]</f>
        <v>#VALUE!</v>
      </c>
      <c r="I353" t="e">
        <f>RigheOfferte[[#This Row],[Colore]]</f>
        <v>#VALUE!</v>
      </c>
      <c r="J353" t="e">
        <f>RigheOfferte[[#This Row],[Velocità]]</f>
        <v>#VALUE!</v>
      </c>
      <c r="K353" t="e">
        <f>RigheOfferte[[#This Row],[Superf.pz Mq]]</f>
        <v>#VALUE!</v>
      </c>
      <c r="L353" t="e">
        <f>RigheOfferte[[#This Row],[passo]]</f>
        <v>#VALUE!</v>
      </c>
      <c r="M353" t="e">
        <f>RigheOfferte[[#This Row],[nr.pezzi Telaio]]</f>
        <v>#VALUE!</v>
      </c>
      <c r="N353" t="e">
        <f>RigheOfferte[[#This Row],[nr.pezzi ora-unita]]</f>
        <v>#VALUE!</v>
      </c>
      <c r="O353" t="e">
        <f>Tabella1[[#This Row],[superificie]]*Resa</f>
        <v>#VALUE!</v>
      </c>
      <c r="P353" t="e">
        <f>Tabella1[[#This Row],[KgPezzo]]*Tabella1[[#This Row],[q.ta offerta]]</f>
        <v>#VALUE!</v>
      </c>
      <c r="Q353" t="e">
        <f>RigheOfferte[[#This Row],[QtaProtez]]</f>
        <v>#VALUE!</v>
      </c>
      <c r="R353" t="e">
        <f>RigheOfferte[[#This Row],[Tipo Protezione]]</f>
        <v>#VALUE!</v>
      </c>
    </row>
    <row r="354" spans="1:18">
      <c r="A354" t="e">
        <f>RigheOfferte[[#This Row],[Nprev]]</f>
        <v>#VALUE!</v>
      </c>
      <c r="B354" t="e">
        <f>RigheOfferte[[#This Row],[Nriga]]</f>
        <v>#VALUE!</v>
      </c>
      <c r="C354" t="e">
        <f>RigheOfferte[[#This Row],[Cliente]]</f>
        <v>#VALUE!</v>
      </c>
      <c r="D354" t="e">
        <f>RigheOfferte[[#This Row],[sub_cliente]]</f>
        <v>#VALUE!</v>
      </c>
      <c r="E354" t="e">
        <f>RigheOfferte[[#This Row],[cod.Art.]]</f>
        <v>#VALUE!</v>
      </c>
      <c r="F354" t="e">
        <f>RigheOfferte[[#This Row],[Descrizione]]</f>
        <v>#VALUE!</v>
      </c>
      <c r="G354" t="e">
        <f>RigheOfferte[[#This Row],[Q.ta'']]</f>
        <v>#VALUE!</v>
      </c>
      <c r="H354" t="e">
        <f>RigheOfferte[[#This Row],[Lavorazione]]</f>
        <v>#VALUE!</v>
      </c>
      <c r="I354" t="e">
        <f>RigheOfferte[[#This Row],[Colore]]</f>
        <v>#VALUE!</v>
      </c>
      <c r="J354" t="e">
        <f>RigheOfferte[[#This Row],[Velocità]]</f>
        <v>#VALUE!</v>
      </c>
      <c r="K354" t="e">
        <f>RigheOfferte[[#This Row],[Superf.pz Mq]]</f>
        <v>#VALUE!</v>
      </c>
      <c r="L354" t="e">
        <f>RigheOfferte[[#This Row],[passo]]</f>
        <v>#VALUE!</v>
      </c>
      <c r="M354" t="e">
        <f>RigheOfferte[[#This Row],[nr.pezzi Telaio]]</f>
        <v>#VALUE!</v>
      </c>
      <c r="N354" t="e">
        <f>RigheOfferte[[#This Row],[nr.pezzi ora-unita]]</f>
        <v>#VALUE!</v>
      </c>
      <c r="O354" t="e">
        <f>Tabella1[[#This Row],[superificie]]*Resa</f>
        <v>#VALUE!</v>
      </c>
      <c r="P354" t="e">
        <f>Tabella1[[#This Row],[KgPezzo]]*Tabella1[[#This Row],[q.ta offerta]]</f>
        <v>#VALUE!</v>
      </c>
      <c r="Q354" t="e">
        <f>RigheOfferte[[#This Row],[QtaProtez]]</f>
        <v>#VALUE!</v>
      </c>
      <c r="R354" t="e">
        <f>RigheOfferte[[#This Row],[Tipo Protezione]]</f>
        <v>#VALUE!</v>
      </c>
    </row>
    <row r="355" spans="1:18">
      <c r="A355" t="e">
        <f>RigheOfferte[[#This Row],[Nprev]]</f>
        <v>#VALUE!</v>
      </c>
      <c r="B355" t="e">
        <f>RigheOfferte[[#This Row],[Nriga]]</f>
        <v>#VALUE!</v>
      </c>
      <c r="C355" t="e">
        <f>RigheOfferte[[#This Row],[Cliente]]</f>
        <v>#VALUE!</v>
      </c>
      <c r="D355" t="e">
        <f>RigheOfferte[[#This Row],[sub_cliente]]</f>
        <v>#VALUE!</v>
      </c>
      <c r="E355" t="e">
        <f>RigheOfferte[[#This Row],[cod.Art.]]</f>
        <v>#VALUE!</v>
      </c>
      <c r="F355" t="e">
        <f>RigheOfferte[[#This Row],[Descrizione]]</f>
        <v>#VALUE!</v>
      </c>
      <c r="G355" t="e">
        <f>RigheOfferte[[#This Row],[Q.ta'']]</f>
        <v>#VALUE!</v>
      </c>
      <c r="H355" t="e">
        <f>RigheOfferte[[#This Row],[Lavorazione]]</f>
        <v>#VALUE!</v>
      </c>
      <c r="I355" t="e">
        <f>RigheOfferte[[#This Row],[Colore]]</f>
        <v>#VALUE!</v>
      </c>
      <c r="J355" t="e">
        <f>RigheOfferte[[#This Row],[Velocità]]</f>
        <v>#VALUE!</v>
      </c>
      <c r="K355" t="e">
        <f>RigheOfferte[[#This Row],[Superf.pz Mq]]</f>
        <v>#VALUE!</v>
      </c>
      <c r="L355" t="e">
        <f>RigheOfferte[[#This Row],[passo]]</f>
        <v>#VALUE!</v>
      </c>
      <c r="M355" t="e">
        <f>RigheOfferte[[#This Row],[nr.pezzi Telaio]]</f>
        <v>#VALUE!</v>
      </c>
      <c r="N355" t="e">
        <f>RigheOfferte[[#This Row],[nr.pezzi ora-unita]]</f>
        <v>#VALUE!</v>
      </c>
      <c r="O355" t="e">
        <f>Tabella1[[#This Row],[superificie]]*Resa</f>
        <v>#VALUE!</v>
      </c>
      <c r="P355" t="e">
        <f>Tabella1[[#This Row],[KgPezzo]]*Tabella1[[#This Row],[q.ta offerta]]</f>
        <v>#VALUE!</v>
      </c>
      <c r="Q355" t="e">
        <f>RigheOfferte[[#This Row],[QtaProtez]]</f>
        <v>#VALUE!</v>
      </c>
      <c r="R355" t="e">
        <f>RigheOfferte[[#This Row],[Tipo Protezione]]</f>
        <v>#VALUE!</v>
      </c>
    </row>
    <row r="356" spans="1:18">
      <c r="A356" t="e">
        <f>RigheOfferte[[#This Row],[Nprev]]</f>
        <v>#VALUE!</v>
      </c>
      <c r="B356" t="e">
        <f>RigheOfferte[[#This Row],[Nriga]]</f>
        <v>#VALUE!</v>
      </c>
      <c r="C356" t="e">
        <f>RigheOfferte[[#This Row],[Cliente]]</f>
        <v>#VALUE!</v>
      </c>
      <c r="D356" t="e">
        <f>RigheOfferte[[#This Row],[sub_cliente]]</f>
        <v>#VALUE!</v>
      </c>
      <c r="E356" t="e">
        <f>RigheOfferte[[#This Row],[cod.Art.]]</f>
        <v>#VALUE!</v>
      </c>
      <c r="F356" t="e">
        <f>RigheOfferte[[#This Row],[Descrizione]]</f>
        <v>#VALUE!</v>
      </c>
      <c r="G356" t="e">
        <f>RigheOfferte[[#This Row],[Q.ta'']]</f>
        <v>#VALUE!</v>
      </c>
      <c r="H356" t="e">
        <f>RigheOfferte[[#This Row],[Lavorazione]]</f>
        <v>#VALUE!</v>
      </c>
      <c r="I356" t="e">
        <f>RigheOfferte[[#This Row],[Colore]]</f>
        <v>#VALUE!</v>
      </c>
      <c r="J356" t="e">
        <f>RigheOfferte[[#This Row],[Velocità]]</f>
        <v>#VALUE!</v>
      </c>
      <c r="K356" t="e">
        <f>RigheOfferte[[#This Row],[Superf.pz Mq]]</f>
        <v>#VALUE!</v>
      </c>
      <c r="L356" t="e">
        <f>RigheOfferte[[#This Row],[passo]]</f>
        <v>#VALUE!</v>
      </c>
      <c r="M356" t="e">
        <f>RigheOfferte[[#This Row],[nr.pezzi Telaio]]</f>
        <v>#VALUE!</v>
      </c>
      <c r="N356" t="e">
        <f>RigheOfferte[[#This Row],[nr.pezzi ora-unita]]</f>
        <v>#VALUE!</v>
      </c>
      <c r="O356" t="e">
        <f>Tabella1[[#This Row],[superificie]]*Resa</f>
        <v>#VALUE!</v>
      </c>
      <c r="P356" t="e">
        <f>Tabella1[[#This Row],[KgPezzo]]*Tabella1[[#This Row],[q.ta offerta]]</f>
        <v>#VALUE!</v>
      </c>
      <c r="Q356" t="e">
        <f>RigheOfferte[[#This Row],[QtaProtez]]</f>
        <v>#VALUE!</v>
      </c>
      <c r="R356" t="e">
        <f>RigheOfferte[[#This Row],[Tipo Protezione]]</f>
        <v>#VALUE!</v>
      </c>
    </row>
    <row r="357" spans="1:18">
      <c r="A357" t="e">
        <f>RigheOfferte[[#This Row],[Nprev]]</f>
        <v>#VALUE!</v>
      </c>
      <c r="B357" t="e">
        <f>RigheOfferte[[#This Row],[Nriga]]</f>
        <v>#VALUE!</v>
      </c>
      <c r="C357" t="e">
        <f>RigheOfferte[[#This Row],[Cliente]]</f>
        <v>#VALUE!</v>
      </c>
      <c r="D357" t="e">
        <f>RigheOfferte[[#This Row],[sub_cliente]]</f>
        <v>#VALUE!</v>
      </c>
      <c r="E357" t="e">
        <f>RigheOfferte[[#This Row],[cod.Art.]]</f>
        <v>#VALUE!</v>
      </c>
      <c r="F357" t="e">
        <f>RigheOfferte[[#This Row],[Descrizione]]</f>
        <v>#VALUE!</v>
      </c>
      <c r="G357" t="e">
        <f>RigheOfferte[[#This Row],[Q.ta'']]</f>
        <v>#VALUE!</v>
      </c>
      <c r="H357" t="e">
        <f>RigheOfferte[[#This Row],[Lavorazione]]</f>
        <v>#VALUE!</v>
      </c>
      <c r="I357" t="e">
        <f>RigheOfferte[[#This Row],[Colore]]</f>
        <v>#VALUE!</v>
      </c>
      <c r="J357" t="e">
        <f>RigheOfferte[[#This Row],[Velocità]]</f>
        <v>#VALUE!</v>
      </c>
      <c r="K357" t="e">
        <f>RigheOfferte[[#This Row],[Superf.pz Mq]]</f>
        <v>#VALUE!</v>
      </c>
      <c r="L357" t="e">
        <f>RigheOfferte[[#This Row],[passo]]</f>
        <v>#VALUE!</v>
      </c>
      <c r="M357" t="e">
        <f>RigheOfferte[[#This Row],[nr.pezzi Telaio]]</f>
        <v>#VALUE!</v>
      </c>
      <c r="N357" t="e">
        <f>RigheOfferte[[#This Row],[nr.pezzi ora-unita]]</f>
        <v>#VALUE!</v>
      </c>
      <c r="O357" t="e">
        <f>Tabella1[[#This Row],[superificie]]*Resa</f>
        <v>#VALUE!</v>
      </c>
      <c r="P357" t="e">
        <f>Tabella1[[#This Row],[KgPezzo]]*Tabella1[[#This Row],[q.ta offerta]]</f>
        <v>#VALUE!</v>
      </c>
      <c r="Q357" t="e">
        <f>RigheOfferte[[#This Row],[QtaProtez]]</f>
        <v>#VALUE!</v>
      </c>
      <c r="R357" t="e">
        <f>RigheOfferte[[#This Row],[Tipo Protezione]]</f>
        <v>#VALUE!</v>
      </c>
    </row>
    <row r="358" spans="1:18">
      <c r="A358" t="e">
        <f>RigheOfferte[[#This Row],[Nprev]]</f>
        <v>#VALUE!</v>
      </c>
      <c r="B358" t="e">
        <f>RigheOfferte[[#This Row],[Nriga]]</f>
        <v>#VALUE!</v>
      </c>
      <c r="C358" t="e">
        <f>RigheOfferte[[#This Row],[Cliente]]</f>
        <v>#VALUE!</v>
      </c>
      <c r="D358" t="e">
        <f>RigheOfferte[[#This Row],[sub_cliente]]</f>
        <v>#VALUE!</v>
      </c>
      <c r="E358" t="e">
        <f>RigheOfferte[[#This Row],[cod.Art.]]</f>
        <v>#VALUE!</v>
      </c>
      <c r="F358" t="e">
        <f>RigheOfferte[[#This Row],[Descrizione]]</f>
        <v>#VALUE!</v>
      </c>
      <c r="G358" t="e">
        <f>RigheOfferte[[#This Row],[Q.ta'']]</f>
        <v>#VALUE!</v>
      </c>
      <c r="H358" t="e">
        <f>RigheOfferte[[#This Row],[Lavorazione]]</f>
        <v>#VALUE!</v>
      </c>
      <c r="I358" t="e">
        <f>RigheOfferte[[#This Row],[Colore]]</f>
        <v>#VALUE!</v>
      </c>
      <c r="J358" t="e">
        <f>RigheOfferte[[#This Row],[Velocità]]</f>
        <v>#VALUE!</v>
      </c>
      <c r="K358" t="e">
        <f>RigheOfferte[[#This Row],[Superf.pz Mq]]</f>
        <v>#VALUE!</v>
      </c>
      <c r="L358" t="e">
        <f>RigheOfferte[[#This Row],[passo]]</f>
        <v>#VALUE!</v>
      </c>
      <c r="M358" t="e">
        <f>RigheOfferte[[#This Row],[nr.pezzi Telaio]]</f>
        <v>#VALUE!</v>
      </c>
      <c r="N358" t="e">
        <f>RigheOfferte[[#This Row],[nr.pezzi ora-unita]]</f>
        <v>#VALUE!</v>
      </c>
      <c r="O358" t="e">
        <f>Tabella1[[#This Row],[superificie]]*Resa</f>
        <v>#VALUE!</v>
      </c>
      <c r="P358" t="e">
        <f>Tabella1[[#This Row],[KgPezzo]]*Tabella1[[#This Row],[q.ta offerta]]</f>
        <v>#VALUE!</v>
      </c>
      <c r="Q358" t="e">
        <f>RigheOfferte[[#This Row],[QtaProtez]]</f>
        <v>#VALUE!</v>
      </c>
      <c r="R358" t="e">
        <f>RigheOfferte[[#This Row],[Tipo Protezione]]</f>
        <v>#VALUE!</v>
      </c>
    </row>
    <row r="359" spans="1:18">
      <c r="A359" t="e">
        <f>RigheOfferte[[#This Row],[Nprev]]</f>
        <v>#VALUE!</v>
      </c>
      <c r="B359" t="e">
        <f>RigheOfferte[[#This Row],[Nriga]]</f>
        <v>#VALUE!</v>
      </c>
      <c r="C359" t="e">
        <f>RigheOfferte[[#This Row],[Cliente]]</f>
        <v>#VALUE!</v>
      </c>
      <c r="D359" t="e">
        <f>RigheOfferte[[#This Row],[sub_cliente]]</f>
        <v>#VALUE!</v>
      </c>
      <c r="E359" t="e">
        <f>RigheOfferte[[#This Row],[cod.Art.]]</f>
        <v>#VALUE!</v>
      </c>
      <c r="F359" t="e">
        <f>RigheOfferte[[#This Row],[Descrizione]]</f>
        <v>#VALUE!</v>
      </c>
      <c r="G359" t="e">
        <f>RigheOfferte[[#This Row],[Q.ta'']]</f>
        <v>#VALUE!</v>
      </c>
      <c r="H359" t="e">
        <f>RigheOfferte[[#This Row],[Lavorazione]]</f>
        <v>#VALUE!</v>
      </c>
      <c r="I359" t="e">
        <f>RigheOfferte[[#This Row],[Colore]]</f>
        <v>#VALUE!</v>
      </c>
      <c r="J359" t="e">
        <f>RigheOfferte[[#This Row],[Velocità]]</f>
        <v>#VALUE!</v>
      </c>
      <c r="K359" t="e">
        <f>RigheOfferte[[#This Row],[Superf.pz Mq]]</f>
        <v>#VALUE!</v>
      </c>
      <c r="L359" t="e">
        <f>RigheOfferte[[#This Row],[passo]]</f>
        <v>#VALUE!</v>
      </c>
      <c r="M359" t="e">
        <f>RigheOfferte[[#This Row],[nr.pezzi Telaio]]</f>
        <v>#VALUE!</v>
      </c>
      <c r="N359" t="e">
        <f>RigheOfferte[[#This Row],[nr.pezzi ora-unita]]</f>
        <v>#VALUE!</v>
      </c>
      <c r="O359" t="e">
        <f>Tabella1[[#This Row],[superificie]]*Resa</f>
        <v>#VALUE!</v>
      </c>
      <c r="P359" t="e">
        <f>Tabella1[[#This Row],[KgPezzo]]*Tabella1[[#This Row],[q.ta offerta]]</f>
        <v>#VALUE!</v>
      </c>
      <c r="Q359" t="e">
        <f>RigheOfferte[[#This Row],[QtaProtez]]</f>
        <v>#VALUE!</v>
      </c>
      <c r="R359" t="e">
        <f>RigheOfferte[[#This Row],[Tipo Protezione]]</f>
        <v>#VALUE!</v>
      </c>
    </row>
    <row r="360" spans="1:18">
      <c r="A360" t="e">
        <f>RigheOfferte[[#This Row],[Nprev]]</f>
        <v>#VALUE!</v>
      </c>
      <c r="B360" t="e">
        <f>RigheOfferte[[#This Row],[Nriga]]</f>
        <v>#VALUE!</v>
      </c>
      <c r="C360" t="e">
        <f>RigheOfferte[[#This Row],[Cliente]]</f>
        <v>#VALUE!</v>
      </c>
      <c r="D360" t="e">
        <f>RigheOfferte[[#This Row],[sub_cliente]]</f>
        <v>#VALUE!</v>
      </c>
      <c r="E360" t="e">
        <f>RigheOfferte[[#This Row],[cod.Art.]]</f>
        <v>#VALUE!</v>
      </c>
      <c r="F360" t="e">
        <f>RigheOfferte[[#This Row],[Descrizione]]</f>
        <v>#VALUE!</v>
      </c>
      <c r="G360" t="e">
        <f>RigheOfferte[[#This Row],[Q.ta'']]</f>
        <v>#VALUE!</v>
      </c>
      <c r="H360" t="e">
        <f>RigheOfferte[[#This Row],[Lavorazione]]</f>
        <v>#VALUE!</v>
      </c>
      <c r="I360" t="e">
        <f>RigheOfferte[[#This Row],[Colore]]</f>
        <v>#VALUE!</v>
      </c>
      <c r="J360" t="e">
        <f>RigheOfferte[[#This Row],[Velocità]]</f>
        <v>#VALUE!</v>
      </c>
      <c r="K360" t="e">
        <f>RigheOfferte[[#This Row],[Superf.pz Mq]]</f>
        <v>#VALUE!</v>
      </c>
      <c r="L360" t="e">
        <f>RigheOfferte[[#This Row],[passo]]</f>
        <v>#VALUE!</v>
      </c>
      <c r="M360" t="e">
        <f>RigheOfferte[[#This Row],[nr.pezzi Telaio]]</f>
        <v>#VALUE!</v>
      </c>
      <c r="N360" t="e">
        <f>RigheOfferte[[#This Row],[nr.pezzi ora-unita]]</f>
        <v>#VALUE!</v>
      </c>
      <c r="O360" t="e">
        <f>Tabella1[[#This Row],[superificie]]*Resa</f>
        <v>#VALUE!</v>
      </c>
      <c r="P360" t="e">
        <f>Tabella1[[#This Row],[KgPezzo]]*Tabella1[[#This Row],[q.ta offerta]]</f>
        <v>#VALUE!</v>
      </c>
      <c r="Q360" t="e">
        <f>RigheOfferte[[#This Row],[QtaProtez]]</f>
        <v>#VALUE!</v>
      </c>
      <c r="R360" t="e">
        <f>RigheOfferte[[#This Row],[Tipo Protezione]]</f>
        <v>#VALUE!</v>
      </c>
    </row>
    <row r="361" spans="1:18">
      <c r="A361" t="e">
        <f>RigheOfferte[[#This Row],[Nprev]]</f>
        <v>#VALUE!</v>
      </c>
      <c r="B361" t="e">
        <f>RigheOfferte[[#This Row],[Nriga]]</f>
        <v>#VALUE!</v>
      </c>
      <c r="C361" t="e">
        <f>RigheOfferte[[#This Row],[Cliente]]</f>
        <v>#VALUE!</v>
      </c>
      <c r="D361" t="e">
        <f>RigheOfferte[[#This Row],[sub_cliente]]</f>
        <v>#VALUE!</v>
      </c>
      <c r="E361" t="e">
        <f>RigheOfferte[[#This Row],[cod.Art.]]</f>
        <v>#VALUE!</v>
      </c>
      <c r="F361" t="e">
        <f>RigheOfferte[[#This Row],[Descrizione]]</f>
        <v>#VALUE!</v>
      </c>
      <c r="G361" t="e">
        <f>RigheOfferte[[#This Row],[Q.ta'']]</f>
        <v>#VALUE!</v>
      </c>
      <c r="H361" t="e">
        <f>RigheOfferte[[#This Row],[Lavorazione]]</f>
        <v>#VALUE!</v>
      </c>
      <c r="I361" t="e">
        <f>RigheOfferte[[#This Row],[Colore]]</f>
        <v>#VALUE!</v>
      </c>
      <c r="J361" t="e">
        <f>RigheOfferte[[#This Row],[Velocità]]</f>
        <v>#VALUE!</v>
      </c>
      <c r="K361" t="e">
        <f>RigheOfferte[[#This Row],[Superf.pz Mq]]</f>
        <v>#VALUE!</v>
      </c>
      <c r="L361" t="e">
        <f>RigheOfferte[[#This Row],[passo]]</f>
        <v>#VALUE!</v>
      </c>
      <c r="M361" t="e">
        <f>RigheOfferte[[#This Row],[nr.pezzi Telaio]]</f>
        <v>#VALUE!</v>
      </c>
      <c r="N361" t="e">
        <f>RigheOfferte[[#This Row],[nr.pezzi ora-unita]]</f>
        <v>#VALUE!</v>
      </c>
      <c r="O361" t="e">
        <f>Tabella1[[#This Row],[superificie]]*Resa</f>
        <v>#VALUE!</v>
      </c>
      <c r="P361" t="e">
        <f>Tabella1[[#This Row],[KgPezzo]]*Tabella1[[#This Row],[q.ta offerta]]</f>
        <v>#VALUE!</v>
      </c>
      <c r="Q361" t="e">
        <f>RigheOfferte[[#This Row],[QtaProtez]]</f>
        <v>#VALUE!</v>
      </c>
      <c r="R361" t="e">
        <f>RigheOfferte[[#This Row],[Tipo Protezione]]</f>
        <v>#VALUE!</v>
      </c>
    </row>
    <row r="362" spans="1:18">
      <c r="A362" t="e">
        <f>RigheOfferte[[#This Row],[Nprev]]</f>
        <v>#VALUE!</v>
      </c>
      <c r="B362" t="e">
        <f>RigheOfferte[[#This Row],[Nriga]]</f>
        <v>#VALUE!</v>
      </c>
      <c r="C362" t="e">
        <f>RigheOfferte[[#This Row],[Cliente]]</f>
        <v>#VALUE!</v>
      </c>
      <c r="D362" t="e">
        <f>RigheOfferte[[#This Row],[sub_cliente]]</f>
        <v>#VALUE!</v>
      </c>
      <c r="E362" t="e">
        <f>RigheOfferte[[#This Row],[cod.Art.]]</f>
        <v>#VALUE!</v>
      </c>
      <c r="F362" t="e">
        <f>RigheOfferte[[#This Row],[Descrizione]]</f>
        <v>#VALUE!</v>
      </c>
      <c r="G362" t="e">
        <f>RigheOfferte[[#This Row],[Q.ta'']]</f>
        <v>#VALUE!</v>
      </c>
      <c r="H362" t="e">
        <f>RigheOfferte[[#This Row],[Lavorazione]]</f>
        <v>#VALUE!</v>
      </c>
      <c r="I362" t="e">
        <f>RigheOfferte[[#This Row],[Colore]]</f>
        <v>#VALUE!</v>
      </c>
      <c r="J362" t="e">
        <f>RigheOfferte[[#This Row],[Velocità]]</f>
        <v>#VALUE!</v>
      </c>
      <c r="K362" t="e">
        <f>RigheOfferte[[#This Row],[Superf.pz Mq]]</f>
        <v>#VALUE!</v>
      </c>
      <c r="L362" t="e">
        <f>RigheOfferte[[#This Row],[passo]]</f>
        <v>#VALUE!</v>
      </c>
      <c r="M362" t="e">
        <f>RigheOfferte[[#This Row],[nr.pezzi Telaio]]</f>
        <v>#VALUE!</v>
      </c>
      <c r="N362" t="e">
        <f>RigheOfferte[[#This Row],[nr.pezzi ora-unita]]</f>
        <v>#VALUE!</v>
      </c>
      <c r="O362" t="e">
        <f>Tabella1[[#This Row],[superificie]]*Resa</f>
        <v>#VALUE!</v>
      </c>
      <c r="P362" t="e">
        <f>Tabella1[[#This Row],[KgPezzo]]*Tabella1[[#This Row],[q.ta offerta]]</f>
        <v>#VALUE!</v>
      </c>
      <c r="Q362" t="e">
        <f>RigheOfferte[[#This Row],[QtaProtez]]</f>
        <v>#VALUE!</v>
      </c>
      <c r="R362" t="e">
        <f>RigheOfferte[[#This Row],[Tipo Protezione]]</f>
        <v>#VALUE!</v>
      </c>
    </row>
    <row r="363" spans="1:18">
      <c r="A363" t="e">
        <f>RigheOfferte[[#This Row],[Nprev]]</f>
        <v>#VALUE!</v>
      </c>
      <c r="B363" t="e">
        <f>RigheOfferte[[#This Row],[Nriga]]</f>
        <v>#VALUE!</v>
      </c>
      <c r="C363" t="e">
        <f>RigheOfferte[[#This Row],[Cliente]]</f>
        <v>#VALUE!</v>
      </c>
      <c r="D363" t="e">
        <f>RigheOfferte[[#This Row],[sub_cliente]]</f>
        <v>#VALUE!</v>
      </c>
      <c r="E363" t="e">
        <f>RigheOfferte[[#This Row],[cod.Art.]]</f>
        <v>#VALUE!</v>
      </c>
      <c r="F363" t="e">
        <f>RigheOfferte[[#This Row],[Descrizione]]</f>
        <v>#VALUE!</v>
      </c>
      <c r="G363" t="e">
        <f>RigheOfferte[[#This Row],[Q.ta'']]</f>
        <v>#VALUE!</v>
      </c>
      <c r="H363" t="e">
        <f>RigheOfferte[[#This Row],[Lavorazione]]</f>
        <v>#VALUE!</v>
      </c>
      <c r="I363" t="e">
        <f>RigheOfferte[[#This Row],[Colore]]</f>
        <v>#VALUE!</v>
      </c>
      <c r="J363" t="e">
        <f>RigheOfferte[[#This Row],[Velocità]]</f>
        <v>#VALUE!</v>
      </c>
      <c r="K363" t="e">
        <f>RigheOfferte[[#This Row],[Superf.pz Mq]]</f>
        <v>#VALUE!</v>
      </c>
      <c r="L363" t="e">
        <f>RigheOfferte[[#This Row],[passo]]</f>
        <v>#VALUE!</v>
      </c>
      <c r="M363" t="e">
        <f>RigheOfferte[[#This Row],[nr.pezzi Telaio]]</f>
        <v>#VALUE!</v>
      </c>
      <c r="N363" t="e">
        <f>RigheOfferte[[#This Row],[nr.pezzi ora-unita]]</f>
        <v>#VALUE!</v>
      </c>
      <c r="O363" t="e">
        <f>Tabella1[[#This Row],[superificie]]*Resa</f>
        <v>#VALUE!</v>
      </c>
      <c r="P363" t="e">
        <f>Tabella1[[#This Row],[KgPezzo]]*Tabella1[[#This Row],[q.ta offerta]]</f>
        <v>#VALUE!</v>
      </c>
      <c r="Q363" t="e">
        <f>RigheOfferte[[#This Row],[QtaProtez]]</f>
        <v>#VALUE!</v>
      </c>
      <c r="R363" t="e">
        <f>RigheOfferte[[#This Row],[Tipo Protezione]]</f>
        <v>#VALUE!</v>
      </c>
    </row>
    <row r="364" spans="1:18">
      <c r="A364" t="e">
        <f>RigheOfferte[[#This Row],[Nprev]]</f>
        <v>#VALUE!</v>
      </c>
      <c r="B364" t="e">
        <f>RigheOfferte[[#This Row],[Nriga]]</f>
        <v>#VALUE!</v>
      </c>
      <c r="C364" t="e">
        <f>RigheOfferte[[#This Row],[Cliente]]</f>
        <v>#VALUE!</v>
      </c>
      <c r="D364" t="e">
        <f>RigheOfferte[[#This Row],[sub_cliente]]</f>
        <v>#VALUE!</v>
      </c>
      <c r="E364" t="e">
        <f>RigheOfferte[[#This Row],[cod.Art.]]</f>
        <v>#VALUE!</v>
      </c>
      <c r="F364" t="e">
        <f>RigheOfferte[[#This Row],[Descrizione]]</f>
        <v>#VALUE!</v>
      </c>
      <c r="G364" t="e">
        <f>RigheOfferte[[#This Row],[Q.ta'']]</f>
        <v>#VALUE!</v>
      </c>
      <c r="H364" t="e">
        <f>RigheOfferte[[#This Row],[Lavorazione]]</f>
        <v>#VALUE!</v>
      </c>
      <c r="I364" t="e">
        <f>RigheOfferte[[#This Row],[Colore]]</f>
        <v>#VALUE!</v>
      </c>
      <c r="J364" t="e">
        <f>RigheOfferte[[#This Row],[Velocità]]</f>
        <v>#VALUE!</v>
      </c>
      <c r="K364" t="e">
        <f>RigheOfferte[[#This Row],[Superf.pz Mq]]</f>
        <v>#VALUE!</v>
      </c>
      <c r="L364" t="e">
        <f>RigheOfferte[[#This Row],[passo]]</f>
        <v>#VALUE!</v>
      </c>
      <c r="M364" t="e">
        <f>RigheOfferte[[#This Row],[nr.pezzi Telaio]]</f>
        <v>#VALUE!</v>
      </c>
      <c r="N364" t="e">
        <f>RigheOfferte[[#This Row],[nr.pezzi ora-unita]]</f>
        <v>#VALUE!</v>
      </c>
      <c r="O364" t="e">
        <f>Tabella1[[#This Row],[superificie]]*Resa</f>
        <v>#VALUE!</v>
      </c>
      <c r="P364" t="e">
        <f>Tabella1[[#This Row],[KgPezzo]]*Tabella1[[#This Row],[q.ta offerta]]</f>
        <v>#VALUE!</v>
      </c>
      <c r="Q364" t="e">
        <f>RigheOfferte[[#This Row],[QtaProtez]]</f>
        <v>#VALUE!</v>
      </c>
      <c r="R364" t="e">
        <f>RigheOfferte[[#This Row],[Tipo Protezione]]</f>
        <v>#VALUE!</v>
      </c>
    </row>
    <row r="365" spans="1:18">
      <c r="A365" t="e">
        <f>RigheOfferte[[#This Row],[Nprev]]</f>
        <v>#VALUE!</v>
      </c>
      <c r="B365" t="e">
        <f>RigheOfferte[[#This Row],[Nriga]]</f>
        <v>#VALUE!</v>
      </c>
      <c r="C365" t="e">
        <f>RigheOfferte[[#This Row],[Cliente]]</f>
        <v>#VALUE!</v>
      </c>
      <c r="D365" t="e">
        <f>RigheOfferte[[#This Row],[sub_cliente]]</f>
        <v>#VALUE!</v>
      </c>
      <c r="E365" t="e">
        <f>RigheOfferte[[#This Row],[cod.Art.]]</f>
        <v>#VALUE!</v>
      </c>
      <c r="F365" t="e">
        <f>RigheOfferte[[#This Row],[Descrizione]]</f>
        <v>#VALUE!</v>
      </c>
      <c r="G365" t="e">
        <f>RigheOfferte[[#This Row],[Q.ta'']]</f>
        <v>#VALUE!</v>
      </c>
      <c r="H365" t="e">
        <f>RigheOfferte[[#This Row],[Lavorazione]]</f>
        <v>#VALUE!</v>
      </c>
      <c r="I365" t="e">
        <f>RigheOfferte[[#This Row],[Colore]]</f>
        <v>#VALUE!</v>
      </c>
      <c r="J365" t="e">
        <f>RigheOfferte[[#This Row],[Velocità]]</f>
        <v>#VALUE!</v>
      </c>
      <c r="K365" t="e">
        <f>RigheOfferte[[#This Row],[Superf.pz Mq]]</f>
        <v>#VALUE!</v>
      </c>
      <c r="L365" t="e">
        <f>RigheOfferte[[#This Row],[passo]]</f>
        <v>#VALUE!</v>
      </c>
      <c r="M365" t="e">
        <f>RigheOfferte[[#This Row],[nr.pezzi Telaio]]</f>
        <v>#VALUE!</v>
      </c>
      <c r="N365" t="e">
        <f>RigheOfferte[[#This Row],[nr.pezzi ora-unita]]</f>
        <v>#VALUE!</v>
      </c>
      <c r="O365" t="e">
        <f>Tabella1[[#This Row],[superificie]]*Resa</f>
        <v>#VALUE!</v>
      </c>
      <c r="P365" t="e">
        <f>Tabella1[[#This Row],[KgPezzo]]*Tabella1[[#This Row],[q.ta offerta]]</f>
        <v>#VALUE!</v>
      </c>
      <c r="Q365" t="e">
        <f>RigheOfferte[[#This Row],[QtaProtez]]</f>
        <v>#VALUE!</v>
      </c>
      <c r="R365" t="e">
        <f>RigheOfferte[[#This Row],[Tipo Protezione]]</f>
        <v>#VALUE!</v>
      </c>
    </row>
    <row r="366" spans="1:18">
      <c r="A366" t="e">
        <f>RigheOfferte[[#This Row],[Nprev]]</f>
        <v>#VALUE!</v>
      </c>
      <c r="B366" t="e">
        <f>RigheOfferte[[#This Row],[Nriga]]</f>
        <v>#VALUE!</v>
      </c>
      <c r="C366" t="e">
        <f>RigheOfferte[[#This Row],[Cliente]]</f>
        <v>#VALUE!</v>
      </c>
      <c r="D366" t="e">
        <f>RigheOfferte[[#This Row],[sub_cliente]]</f>
        <v>#VALUE!</v>
      </c>
      <c r="E366" t="e">
        <f>RigheOfferte[[#This Row],[cod.Art.]]</f>
        <v>#VALUE!</v>
      </c>
      <c r="F366" t="e">
        <f>RigheOfferte[[#This Row],[Descrizione]]</f>
        <v>#VALUE!</v>
      </c>
      <c r="G366" t="e">
        <f>RigheOfferte[[#This Row],[Q.ta'']]</f>
        <v>#VALUE!</v>
      </c>
      <c r="H366" t="e">
        <f>RigheOfferte[[#This Row],[Lavorazione]]</f>
        <v>#VALUE!</v>
      </c>
      <c r="I366" t="e">
        <f>RigheOfferte[[#This Row],[Colore]]</f>
        <v>#VALUE!</v>
      </c>
      <c r="J366" t="e">
        <f>RigheOfferte[[#This Row],[Velocità]]</f>
        <v>#VALUE!</v>
      </c>
      <c r="K366" t="e">
        <f>RigheOfferte[[#This Row],[Superf.pz Mq]]</f>
        <v>#VALUE!</v>
      </c>
      <c r="L366" t="e">
        <f>RigheOfferte[[#This Row],[passo]]</f>
        <v>#VALUE!</v>
      </c>
      <c r="M366" t="e">
        <f>RigheOfferte[[#This Row],[nr.pezzi Telaio]]</f>
        <v>#VALUE!</v>
      </c>
      <c r="N366" t="e">
        <f>RigheOfferte[[#This Row],[nr.pezzi ora-unita]]</f>
        <v>#VALUE!</v>
      </c>
      <c r="O366" t="e">
        <f>Tabella1[[#This Row],[superificie]]*Resa</f>
        <v>#VALUE!</v>
      </c>
      <c r="P366" t="e">
        <f>Tabella1[[#This Row],[KgPezzo]]*Tabella1[[#This Row],[q.ta offerta]]</f>
        <v>#VALUE!</v>
      </c>
      <c r="Q366" t="e">
        <f>RigheOfferte[[#This Row],[QtaProtez]]</f>
        <v>#VALUE!</v>
      </c>
      <c r="R366" t="e">
        <f>RigheOfferte[[#This Row],[Tipo Protezione]]</f>
        <v>#VALUE!</v>
      </c>
    </row>
    <row r="367" spans="1:18">
      <c r="A367" t="e">
        <f>RigheOfferte[[#This Row],[Nprev]]</f>
        <v>#VALUE!</v>
      </c>
      <c r="B367" t="e">
        <f>RigheOfferte[[#This Row],[Nriga]]</f>
        <v>#VALUE!</v>
      </c>
      <c r="C367" t="e">
        <f>RigheOfferte[[#This Row],[Cliente]]</f>
        <v>#VALUE!</v>
      </c>
      <c r="D367" t="e">
        <f>RigheOfferte[[#This Row],[sub_cliente]]</f>
        <v>#VALUE!</v>
      </c>
      <c r="E367" t="e">
        <f>RigheOfferte[[#This Row],[cod.Art.]]</f>
        <v>#VALUE!</v>
      </c>
      <c r="F367" t="e">
        <f>RigheOfferte[[#This Row],[Descrizione]]</f>
        <v>#VALUE!</v>
      </c>
      <c r="G367" t="e">
        <f>RigheOfferte[[#This Row],[Q.ta'']]</f>
        <v>#VALUE!</v>
      </c>
      <c r="H367" t="e">
        <f>RigheOfferte[[#This Row],[Lavorazione]]</f>
        <v>#VALUE!</v>
      </c>
      <c r="I367" t="e">
        <f>RigheOfferte[[#This Row],[Colore]]</f>
        <v>#VALUE!</v>
      </c>
      <c r="J367" t="e">
        <f>RigheOfferte[[#This Row],[Velocità]]</f>
        <v>#VALUE!</v>
      </c>
      <c r="K367" t="e">
        <f>RigheOfferte[[#This Row],[Superf.pz Mq]]</f>
        <v>#VALUE!</v>
      </c>
      <c r="L367" t="e">
        <f>RigheOfferte[[#This Row],[passo]]</f>
        <v>#VALUE!</v>
      </c>
      <c r="M367" t="e">
        <f>RigheOfferte[[#This Row],[nr.pezzi Telaio]]</f>
        <v>#VALUE!</v>
      </c>
      <c r="N367" t="e">
        <f>RigheOfferte[[#This Row],[nr.pezzi ora-unita]]</f>
        <v>#VALUE!</v>
      </c>
      <c r="O367" t="e">
        <f>Tabella1[[#This Row],[superificie]]*Resa</f>
        <v>#VALUE!</v>
      </c>
      <c r="P367" t="e">
        <f>Tabella1[[#This Row],[KgPezzo]]*Tabella1[[#This Row],[q.ta offerta]]</f>
        <v>#VALUE!</v>
      </c>
      <c r="Q367" t="e">
        <f>RigheOfferte[[#This Row],[QtaProtez]]</f>
        <v>#VALUE!</v>
      </c>
      <c r="R367" t="e">
        <f>RigheOfferte[[#This Row],[Tipo Protezione]]</f>
        <v>#VALUE!</v>
      </c>
    </row>
    <row r="368" spans="1:18">
      <c r="A368" t="e">
        <f>RigheOfferte[[#This Row],[Nprev]]</f>
        <v>#VALUE!</v>
      </c>
      <c r="B368" t="e">
        <f>RigheOfferte[[#This Row],[Nriga]]</f>
        <v>#VALUE!</v>
      </c>
      <c r="C368" t="e">
        <f>RigheOfferte[[#This Row],[Cliente]]</f>
        <v>#VALUE!</v>
      </c>
      <c r="D368" t="e">
        <f>RigheOfferte[[#This Row],[sub_cliente]]</f>
        <v>#VALUE!</v>
      </c>
      <c r="E368" t="e">
        <f>RigheOfferte[[#This Row],[cod.Art.]]</f>
        <v>#VALUE!</v>
      </c>
      <c r="F368" t="e">
        <f>RigheOfferte[[#This Row],[Descrizione]]</f>
        <v>#VALUE!</v>
      </c>
      <c r="G368" t="e">
        <f>RigheOfferte[[#This Row],[Q.ta'']]</f>
        <v>#VALUE!</v>
      </c>
      <c r="H368" t="e">
        <f>RigheOfferte[[#This Row],[Lavorazione]]</f>
        <v>#VALUE!</v>
      </c>
      <c r="I368" t="e">
        <f>RigheOfferte[[#This Row],[Colore]]</f>
        <v>#VALUE!</v>
      </c>
      <c r="J368" t="e">
        <f>RigheOfferte[[#This Row],[Velocità]]</f>
        <v>#VALUE!</v>
      </c>
      <c r="K368" t="e">
        <f>RigheOfferte[[#This Row],[Superf.pz Mq]]</f>
        <v>#VALUE!</v>
      </c>
      <c r="L368" t="e">
        <f>RigheOfferte[[#This Row],[passo]]</f>
        <v>#VALUE!</v>
      </c>
      <c r="M368" t="e">
        <f>RigheOfferte[[#This Row],[nr.pezzi Telaio]]</f>
        <v>#VALUE!</v>
      </c>
      <c r="N368" t="e">
        <f>RigheOfferte[[#This Row],[nr.pezzi ora-unita]]</f>
        <v>#VALUE!</v>
      </c>
      <c r="O368" t="e">
        <f>Tabella1[[#This Row],[superificie]]*Resa</f>
        <v>#VALUE!</v>
      </c>
      <c r="P368" t="e">
        <f>Tabella1[[#This Row],[KgPezzo]]*Tabella1[[#This Row],[q.ta offerta]]</f>
        <v>#VALUE!</v>
      </c>
      <c r="Q368" t="e">
        <f>RigheOfferte[[#This Row],[QtaProtez]]</f>
        <v>#VALUE!</v>
      </c>
      <c r="R368" t="e">
        <f>RigheOfferte[[#This Row],[Tipo Protezione]]</f>
        <v>#VALUE!</v>
      </c>
    </row>
    <row r="369" spans="1:18">
      <c r="A369" t="e">
        <f>RigheOfferte[[#This Row],[Nprev]]</f>
        <v>#VALUE!</v>
      </c>
      <c r="B369" t="e">
        <f>RigheOfferte[[#This Row],[Nriga]]</f>
        <v>#VALUE!</v>
      </c>
      <c r="C369" t="e">
        <f>RigheOfferte[[#This Row],[Cliente]]</f>
        <v>#VALUE!</v>
      </c>
      <c r="D369" t="e">
        <f>RigheOfferte[[#This Row],[sub_cliente]]</f>
        <v>#VALUE!</v>
      </c>
      <c r="E369" t="e">
        <f>RigheOfferte[[#This Row],[cod.Art.]]</f>
        <v>#VALUE!</v>
      </c>
      <c r="F369" t="e">
        <f>RigheOfferte[[#This Row],[Descrizione]]</f>
        <v>#VALUE!</v>
      </c>
      <c r="G369" t="e">
        <f>RigheOfferte[[#This Row],[Q.ta'']]</f>
        <v>#VALUE!</v>
      </c>
      <c r="H369" t="e">
        <f>RigheOfferte[[#This Row],[Lavorazione]]</f>
        <v>#VALUE!</v>
      </c>
      <c r="I369" t="e">
        <f>RigheOfferte[[#This Row],[Colore]]</f>
        <v>#VALUE!</v>
      </c>
      <c r="J369" t="e">
        <f>RigheOfferte[[#This Row],[Velocità]]</f>
        <v>#VALUE!</v>
      </c>
      <c r="K369" t="e">
        <f>RigheOfferte[[#This Row],[Superf.pz Mq]]</f>
        <v>#VALUE!</v>
      </c>
      <c r="L369" t="e">
        <f>RigheOfferte[[#This Row],[passo]]</f>
        <v>#VALUE!</v>
      </c>
      <c r="M369" t="e">
        <f>RigheOfferte[[#This Row],[nr.pezzi Telaio]]</f>
        <v>#VALUE!</v>
      </c>
      <c r="N369" t="e">
        <f>RigheOfferte[[#This Row],[nr.pezzi ora-unita]]</f>
        <v>#VALUE!</v>
      </c>
      <c r="O369" t="e">
        <f>Tabella1[[#This Row],[superificie]]*Resa</f>
        <v>#VALUE!</v>
      </c>
      <c r="P369" t="e">
        <f>Tabella1[[#This Row],[KgPezzo]]*Tabella1[[#This Row],[q.ta offerta]]</f>
        <v>#VALUE!</v>
      </c>
      <c r="Q369" t="e">
        <f>RigheOfferte[[#This Row],[QtaProtez]]</f>
        <v>#VALUE!</v>
      </c>
      <c r="R369" t="e">
        <f>RigheOfferte[[#This Row],[Tipo Protezione]]</f>
        <v>#VALUE!</v>
      </c>
    </row>
    <row r="370" spans="1:18">
      <c r="A370" t="e">
        <f>RigheOfferte[[#This Row],[Nprev]]</f>
        <v>#VALUE!</v>
      </c>
      <c r="B370" t="e">
        <f>RigheOfferte[[#This Row],[Nriga]]</f>
        <v>#VALUE!</v>
      </c>
      <c r="C370" t="e">
        <f>RigheOfferte[[#This Row],[Cliente]]</f>
        <v>#VALUE!</v>
      </c>
      <c r="D370" t="e">
        <f>RigheOfferte[[#This Row],[sub_cliente]]</f>
        <v>#VALUE!</v>
      </c>
      <c r="E370" t="e">
        <f>RigheOfferte[[#This Row],[cod.Art.]]</f>
        <v>#VALUE!</v>
      </c>
      <c r="F370" t="e">
        <f>RigheOfferte[[#This Row],[Descrizione]]</f>
        <v>#VALUE!</v>
      </c>
      <c r="G370" t="e">
        <f>RigheOfferte[[#This Row],[Q.ta'']]</f>
        <v>#VALUE!</v>
      </c>
      <c r="H370" t="e">
        <f>RigheOfferte[[#This Row],[Lavorazione]]</f>
        <v>#VALUE!</v>
      </c>
      <c r="I370" t="e">
        <f>RigheOfferte[[#This Row],[Colore]]</f>
        <v>#VALUE!</v>
      </c>
      <c r="J370" t="e">
        <f>RigheOfferte[[#This Row],[Velocità]]</f>
        <v>#VALUE!</v>
      </c>
      <c r="K370" t="e">
        <f>RigheOfferte[[#This Row],[Superf.pz Mq]]</f>
        <v>#VALUE!</v>
      </c>
      <c r="L370" t="e">
        <f>RigheOfferte[[#This Row],[passo]]</f>
        <v>#VALUE!</v>
      </c>
      <c r="M370" t="e">
        <f>RigheOfferte[[#This Row],[nr.pezzi Telaio]]</f>
        <v>#VALUE!</v>
      </c>
      <c r="N370" t="e">
        <f>RigheOfferte[[#This Row],[nr.pezzi ora-unita]]</f>
        <v>#VALUE!</v>
      </c>
      <c r="O370" t="e">
        <f>Tabella1[[#This Row],[superificie]]*Resa</f>
        <v>#VALUE!</v>
      </c>
      <c r="P370" t="e">
        <f>Tabella1[[#This Row],[KgPezzo]]*Tabella1[[#This Row],[q.ta offerta]]</f>
        <v>#VALUE!</v>
      </c>
      <c r="Q370" t="e">
        <f>RigheOfferte[[#This Row],[QtaProtez]]</f>
        <v>#VALUE!</v>
      </c>
      <c r="R370" t="e">
        <f>RigheOfferte[[#This Row],[Tipo Protezione]]</f>
        <v>#VALUE!</v>
      </c>
    </row>
    <row r="371" spans="1:18">
      <c r="A371" t="e">
        <f>RigheOfferte[[#This Row],[Nprev]]</f>
        <v>#VALUE!</v>
      </c>
      <c r="B371" t="e">
        <f>RigheOfferte[[#This Row],[Nriga]]</f>
        <v>#VALUE!</v>
      </c>
      <c r="C371" t="e">
        <f>RigheOfferte[[#This Row],[Cliente]]</f>
        <v>#VALUE!</v>
      </c>
      <c r="D371" t="e">
        <f>RigheOfferte[[#This Row],[sub_cliente]]</f>
        <v>#VALUE!</v>
      </c>
      <c r="E371" t="e">
        <f>RigheOfferte[[#This Row],[cod.Art.]]</f>
        <v>#VALUE!</v>
      </c>
      <c r="F371" t="e">
        <f>RigheOfferte[[#This Row],[Descrizione]]</f>
        <v>#VALUE!</v>
      </c>
      <c r="G371" t="e">
        <f>RigheOfferte[[#This Row],[Q.ta'']]</f>
        <v>#VALUE!</v>
      </c>
      <c r="H371" t="e">
        <f>RigheOfferte[[#This Row],[Lavorazione]]</f>
        <v>#VALUE!</v>
      </c>
      <c r="I371" t="e">
        <f>RigheOfferte[[#This Row],[Colore]]</f>
        <v>#VALUE!</v>
      </c>
      <c r="J371" t="e">
        <f>RigheOfferte[[#This Row],[Velocità]]</f>
        <v>#VALUE!</v>
      </c>
      <c r="K371" t="e">
        <f>RigheOfferte[[#This Row],[Superf.pz Mq]]</f>
        <v>#VALUE!</v>
      </c>
      <c r="L371" t="e">
        <f>RigheOfferte[[#This Row],[passo]]</f>
        <v>#VALUE!</v>
      </c>
      <c r="M371" t="e">
        <f>RigheOfferte[[#This Row],[nr.pezzi Telaio]]</f>
        <v>#VALUE!</v>
      </c>
      <c r="N371" t="e">
        <f>RigheOfferte[[#This Row],[nr.pezzi ora-unita]]</f>
        <v>#VALUE!</v>
      </c>
      <c r="O371" t="e">
        <f>Tabella1[[#This Row],[superificie]]*Resa</f>
        <v>#VALUE!</v>
      </c>
      <c r="P371" t="e">
        <f>Tabella1[[#This Row],[KgPezzo]]*Tabella1[[#This Row],[q.ta offerta]]</f>
        <v>#VALUE!</v>
      </c>
      <c r="Q371" t="e">
        <f>RigheOfferte[[#This Row],[QtaProtez]]</f>
        <v>#VALUE!</v>
      </c>
      <c r="R371" t="e">
        <f>RigheOfferte[[#This Row],[Tipo Protezione]]</f>
        <v>#VALUE!</v>
      </c>
    </row>
    <row r="372" spans="1:18">
      <c r="A372" t="e">
        <f>RigheOfferte[[#This Row],[Nprev]]</f>
        <v>#VALUE!</v>
      </c>
      <c r="B372" t="e">
        <f>RigheOfferte[[#This Row],[Nriga]]</f>
        <v>#VALUE!</v>
      </c>
      <c r="C372" t="e">
        <f>RigheOfferte[[#This Row],[Cliente]]</f>
        <v>#VALUE!</v>
      </c>
      <c r="D372" t="e">
        <f>RigheOfferte[[#This Row],[sub_cliente]]</f>
        <v>#VALUE!</v>
      </c>
      <c r="E372" t="e">
        <f>RigheOfferte[[#This Row],[cod.Art.]]</f>
        <v>#VALUE!</v>
      </c>
      <c r="F372" t="e">
        <f>RigheOfferte[[#This Row],[Descrizione]]</f>
        <v>#VALUE!</v>
      </c>
      <c r="G372" t="e">
        <f>RigheOfferte[[#This Row],[Q.ta'']]</f>
        <v>#VALUE!</v>
      </c>
      <c r="H372" t="e">
        <f>RigheOfferte[[#This Row],[Lavorazione]]</f>
        <v>#VALUE!</v>
      </c>
      <c r="I372" t="e">
        <f>RigheOfferte[[#This Row],[Colore]]</f>
        <v>#VALUE!</v>
      </c>
      <c r="J372" t="e">
        <f>RigheOfferte[[#This Row],[Velocità]]</f>
        <v>#VALUE!</v>
      </c>
      <c r="K372" t="e">
        <f>RigheOfferte[[#This Row],[Superf.pz Mq]]</f>
        <v>#VALUE!</v>
      </c>
      <c r="L372" t="e">
        <f>RigheOfferte[[#This Row],[passo]]</f>
        <v>#VALUE!</v>
      </c>
      <c r="M372" t="e">
        <f>RigheOfferte[[#This Row],[nr.pezzi Telaio]]</f>
        <v>#VALUE!</v>
      </c>
      <c r="N372" t="e">
        <f>RigheOfferte[[#This Row],[nr.pezzi ora-unita]]</f>
        <v>#VALUE!</v>
      </c>
      <c r="O372" t="e">
        <f>Tabella1[[#This Row],[superificie]]*Resa</f>
        <v>#VALUE!</v>
      </c>
      <c r="P372" t="e">
        <f>Tabella1[[#This Row],[KgPezzo]]*Tabella1[[#This Row],[q.ta offerta]]</f>
        <v>#VALUE!</v>
      </c>
      <c r="Q372" t="e">
        <f>RigheOfferte[[#This Row],[QtaProtez]]</f>
        <v>#VALUE!</v>
      </c>
      <c r="R372" t="e">
        <f>RigheOfferte[[#This Row],[Tipo Protezione]]</f>
        <v>#VALUE!</v>
      </c>
    </row>
    <row r="373" spans="1:18">
      <c r="A373" t="e">
        <f>RigheOfferte[[#This Row],[Nprev]]</f>
        <v>#VALUE!</v>
      </c>
      <c r="B373" t="e">
        <f>RigheOfferte[[#This Row],[Nriga]]</f>
        <v>#VALUE!</v>
      </c>
      <c r="C373" t="e">
        <f>RigheOfferte[[#This Row],[Cliente]]</f>
        <v>#VALUE!</v>
      </c>
      <c r="D373" t="e">
        <f>RigheOfferte[[#This Row],[sub_cliente]]</f>
        <v>#VALUE!</v>
      </c>
      <c r="E373" t="e">
        <f>RigheOfferte[[#This Row],[cod.Art.]]</f>
        <v>#VALUE!</v>
      </c>
      <c r="F373" t="e">
        <f>RigheOfferte[[#This Row],[Descrizione]]</f>
        <v>#VALUE!</v>
      </c>
      <c r="G373" t="e">
        <f>RigheOfferte[[#This Row],[Q.ta'']]</f>
        <v>#VALUE!</v>
      </c>
      <c r="H373" t="e">
        <f>RigheOfferte[[#This Row],[Lavorazione]]</f>
        <v>#VALUE!</v>
      </c>
      <c r="I373" t="e">
        <f>RigheOfferte[[#This Row],[Colore]]</f>
        <v>#VALUE!</v>
      </c>
      <c r="J373" t="e">
        <f>RigheOfferte[[#This Row],[Velocità]]</f>
        <v>#VALUE!</v>
      </c>
      <c r="K373" t="e">
        <f>RigheOfferte[[#This Row],[Superf.pz Mq]]</f>
        <v>#VALUE!</v>
      </c>
      <c r="L373" t="e">
        <f>RigheOfferte[[#This Row],[passo]]</f>
        <v>#VALUE!</v>
      </c>
      <c r="M373" t="e">
        <f>RigheOfferte[[#This Row],[nr.pezzi Telaio]]</f>
        <v>#VALUE!</v>
      </c>
      <c r="N373" t="e">
        <f>RigheOfferte[[#This Row],[nr.pezzi ora-unita]]</f>
        <v>#VALUE!</v>
      </c>
      <c r="O373" t="e">
        <f>Tabella1[[#This Row],[superificie]]*Resa</f>
        <v>#VALUE!</v>
      </c>
      <c r="P373" t="e">
        <f>Tabella1[[#This Row],[KgPezzo]]*Tabella1[[#This Row],[q.ta offerta]]</f>
        <v>#VALUE!</v>
      </c>
      <c r="Q373" t="e">
        <f>RigheOfferte[[#This Row],[QtaProtez]]</f>
        <v>#VALUE!</v>
      </c>
      <c r="R373" t="e">
        <f>RigheOfferte[[#This Row],[Tipo Protezione]]</f>
        <v>#VALUE!</v>
      </c>
    </row>
    <row r="374" spans="1:18">
      <c r="A374" t="e">
        <f>RigheOfferte[[#This Row],[Nprev]]</f>
        <v>#VALUE!</v>
      </c>
      <c r="B374" t="e">
        <f>RigheOfferte[[#This Row],[Nriga]]</f>
        <v>#VALUE!</v>
      </c>
      <c r="C374" t="e">
        <f>RigheOfferte[[#This Row],[Cliente]]</f>
        <v>#VALUE!</v>
      </c>
      <c r="D374" t="e">
        <f>RigheOfferte[[#This Row],[sub_cliente]]</f>
        <v>#VALUE!</v>
      </c>
      <c r="E374" t="e">
        <f>RigheOfferte[[#This Row],[cod.Art.]]</f>
        <v>#VALUE!</v>
      </c>
      <c r="F374" t="e">
        <f>RigheOfferte[[#This Row],[Descrizione]]</f>
        <v>#VALUE!</v>
      </c>
      <c r="G374" t="e">
        <f>RigheOfferte[[#This Row],[Q.ta'']]</f>
        <v>#VALUE!</v>
      </c>
      <c r="H374" t="e">
        <f>RigheOfferte[[#This Row],[Lavorazione]]</f>
        <v>#VALUE!</v>
      </c>
      <c r="I374" t="e">
        <f>RigheOfferte[[#This Row],[Colore]]</f>
        <v>#VALUE!</v>
      </c>
      <c r="J374" t="e">
        <f>RigheOfferte[[#This Row],[Velocità]]</f>
        <v>#VALUE!</v>
      </c>
      <c r="K374" t="e">
        <f>RigheOfferte[[#This Row],[Superf.pz Mq]]</f>
        <v>#VALUE!</v>
      </c>
      <c r="L374" t="e">
        <f>RigheOfferte[[#This Row],[passo]]</f>
        <v>#VALUE!</v>
      </c>
      <c r="M374" t="e">
        <f>RigheOfferte[[#This Row],[nr.pezzi Telaio]]</f>
        <v>#VALUE!</v>
      </c>
      <c r="N374" t="e">
        <f>RigheOfferte[[#This Row],[nr.pezzi ora-unita]]</f>
        <v>#VALUE!</v>
      </c>
      <c r="O374" t="e">
        <f>Tabella1[[#This Row],[superificie]]*Resa</f>
        <v>#VALUE!</v>
      </c>
      <c r="P374" t="e">
        <f>Tabella1[[#This Row],[KgPezzo]]*Tabella1[[#This Row],[q.ta offerta]]</f>
        <v>#VALUE!</v>
      </c>
      <c r="Q374" t="e">
        <f>RigheOfferte[[#This Row],[QtaProtez]]</f>
        <v>#VALUE!</v>
      </c>
      <c r="R374" t="e">
        <f>RigheOfferte[[#This Row],[Tipo Protezione]]</f>
        <v>#VALUE!</v>
      </c>
    </row>
    <row r="375" spans="1:18">
      <c r="A375" t="e">
        <f>RigheOfferte[[#This Row],[Nprev]]</f>
        <v>#VALUE!</v>
      </c>
      <c r="B375" t="e">
        <f>RigheOfferte[[#This Row],[Nriga]]</f>
        <v>#VALUE!</v>
      </c>
      <c r="C375" t="e">
        <f>RigheOfferte[[#This Row],[Cliente]]</f>
        <v>#VALUE!</v>
      </c>
      <c r="D375" t="e">
        <f>RigheOfferte[[#This Row],[sub_cliente]]</f>
        <v>#VALUE!</v>
      </c>
      <c r="E375" t="e">
        <f>RigheOfferte[[#This Row],[cod.Art.]]</f>
        <v>#VALUE!</v>
      </c>
      <c r="F375" t="e">
        <f>RigheOfferte[[#This Row],[Descrizione]]</f>
        <v>#VALUE!</v>
      </c>
      <c r="G375" t="e">
        <f>RigheOfferte[[#This Row],[Q.ta'']]</f>
        <v>#VALUE!</v>
      </c>
      <c r="H375" t="e">
        <f>RigheOfferte[[#This Row],[Lavorazione]]</f>
        <v>#VALUE!</v>
      </c>
      <c r="I375" t="e">
        <f>RigheOfferte[[#This Row],[Colore]]</f>
        <v>#VALUE!</v>
      </c>
      <c r="J375" t="e">
        <f>RigheOfferte[[#This Row],[Velocità]]</f>
        <v>#VALUE!</v>
      </c>
      <c r="K375" t="e">
        <f>RigheOfferte[[#This Row],[Superf.pz Mq]]</f>
        <v>#VALUE!</v>
      </c>
      <c r="L375" t="e">
        <f>RigheOfferte[[#This Row],[passo]]</f>
        <v>#VALUE!</v>
      </c>
      <c r="M375" t="e">
        <f>RigheOfferte[[#This Row],[nr.pezzi Telaio]]</f>
        <v>#VALUE!</v>
      </c>
      <c r="N375" t="e">
        <f>RigheOfferte[[#This Row],[nr.pezzi ora-unita]]</f>
        <v>#VALUE!</v>
      </c>
      <c r="O375" t="e">
        <f>Tabella1[[#This Row],[superificie]]*Resa</f>
        <v>#VALUE!</v>
      </c>
      <c r="P375" t="e">
        <f>Tabella1[[#This Row],[KgPezzo]]*Tabella1[[#This Row],[q.ta offerta]]</f>
        <v>#VALUE!</v>
      </c>
      <c r="Q375" t="e">
        <f>RigheOfferte[[#This Row],[QtaProtez]]</f>
        <v>#VALUE!</v>
      </c>
      <c r="R375" t="e">
        <f>RigheOfferte[[#This Row],[Tipo Protezione]]</f>
        <v>#VALUE!</v>
      </c>
    </row>
    <row r="376" spans="1:18">
      <c r="A376" t="e">
        <f>RigheOfferte[[#This Row],[Nprev]]</f>
        <v>#VALUE!</v>
      </c>
      <c r="B376" t="e">
        <f>RigheOfferte[[#This Row],[Nriga]]</f>
        <v>#VALUE!</v>
      </c>
      <c r="C376" t="e">
        <f>RigheOfferte[[#This Row],[Cliente]]</f>
        <v>#VALUE!</v>
      </c>
      <c r="D376" t="e">
        <f>RigheOfferte[[#This Row],[sub_cliente]]</f>
        <v>#VALUE!</v>
      </c>
      <c r="E376" t="e">
        <f>RigheOfferte[[#This Row],[cod.Art.]]</f>
        <v>#VALUE!</v>
      </c>
      <c r="F376" t="e">
        <f>RigheOfferte[[#This Row],[Descrizione]]</f>
        <v>#VALUE!</v>
      </c>
      <c r="G376" t="e">
        <f>RigheOfferte[[#This Row],[Q.ta'']]</f>
        <v>#VALUE!</v>
      </c>
      <c r="H376" t="e">
        <f>RigheOfferte[[#This Row],[Lavorazione]]</f>
        <v>#VALUE!</v>
      </c>
      <c r="I376" t="e">
        <f>RigheOfferte[[#This Row],[Colore]]</f>
        <v>#VALUE!</v>
      </c>
      <c r="J376" t="e">
        <f>RigheOfferte[[#This Row],[Velocità]]</f>
        <v>#VALUE!</v>
      </c>
      <c r="K376" t="e">
        <f>RigheOfferte[[#This Row],[Superf.pz Mq]]</f>
        <v>#VALUE!</v>
      </c>
      <c r="L376" t="e">
        <f>RigheOfferte[[#This Row],[passo]]</f>
        <v>#VALUE!</v>
      </c>
      <c r="M376" t="e">
        <f>RigheOfferte[[#This Row],[nr.pezzi Telaio]]</f>
        <v>#VALUE!</v>
      </c>
      <c r="N376" t="e">
        <f>RigheOfferte[[#This Row],[nr.pezzi ora-unita]]</f>
        <v>#VALUE!</v>
      </c>
      <c r="O376" t="e">
        <f>Tabella1[[#This Row],[superificie]]*Resa</f>
        <v>#VALUE!</v>
      </c>
      <c r="P376" t="e">
        <f>Tabella1[[#This Row],[KgPezzo]]*Tabella1[[#This Row],[q.ta offerta]]</f>
        <v>#VALUE!</v>
      </c>
      <c r="Q376" t="e">
        <f>RigheOfferte[[#This Row],[QtaProtez]]</f>
        <v>#VALUE!</v>
      </c>
      <c r="R376" t="e">
        <f>RigheOfferte[[#This Row],[Tipo Protezione]]</f>
        <v>#VALUE!</v>
      </c>
    </row>
    <row r="377" spans="1:18">
      <c r="A377" t="e">
        <f>RigheOfferte[[#This Row],[Nprev]]</f>
        <v>#VALUE!</v>
      </c>
      <c r="B377" t="e">
        <f>RigheOfferte[[#This Row],[Nriga]]</f>
        <v>#VALUE!</v>
      </c>
      <c r="C377" t="e">
        <f>RigheOfferte[[#This Row],[Cliente]]</f>
        <v>#VALUE!</v>
      </c>
      <c r="D377" t="e">
        <f>RigheOfferte[[#This Row],[sub_cliente]]</f>
        <v>#VALUE!</v>
      </c>
      <c r="E377" t="e">
        <f>RigheOfferte[[#This Row],[cod.Art.]]</f>
        <v>#VALUE!</v>
      </c>
      <c r="F377" t="e">
        <f>RigheOfferte[[#This Row],[Descrizione]]</f>
        <v>#VALUE!</v>
      </c>
      <c r="G377" t="e">
        <f>RigheOfferte[[#This Row],[Q.ta'']]</f>
        <v>#VALUE!</v>
      </c>
      <c r="H377" t="e">
        <f>RigheOfferte[[#This Row],[Lavorazione]]</f>
        <v>#VALUE!</v>
      </c>
      <c r="I377" t="e">
        <f>RigheOfferte[[#This Row],[Colore]]</f>
        <v>#VALUE!</v>
      </c>
      <c r="J377" t="e">
        <f>RigheOfferte[[#This Row],[Velocità]]</f>
        <v>#VALUE!</v>
      </c>
      <c r="K377" t="e">
        <f>RigheOfferte[[#This Row],[Superf.pz Mq]]</f>
        <v>#VALUE!</v>
      </c>
      <c r="L377" t="e">
        <f>RigheOfferte[[#This Row],[passo]]</f>
        <v>#VALUE!</v>
      </c>
      <c r="M377" t="e">
        <f>RigheOfferte[[#This Row],[nr.pezzi Telaio]]</f>
        <v>#VALUE!</v>
      </c>
      <c r="N377" t="e">
        <f>RigheOfferte[[#This Row],[nr.pezzi ora-unita]]</f>
        <v>#VALUE!</v>
      </c>
      <c r="O377" t="e">
        <f>Tabella1[[#This Row],[superificie]]*Resa</f>
        <v>#VALUE!</v>
      </c>
      <c r="P377" t="e">
        <f>Tabella1[[#This Row],[KgPezzo]]*Tabella1[[#This Row],[q.ta offerta]]</f>
        <v>#VALUE!</v>
      </c>
      <c r="Q377" t="e">
        <f>RigheOfferte[[#This Row],[QtaProtez]]</f>
        <v>#VALUE!</v>
      </c>
      <c r="R377" t="e">
        <f>RigheOfferte[[#This Row],[Tipo Protezione]]</f>
        <v>#VALUE!</v>
      </c>
    </row>
    <row r="378" spans="1:18">
      <c r="A378" t="e">
        <f>RigheOfferte[[#This Row],[Nprev]]</f>
        <v>#VALUE!</v>
      </c>
      <c r="B378" t="e">
        <f>RigheOfferte[[#This Row],[Nriga]]</f>
        <v>#VALUE!</v>
      </c>
      <c r="C378" t="e">
        <f>RigheOfferte[[#This Row],[Cliente]]</f>
        <v>#VALUE!</v>
      </c>
      <c r="D378" t="e">
        <f>RigheOfferte[[#This Row],[sub_cliente]]</f>
        <v>#VALUE!</v>
      </c>
      <c r="E378" t="e">
        <f>RigheOfferte[[#This Row],[cod.Art.]]</f>
        <v>#VALUE!</v>
      </c>
      <c r="F378" t="e">
        <f>RigheOfferte[[#This Row],[Descrizione]]</f>
        <v>#VALUE!</v>
      </c>
      <c r="G378" t="e">
        <f>RigheOfferte[[#This Row],[Q.ta'']]</f>
        <v>#VALUE!</v>
      </c>
      <c r="H378" t="e">
        <f>RigheOfferte[[#This Row],[Lavorazione]]</f>
        <v>#VALUE!</v>
      </c>
      <c r="I378" t="e">
        <f>RigheOfferte[[#This Row],[Colore]]</f>
        <v>#VALUE!</v>
      </c>
      <c r="J378" t="e">
        <f>RigheOfferte[[#This Row],[Velocità]]</f>
        <v>#VALUE!</v>
      </c>
      <c r="K378" t="e">
        <f>RigheOfferte[[#This Row],[Superf.pz Mq]]</f>
        <v>#VALUE!</v>
      </c>
      <c r="L378" t="e">
        <f>RigheOfferte[[#This Row],[passo]]</f>
        <v>#VALUE!</v>
      </c>
      <c r="M378" t="e">
        <f>RigheOfferte[[#This Row],[nr.pezzi Telaio]]</f>
        <v>#VALUE!</v>
      </c>
      <c r="N378" t="e">
        <f>RigheOfferte[[#This Row],[nr.pezzi ora-unita]]</f>
        <v>#VALUE!</v>
      </c>
      <c r="O378" t="e">
        <f>Tabella1[[#This Row],[superificie]]*Resa</f>
        <v>#VALUE!</v>
      </c>
      <c r="P378" t="e">
        <f>Tabella1[[#This Row],[KgPezzo]]*Tabella1[[#This Row],[q.ta offerta]]</f>
        <v>#VALUE!</v>
      </c>
      <c r="Q378" t="e">
        <f>RigheOfferte[[#This Row],[QtaProtez]]</f>
        <v>#VALUE!</v>
      </c>
      <c r="R378" t="e">
        <f>RigheOfferte[[#This Row],[Tipo Protezione]]</f>
        <v>#VALUE!</v>
      </c>
    </row>
    <row r="379" spans="1:18">
      <c r="A379" t="e">
        <f>RigheOfferte[[#This Row],[Nprev]]</f>
        <v>#VALUE!</v>
      </c>
      <c r="B379" t="e">
        <f>RigheOfferte[[#This Row],[Nriga]]</f>
        <v>#VALUE!</v>
      </c>
      <c r="C379" t="e">
        <f>RigheOfferte[[#This Row],[Cliente]]</f>
        <v>#VALUE!</v>
      </c>
      <c r="D379" t="e">
        <f>RigheOfferte[[#This Row],[sub_cliente]]</f>
        <v>#VALUE!</v>
      </c>
      <c r="E379" t="e">
        <f>RigheOfferte[[#This Row],[cod.Art.]]</f>
        <v>#VALUE!</v>
      </c>
      <c r="F379" t="e">
        <f>RigheOfferte[[#This Row],[Descrizione]]</f>
        <v>#VALUE!</v>
      </c>
      <c r="G379" t="e">
        <f>RigheOfferte[[#This Row],[Q.ta'']]</f>
        <v>#VALUE!</v>
      </c>
      <c r="H379" t="e">
        <f>RigheOfferte[[#This Row],[Lavorazione]]</f>
        <v>#VALUE!</v>
      </c>
      <c r="I379" t="e">
        <f>RigheOfferte[[#This Row],[Colore]]</f>
        <v>#VALUE!</v>
      </c>
      <c r="J379" t="e">
        <f>RigheOfferte[[#This Row],[Velocità]]</f>
        <v>#VALUE!</v>
      </c>
      <c r="K379" t="e">
        <f>RigheOfferte[[#This Row],[Superf.pz Mq]]</f>
        <v>#VALUE!</v>
      </c>
      <c r="L379" t="e">
        <f>RigheOfferte[[#This Row],[passo]]</f>
        <v>#VALUE!</v>
      </c>
      <c r="M379" t="e">
        <f>RigheOfferte[[#This Row],[nr.pezzi Telaio]]</f>
        <v>#VALUE!</v>
      </c>
      <c r="N379" t="e">
        <f>RigheOfferte[[#This Row],[nr.pezzi ora-unita]]</f>
        <v>#VALUE!</v>
      </c>
      <c r="O379" t="e">
        <f>Tabella1[[#This Row],[superificie]]*Resa</f>
        <v>#VALUE!</v>
      </c>
      <c r="P379" t="e">
        <f>Tabella1[[#This Row],[KgPezzo]]*Tabella1[[#This Row],[q.ta offerta]]</f>
        <v>#VALUE!</v>
      </c>
      <c r="Q379" t="e">
        <f>RigheOfferte[[#This Row],[QtaProtez]]</f>
        <v>#VALUE!</v>
      </c>
      <c r="R379" t="e">
        <f>RigheOfferte[[#This Row],[Tipo Protezione]]</f>
        <v>#VALUE!</v>
      </c>
    </row>
    <row r="380" spans="1:18">
      <c r="A380" t="e">
        <f>RigheOfferte[[#This Row],[Nprev]]</f>
        <v>#VALUE!</v>
      </c>
      <c r="B380" t="e">
        <f>RigheOfferte[[#This Row],[Nriga]]</f>
        <v>#VALUE!</v>
      </c>
      <c r="C380" t="e">
        <f>RigheOfferte[[#This Row],[Cliente]]</f>
        <v>#VALUE!</v>
      </c>
      <c r="D380" t="e">
        <f>RigheOfferte[[#This Row],[sub_cliente]]</f>
        <v>#VALUE!</v>
      </c>
      <c r="E380" t="e">
        <f>RigheOfferte[[#This Row],[cod.Art.]]</f>
        <v>#VALUE!</v>
      </c>
      <c r="F380" t="e">
        <f>RigheOfferte[[#This Row],[Descrizione]]</f>
        <v>#VALUE!</v>
      </c>
      <c r="G380" t="e">
        <f>RigheOfferte[[#This Row],[Q.ta'']]</f>
        <v>#VALUE!</v>
      </c>
      <c r="H380" t="e">
        <f>RigheOfferte[[#This Row],[Lavorazione]]</f>
        <v>#VALUE!</v>
      </c>
      <c r="I380" t="e">
        <f>RigheOfferte[[#This Row],[Colore]]</f>
        <v>#VALUE!</v>
      </c>
      <c r="J380" t="e">
        <f>RigheOfferte[[#This Row],[Velocità]]</f>
        <v>#VALUE!</v>
      </c>
      <c r="K380" t="e">
        <f>RigheOfferte[[#This Row],[Superf.pz Mq]]</f>
        <v>#VALUE!</v>
      </c>
      <c r="L380" t="e">
        <f>RigheOfferte[[#This Row],[passo]]</f>
        <v>#VALUE!</v>
      </c>
      <c r="M380" t="e">
        <f>RigheOfferte[[#This Row],[nr.pezzi Telaio]]</f>
        <v>#VALUE!</v>
      </c>
      <c r="N380" t="e">
        <f>RigheOfferte[[#This Row],[nr.pezzi ora-unita]]</f>
        <v>#VALUE!</v>
      </c>
      <c r="O380" t="e">
        <f>Tabella1[[#This Row],[superificie]]*Resa</f>
        <v>#VALUE!</v>
      </c>
      <c r="P380" t="e">
        <f>Tabella1[[#This Row],[KgPezzo]]*Tabella1[[#This Row],[q.ta offerta]]</f>
        <v>#VALUE!</v>
      </c>
      <c r="Q380" t="e">
        <f>RigheOfferte[[#This Row],[QtaProtez]]</f>
        <v>#VALUE!</v>
      </c>
      <c r="R380" t="e">
        <f>RigheOfferte[[#This Row],[Tipo Protezione]]</f>
        <v>#VALUE!</v>
      </c>
    </row>
    <row r="381" spans="1:18">
      <c r="A381" t="e">
        <f>RigheOfferte[[#This Row],[Nprev]]</f>
        <v>#VALUE!</v>
      </c>
      <c r="B381" t="e">
        <f>RigheOfferte[[#This Row],[Nriga]]</f>
        <v>#VALUE!</v>
      </c>
      <c r="C381" t="e">
        <f>RigheOfferte[[#This Row],[Cliente]]</f>
        <v>#VALUE!</v>
      </c>
      <c r="D381" t="e">
        <f>RigheOfferte[[#This Row],[sub_cliente]]</f>
        <v>#VALUE!</v>
      </c>
      <c r="E381" t="e">
        <f>RigheOfferte[[#This Row],[cod.Art.]]</f>
        <v>#VALUE!</v>
      </c>
      <c r="F381" t="e">
        <f>RigheOfferte[[#This Row],[Descrizione]]</f>
        <v>#VALUE!</v>
      </c>
      <c r="G381" t="e">
        <f>RigheOfferte[[#This Row],[Q.ta'']]</f>
        <v>#VALUE!</v>
      </c>
      <c r="H381" t="e">
        <f>RigheOfferte[[#This Row],[Lavorazione]]</f>
        <v>#VALUE!</v>
      </c>
      <c r="I381" t="e">
        <f>RigheOfferte[[#This Row],[Colore]]</f>
        <v>#VALUE!</v>
      </c>
      <c r="J381" t="e">
        <f>RigheOfferte[[#This Row],[Velocità]]</f>
        <v>#VALUE!</v>
      </c>
      <c r="K381" t="e">
        <f>RigheOfferte[[#This Row],[Superf.pz Mq]]</f>
        <v>#VALUE!</v>
      </c>
      <c r="L381" t="e">
        <f>RigheOfferte[[#This Row],[passo]]</f>
        <v>#VALUE!</v>
      </c>
      <c r="M381" t="e">
        <f>RigheOfferte[[#This Row],[nr.pezzi Telaio]]</f>
        <v>#VALUE!</v>
      </c>
      <c r="N381" t="e">
        <f>RigheOfferte[[#This Row],[nr.pezzi ora-unita]]</f>
        <v>#VALUE!</v>
      </c>
      <c r="O381" t="e">
        <f>Tabella1[[#This Row],[superificie]]*Resa</f>
        <v>#VALUE!</v>
      </c>
      <c r="P381" t="e">
        <f>Tabella1[[#This Row],[KgPezzo]]*Tabella1[[#This Row],[q.ta offerta]]</f>
        <v>#VALUE!</v>
      </c>
      <c r="Q381" t="e">
        <f>RigheOfferte[[#This Row],[QtaProtez]]</f>
        <v>#VALUE!</v>
      </c>
      <c r="R381" t="e">
        <f>RigheOfferte[[#This Row],[Tipo Protezione]]</f>
        <v>#VALUE!</v>
      </c>
    </row>
    <row r="382" spans="1:18">
      <c r="A382" t="e">
        <f>RigheOfferte[[#This Row],[Nprev]]</f>
        <v>#VALUE!</v>
      </c>
      <c r="B382" t="e">
        <f>RigheOfferte[[#This Row],[Nriga]]</f>
        <v>#VALUE!</v>
      </c>
      <c r="C382" t="e">
        <f>RigheOfferte[[#This Row],[Cliente]]</f>
        <v>#VALUE!</v>
      </c>
      <c r="D382" t="e">
        <f>RigheOfferte[[#This Row],[sub_cliente]]</f>
        <v>#VALUE!</v>
      </c>
      <c r="E382" t="e">
        <f>RigheOfferte[[#This Row],[cod.Art.]]</f>
        <v>#VALUE!</v>
      </c>
      <c r="F382" t="e">
        <f>RigheOfferte[[#This Row],[Descrizione]]</f>
        <v>#VALUE!</v>
      </c>
      <c r="G382" t="e">
        <f>RigheOfferte[[#This Row],[Q.ta'']]</f>
        <v>#VALUE!</v>
      </c>
      <c r="H382" t="e">
        <f>RigheOfferte[[#This Row],[Lavorazione]]</f>
        <v>#VALUE!</v>
      </c>
      <c r="I382" t="e">
        <f>RigheOfferte[[#This Row],[Colore]]</f>
        <v>#VALUE!</v>
      </c>
      <c r="J382" t="e">
        <f>RigheOfferte[[#This Row],[Velocità]]</f>
        <v>#VALUE!</v>
      </c>
      <c r="K382" t="e">
        <f>RigheOfferte[[#This Row],[Superf.pz Mq]]</f>
        <v>#VALUE!</v>
      </c>
      <c r="L382" t="e">
        <f>RigheOfferte[[#This Row],[passo]]</f>
        <v>#VALUE!</v>
      </c>
      <c r="M382" t="e">
        <f>RigheOfferte[[#This Row],[nr.pezzi Telaio]]</f>
        <v>#VALUE!</v>
      </c>
      <c r="N382" t="e">
        <f>RigheOfferte[[#This Row],[nr.pezzi ora-unita]]</f>
        <v>#VALUE!</v>
      </c>
      <c r="O382" t="e">
        <f>Tabella1[[#This Row],[superificie]]*Resa</f>
        <v>#VALUE!</v>
      </c>
      <c r="P382" t="e">
        <f>Tabella1[[#This Row],[KgPezzo]]*Tabella1[[#This Row],[q.ta offerta]]</f>
        <v>#VALUE!</v>
      </c>
      <c r="Q382" t="e">
        <f>RigheOfferte[[#This Row],[QtaProtez]]</f>
        <v>#VALUE!</v>
      </c>
      <c r="R382" t="e">
        <f>RigheOfferte[[#This Row],[Tipo Protezione]]</f>
        <v>#VALUE!</v>
      </c>
    </row>
    <row r="383" spans="1:18">
      <c r="A383" t="e">
        <f>RigheOfferte[[#This Row],[Nprev]]</f>
        <v>#VALUE!</v>
      </c>
      <c r="B383" t="e">
        <f>RigheOfferte[[#This Row],[Nriga]]</f>
        <v>#VALUE!</v>
      </c>
      <c r="C383" t="e">
        <f>RigheOfferte[[#This Row],[Cliente]]</f>
        <v>#VALUE!</v>
      </c>
      <c r="D383" t="e">
        <f>RigheOfferte[[#This Row],[sub_cliente]]</f>
        <v>#VALUE!</v>
      </c>
      <c r="E383" t="e">
        <f>RigheOfferte[[#This Row],[cod.Art.]]</f>
        <v>#VALUE!</v>
      </c>
      <c r="F383" t="e">
        <f>RigheOfferte[[#This Row],[Descrizione]]</f>
        <v>#VALUE!</v>
      </c>
      <c r="G383" t="e">
        <f>RigheOfferte[[#This Row],[Q.ta'']]</f>
        <v>#VALUE!</v>
      </c>
      <c r="H383" t="e">
        <f>RigheOfferte[[#This Row],[Lavorazione]]</f>
        <v>#VALUE!</v>
      </c>
      <c r="I383" t="e">
        <f>RigheOfferte[[#This Row],[Colore]]</f>
        <v>#VALUE!</v>
      </c>
      <c r="J383" t="e">
        <f>RigheOfferte[[#This Row],[Velocità]]</f>
        <v>#VALUE!</v>
      </c>
      <c r="K383" t="e">
        <f>RigheOfferte[[#This Row],[Superf.pz Mq]]</f>
        <v>#VALUE!</v>
      </c>
      <c r="L383" t="e">
        <f>RigheOfferte[[#This Row],[passo]]</f>
        <v>#VALUE!</v>
      </c>
      <c r="M383" t="e">
        <f>RigheOfferte[[#This Row],[nr.pezzi Telaio]]</f>
        <v>#VALUE!</v>
      </c>
      <c r="N383" t="e">
        <f>RigheOfferte[[#This Row],[nr.pezzi ora-unita]]</f>
        <v>#VALUE!</v>
      </c>
      <c r="O383" t="e">
        <f>Tabella1[[#This Row],[superificie]]*Resa</f>
        <v>#VALUE!</v>
      </c>
      <c r="P383" t="e">
        <f>Tabella1[[#This Row],[KgPezzo]]*Tabella1[[#This Row],[q.ta offerta]]</f>
        <v>#VALUE!</v>
      </c>
      <c r="Q383" t="e">
        <f>RigheOfferte[[#This Row],[QtaProtez]]</f>
        <v>#VALUE!</v>
      </c>
      <c r="R383" t="e">
        <f>RigheOfferte[[#This Row],[Tipo Protezione]]</f>
        <v>#VALUE!</v>
      </c>
    </row>
    <row r="384" spans="1:18">
      <c r="A384" t="e">
        <f>RigheOfferte[[#This Row],[Nprev]]</f>
        <v>#VALUE!</v>
      </c>
      <c r="B384" t="e">
        <f>RigheOfferte[[#This Row],[Nriga]]</f>
        <v>#VALUE!</v>
      </c>
      <c r="C384" t="e">
        <f>RigheOfferte[[#This Row],[Cliente]]</f>
        <v>#VALUE!</v>
      </c>
      <c r="D384" t="e">
        <f>RigheOfferte[[#This Row],[sub_cliente]]</f>
        <v>#VALUE!</v>
      </c>
      <c r="E384" t="e">
        <f>RigheOfferte[[#This Row],[cod.Art.]]</f>
        <v>#VALUE!</v>
      </c>
      <c r="F384" t="e">
        <f>RigheOfferte[[#This Row],[Descrizione]]</f>
        <v>#VALUE!</v>
      </c>
      <c r="G384" t="e">
        <f>RigheOfferte[[#This Row],[Q.ta'']]</f>
        <v>#VALUE!</v>
      </c>
      <c r="H384" t="e">
        <f>RigheOfferte[[#This Row],[Lavorazione]]</f>
        <v>#VALUE!</v>
      </c>
      <c r="I384" t="e">
        <f>RigheOfferte[[#This Row],[Colore]]</f>
        <v>#VALUE!</v>
      </c>
      <c r="J384" t="e">
        <f>RigheOfferte[[#This Row],[Velocità]]</f>
        <v>#VALUE!</v>
      </c>
      <c r="K384" t="e">
        <f>RigheOfferte[[#This Row],[Superf.pz Mq]]</f>
        <v>#VALUE!</v>
      </c>
      <c r="L384" t="e">
        <f>RigheOfferte[[#This Row],[passo]]</f>
        <v>#VALUE!</v>
      </c>
      <c r="M384" t="e">
        <f>RigheOfferte[[#This Row],[nr.pezzi Telaio]]</f>
        <v>#VALUE!</v>
      </c>
      <c r="N384" t="e">
        <f>RigheOfferte[[#This Row],[nr.pezzi ora-unita]]</f>
        <v>#VALUE!</v>
      </c>
      <c r="O384" t="e">
        <f>Tabella1[[#This Row],[superificie]]*Resa</f>
        <v>#VALUE!</v>
      </c>
      <c r="P384" t="e">
        <f>Tabella1[[#This Row],[KgPezzo]]*Tabella1[[#This Row],[q.ta offerta]]</f>
        <v>#VALUE!</v>
      </c>
      <c r="Q384" t="e">
        <f>RigheOfferte[[#This Row],[QtaProtez]]</f>
        <v>#VALUE!</v>
      </c>
      <c r="R384" t="e">
        <f>RigheOfferte[[#This Row],[Tipo Protezione]]</f>
        <v>#VALUE!</v>
      </c>
    </row>
    <row r="385" spans="1:18">
      <c r="A385" t="e">
        <f>RigheOfferte[[#This Row],[Nprev]]</f>
        <v>#VALUE!</v>
      </c>
      <c r="B385" t="e">
        <f>RigheOfferte[[#This Row],[Nriga]]</f>
        <v>#VALUE!</v>
      </c>
      <c r="C385" t="e">
        <f>RigheOfferte[[#This Row],[Cliente]]</f>
        <v>#VALUE!</v>
      </c>
      <c r="D385" t="e">
        <f>RigheOfferte[[#This Row],[sub_cliente]]</f>
        <v>#VALUE!</v>
      </c>
      <c r="E385" t="e">
        <f>RigheOfferte[[#This Row],[cod.Art.]]</f>
        <v>#VALUE!</v>
      </c>
      <c r="F385" t="e">
        <f>RigheOfferte[[#This Row],[Descrizione]]</f>
        <v>#VALUE!</v>
      </c>
      <c r="G385" t="e">
        <f>RigheOfferte[[#This Row],[Q.ta'']]</f>
        <v>#VALUE!</v>
      </c>
      <c r="H385" t="e">
        <f>RigheOfferte[[#This Row],[Lavorazione]]</f>
        <v>#VALUE!</v>
      </c>
      <c r="I385" t="e">
        <f>RigheOfferte[[#This Row],[Colore]]</f>
        <v>#VALUE!</v>
      </c>
      <c r="J385" t="e">
        <f>RigheOfferte[[#This Row],[Velocità]]</f>
        <v>#VALUE!</v>
      </c>
      <c r="K385" t="e">
        <f>RigheOfferte[[#This Row],[Superf.pz Mq]]</f>
        <v>#VALUE!</v>
      </c>
      <c r="L385" t="e">
        <f>RigheOfferte[[#This Row],[passo]]</f>
        <v>#VALUE!</v>
      </c>
      <c r="M385" t="e">
        <f>RigheOfferte[[#This Row],[nr.pezzi Telaio]]</f>
        <v>#VALUE!</v>
      </c>
      <c r="N385" t="e">
        <f>RigheOfferte[[#This Row],[nr.pezzi ora-unita]]</f>
        <v>#VALUE!</v>
      </c>
      <c r="O385" t="e">
        <f>Tabella1[[#This Row],[superificie]]*Resa</f>
        <v>#VALUE!</v>
      </c>
      <c r="P385" t="e">
        <f>Tabella1[[#This Row],[KgPezzo]]*Tabella1[[#This Row],[q.ta offerta]]</f>
        <v>#VALUE!</v>
      </c>
      <c r="Q385" t="e">
        <f>RigheOfferte[[#This Row],[QtaProtez]]</f>
        <v>#VALUE!</v>
      </c>
      <c r="R385" t="e">
        <f>RigheOfferte[[#This Row],[Tipo Protezione]]</f>
        <v>#VALUE!</v>
      </c>
    </row>
    <row r="386" spans="1:18">
      <c r="A386" t="e">
        <f>RigheOfferte[[#This Row],[Nprev]]</f>
        <v>#VALUE!</v>
      </c>
      <c r="B386" t="e">
        <f>RigheOfferte[[#This Row],[Nriga]]</f>
        <v>#VALUE!</v>
      </c>
      <c r="C386" t="e">
        <f>RigheOfferte[[#This Row],[Cliente]]</f>
        <v>#VALUE!</v>
      </c>
      <c r="D386" t="e">
        <f>RigheOfferte[[#This Row],[sub_cliente]]</f>
        <v>#VALUE!</v>
      </c>
      <c r="E386" t="e">
        <f>RigheOfferte[[#This Row],[cod.Art.]]</f>
        <v>#VALUE!</v>
      </c>
      <c r="F386" t="e">
        <f>RigheOfferte[[#This Row],[Descrizione]]</f>
        <v>#VALUE!</v>
      </c>
      <c r="G386" t="e">
        <f>RigheOfferte[[#This Row],[Q.ta'']]</f>
        <v>#VALUE!</v>
      </c>
      <c r="H386" t="e">
        <f>RigheOfferte[[#This Row],[Lavorazione]]</f>
        <v>#VALUE!</v>
      </c>
      <c r="I386" t="e">
        <f>RigheOfferte[[#This Row],[Colore]]</f>
        <v>#VALUE!</v>
      </c>
      <c r="J386" t="e">
        <f>RigheOfferte[[#This Row],[Velocità]]</f>
        <v>#VALUE!</v>
      </c>
      <c r="K386" t="e">
        <f>RigheOfferte[[#This Row],[Superf.pz Mq]]</f>
        <v>#VALUE!</v>
      </c>
      <c r="L386" t="e">
        <f>RigheOfferte[[#This Row],[passo]]</f>
        <v>#VALUE!</v>
      </c>
      <c r="M386" t="e">
        <f>RigheOfferte[[#This Row],[nr.pezzi Telaio]]</f>
        <v>#VALUE!</v>
      </c>
      <c r="N386" t="e">
        <f>RigheOfferte[[#This Row],[nr.pezzi ora-unita]]</f>
        <v>#VALUE!</v>
      </c>
      <c r="O386" t="e">
        <f>Tabella1[[#This Row],[superificie]]*Resa</f>
        <v>#VALUE!</v>
      </c>
      <c r="P386" t="e">
        <f>Tabella1[[#This Row],[KgPezzo]]*Tabella1[[#This Row],[q.ta offerta]]</f>
        <v>#VALUE!</v>
      </c>
      <c r="Q386" t="e">
        <f>RigheOfferte[[#This Row],[QtaProtez]]</f>
        <v>#VALUE!</v>
      </c>
      <c r="R386" t="e">
        <f>RigheOfferte[[#This Row],[Tipo Protezione]]</f>
        <v>#VALUE!</v>
      </c>
    </row>
    <row r="387" spans="1:18">
      <c r="A387" t="e">
        <f>RigheOfferte[[#This Row],[Nprev]]</f>
        <v>#VALUE!</v>
      </c>
      <c r="B387" t="e">
        <f>RigheOfferte[[#This Row],[Nriga]]</f>
        <v>#VALUE!</v>
      </c>
      <c r="C387" t="e">
        <f>RigheOfferte[[#This Row],[Cliente]]</f>
        <v>#VALUE!</v>
      </c>
      <c r="D387" t="e">
        <f>RigheOfferte[[#This Row],[sub_cliente]]</f>
        <v>#VALUE!</v>
      </c>
      <c r="E387" t="e">
        <f>RigheOfferte[[#This Row],[cod.Art.]]</f>
        <v>#VALUE!</v>
      </c>
      <c r="F387" t="e">
        <f>RigheOfferte[[#This Row],[Descrizione]]</f>
        <v>#VALUE!</v>
      </c>
      <c r="G387" t="e">
        <f>RigheOfferte[[#This Row],[Q.ta'']]</f>
        <v>#VALUE!</v>
      </c>
      <c r="H387" t="e">
        <f>RigheOfferte[[#This Row],[Lavorazione]]</f>
        <v>#VALUE!</v>
      </c>
      <c r="I387" t="e">
        <f>RigheOfferte[[#This Row],[Colore]]</f>
        <v>#VALUE!</v>
      </c>
      <c r="J387" t="e">
        <f>RigheOfferte[[#This Row],[Velocità]]</f>
        <v>#VALUE!</v>
      </c>
      <c r="K387" t="e">
        <f>RigheOfferte[[#This Row],[Superf.pz Mq]]</f>
        <v>#VALUE!</v>
      </c>
      <c r="L387" t="e">
        <f>RigheOfferte[[#This Row],[passo]]</f>
        <v>#VALUE!</v>
      </c>
      <c r="M387" t="e">
        <f>RigheOfferte[[#This Row],[nr.pezzi Telaio]]</f>
        <v>#VALUE!</v>
      </c>
      <c r="N387" t="e">
        <f>RigheOfferte[[#This Row],[nr.pezzi ora-unita]]</f>
        <v>#VALUE!</v>
      </c>
      <c r="O387" t="e">
        <f>Tabella1[[#This Row],[superificie]]*Resa</f>
        <v>#VALUE!</v>
      </c>
      <c r="P387" t="e">
        <f>Tabella1[[#This Row],[KgPezzo]]*Tabella1[[#This Row],[q.ta offerta]]</f>
        <v>#VALUE!</v>
      </c>
      <c r="Q387" t="e">
        <f>RigheOfferte[[#This Row],[QtaProtez]]</f>
        <v>#VALUE!</v>
      </c>
      <c r="R387" t="e">
        <f>RigheOfferte[[#This Row],[Tipo Protezione]]</f>
        <v>#VALUE!</v>
      </c>
    </row>
    <row r="388" spans="1:18">
      <c r="A388" t="e">
        <f>RigheOfferte[[#This Row],[Nprev]]</f>
        <v>#VALUE!</v>
      </c>
      <c r="B388" t="e">
        <f>RigheOfferte[[#This Row],[Nriga]]</f>
        <v>#VALUE!</v>
      </c>
      <c r="C388" t="e">
        <f>RigheOfferte[[#This Row],[Cliente]]</f>
        <v>#VALUE!</v>
      </c>
      <c r="D388" t="e">
        <f>RigheOfferte[[#This Row],[sub_cliente]]</f>
        <v>#VALUE!</v>
      </c>
      <c r="E388" t="e">
        <f>RigheOfferte[[#This Row],[cod.Art.]]</f>
        <v>#VALUE!</v>
      </c>
      <c r="F388" t="e">
        <f>RigheOfferte[[#This Row],[Descrizione]]</f>
        <v>#VALUE!</v>
      </c>
      <c r="G388" t="e">
        <f>RigheOfferte[[#This Row],[Q.ta'']]</f>
        <v>#VALUE!</v>
      </c>
      <c r="H388" t="e">
        <f>RigheOfferte[[#This Row],[Lavorazione]]</f>
        <v>#VALUE!</v>
      </c>
      <c r="I388" t="e">
        <f>RigheOfferte[[#This Row],[Colore]]</f>
        <v>#VALUE!</v>
      </c>
      <c r="J388" t="e">
        <f>RigheOfferte[[#This Row],[Velocità]]</f>
        <v>#VALUE!</v>
      </c>
      <c r="K388" t="e">
        <f>RigheOfferte[[#This Row],[Superf.pz Mq]]</f>
        <v>#VALUE!</v>
      </c>
      <c r="L388" t="e">
        <f>RigheOfferte[[#This Row],[passo]]</f>
        <v>#VALUE!</v>
      </c>
      <c r="M388" t="e">
        <f>RigheOfferte[[#This Row],[nr.pezzi Telaio]]</f>
        <v>#VALUE!</v>
      </c>
      <c r="N388" t="e">
        <f>RigheOfferte[[#This Row],[nr.pezzi ora-unita]]</f>
        <v>#VALUE!</v>
      </c>
      <c r="O388" t="e">
        <f>Tabella1[[#This Row],[superificie]]*Resa</f>
        <v>#VALUE!</v>
      </c>
      <c r="P388" t="e">
        <f>Tabella1[[#This Row],[KgPezzo]]*Tabella1[[#This Row],[q.ta offerta]]</f>
        <v>#VALUE!</v>
      </c>
      <c r="Q388" t="e">
        <f>RigheOfferte[[#This Row],[QtaProtez]]</f>
        <v>#VALUE!</v>
      </c>
      <c r="R388" t="e">
        <f>RigheOfferte[[#This Row],[Tipo Protezione]]</f>
        <v>#VALUE!</v>
      </c>
    </row>
    <row r="389" spans="1:18">
      <c r="A389" t="e">
        <f>RigheOfferte[[#This Row],[Nprev]]</f>
        <v>#VALUE!</v>
      </c>
      <c r="B389" t="e">
        <f>RigheOfferte[[#This Row],[Nriga]]</f>
        <v>#VALUE!</v>
      </c>
      <c r="C389" t="e">
        <f>RigheOfferte[[#This Row],[Cliente]]</f>
        <v>#VALUE!</v>
      </c>
      <c r="D389" t="e">
        <f>RigheOfferte[[#This Row],[sub_cliente]]</f>
        <v>#VALUE!</v>
      </c>
      <c r="E389" t="e">
        <f>RigheOfferte[[#This Row],[cod.Art.]]</f>
        <v>#VALUE!</v>
      </c>
      <c r="F389" t="e">
        <f>RigheOfferte[[#This Row],[Descrizione]]</f>
        <v>#VALUE!</v>
      </c>
      <c r="G389" t="e">
        <f>RigheOfferte[[#This Row],[Q.ta'']]</f>
        <v>#VALUE!</v>
      </c>
      <c r="H389" t="e">
        <f>RigheOfferte[[#This Row],[Lavorazione]]</f>
        <v>#VALUE!</v>
      </c>
      <c r="I389" t="e">
        <f>RigheOfferte[[#This Row],[Colore]]</f>
        <v>#VALUE!</v>
      </c>
      <c r="J389" t="e">
        <f>RigheOfferte[[#This Row],[Velocità]]</f>
        <v>#VALUE!</v>
      </c>
      <c r="K389" t="e">
        <f>RigheOfferte[[#This Row],[Superf.pz Mq]]</f>
        <v>#VALUE!</v>
      </c>
      <c r="L389" t="e">
        <f>RigheOfferte[[#This Row],[passo]]</f>
        <v>#VALUE!</v>
      </c>
      <c r="M389" t="e">
        <f>RigheOfferte[[#This Row],[nr.pezzi Telaio]]</f>
        <v>#VALUE!</v>
      </c>
      <c r="N389" t="e">
        <f>RigheOfferte[[#This Row],[nr.pezzi ora-unita]]</f>
        <v>#VALUE!</v>
      </c>
      <c r="O389" t="e">
        <f>Tabella1[[#This Row],[superificie]]*Resa</f>
        <v>#VALUE!</v>
      </c>
      <c r="P389" t="e">
        <f>Tabella1[[#This Row],[KgPezzo]]*Tabella1[[#This Row],[q.ta offerta]]</f>
        <v>#VALUE!</v>
      </c>
      <c r="Q389" t="e">
        <f>RigheOfferte[[#This Row],[QtaProtez]]</f>
        <v>#VALUE!</v>
      </c>
      <c r="R389" t="e">
        <f>RigheOfferte[[#This Row],[Tipo Protezione]]</f>
        <v>#VALUE!</v>
      </c>
    </row>
    <row r="390" spans="1:18">
      <c r="A390" t="e">
        <f>RigheOfferte[[#This Row],[Nprev]]</f>
        <v>#VALUE!</v>
      </c>
      <c r="B390" t="e">
        <f>RigheOfferte[[#This Row],[Nriga]]</f>
        <v>#VALUE!</v>
      </c>
      <c r="C390" t="e">
        <f>RigheOfferte[[#This Row],[Cliente]]</f>
        <v>#VALUE!</v>
      </c>
      <c r="D390" t="e">
        <f>RigheOfferte[[#This Row],[sub_cliente]]</f>
        <v>#VALUE!</v>
      </c>
      <c r="E390" t="e">
        <f>RigheOfferte[[#This Row],[cod.Art.]]</f>
        <v>#VALUE!</v>
      </c>
      <c r="F390" t="e">
        <f>RigheOfferte[[#This Row],[Descrizione]]</f>
        <v>#VALUE!</v>
      </c>
      <c r="G390" t="e">
        <f>RigheOfferte[[#This Row],[Q.ta'']]</f>
        <v>#VALUE!</v>
      </c>
      <c r="H390" t="e">
        <f>RigheOfferte[[#This Row],[Lavorazione]]</f>
        <v>#VALUE!</v>
      </c>
      <c r="I390" t="e">
        <f>RigheOfferte[[#This Row],[Colore]]</f>
        <v>#VALUE!</v>
      </c>
      <c r="J390" t="e">
        <f>RigheOfferte[[#This Row],[Velocità]]</f>
        <v>#VALUE!</v>
      </c>
      <c r="K390" t="e">
        <f>RigheOfferte[[#This Row],[Superf.pz Mq]]</f>
        <v>#VALUE!</v>
      </c>
      <c r="L390" t="e">
        <f>RigheOfferte[[#This Row],[passo]]</f>
        <v>#VALUE!</v>
      </c>
      <c r="M390" t="e">
        <f>RigheOfferte[[#This Row],[nr.pezzi Telaio]]</f>
        <v>#VALUE!</v>
      </c>
      <c r="N390" t="e">
        <f>RigheOfferte[[#This Row],[nr.pezzi ora-unita]]</f>
        <v>#VALUE!</v>
      </c>
      <c r="O390" t="e">
        <f>Tabella1[[#This Row],[superificie]]*Resa</f>
        <v>#VALUE!</v>
      </c>
      <c r="P390" t="e">
        <f>Tabella1[[#This Row],[KgPezzo]]*Tabella1[[#This Row],[q.ta offerta]]</f>
        <v>#VALUE!</v>
      </c>
      <c r="Q390" t="e">
        <f>RigheOfferte[[#This Row],[QtaProtez]]</f>
        <v>#VALUE!</v>
      </c>
      <c r="R390" t="e">
        <f>RigheOfferte[[#This Row],[Tipo Protezione]]</f>
        <v>#VALUE!</v>
      </c>
    </row>
    <row r="391" spans="1:18">
      <c r="A391" t="e">
        <f>RigheOfferte[[#This Row],[Nprev]]</f>
        <v>#VALUE!</v>
      </c>
      <c r="B391" t="e">
        <f>RigheOfferte[[#This Row],[Nriga]]</f>
        <v>#VALUE!</v>
      </c>
      <c r="C391" t="e">
        <f>RigheOfferte[[#This Row],[Cliente]]</f>
        <v>#VALUE!</v>
      </c>
      <c r="D391" t="e">
        <f>RigheOfferte[[#This Row],[sub_cliente]]</f>
        <v>#VALUE!</v>
      </c>
      <c r="E391" t="e">
        <f>RigheOfferte[[#This Row],[cod.Art.]]</f>
        <v>#VALUE!</v>
      </c>
      <c r="F391" t="e">
        <f>RigheOfferte[[#This Row],[Descrizione]]</f>
        <v>#VALUE!</v>
      </c>
      <c r="G391" t="e">
        <f>RigheOfferte[[#This Row],[Q.ta'']]</f>
        <v>#VALUE!</v>
      </c>
      <c r="H391" t="e">
        <f>RigheOfferte[[#This Row],[Lavorazione]]</f>
        <v>#VALUE!</v>
      </c>
      <c r="I391" t="e">
        <f>RigheOfferte[[#This Row],[Colore]]</f>
        <v>#VALUE!</v>
      </c>
      <c r="J391" t="e">
        <f>RigheOfferte[[#This Row],[Velocità]]</f>
        <v>#VALUE!</v>
      </c>
      <c r="K391" t="e">
        <f>RigheOfferte[[#This Row],[Superf.pz Mq]]</f>
        <v>#VALUE!</v>
      </c>
      <c r="L391" t="e">
        <f>RigheOfferte[[#This Row],[passo]]</f>
        <v>#VALUE!</v>
      </c>
      <c r="M391" t="e">
        <f>RigheOfferte[[#This Row],[nr.pezzi Telaio]]</f>
        <v>#VALUE!</v>
      </c>
      <c r="N391" t="e">
        <f>RigheOfferte[[#This Row],[nr.pezzi ora-unita]]</f>
        <v>#VALUE!</v>
      </c>
      <c r="O391" t="e">
        <f>Tabella1[[#This Row],[superificie]]*Resa</f>
        <v>#VALUE!</v>
      </c>
      <c r="P391" t="e">
        <f>Tabella1[[#This Row],[KgPezzo]]*Tabella1[[#This Row],[q.ta offerta]]</f>
        <v>#VALUE!</v>
      </c>
      <c r="Q391" t="e">
        <f>RigheOfferte[[#This Row],[QtaProtez]]</f>
        <v>#VALUE!</v>
      </c>
      <c r="R391" t="e">
        <f>RigheOfferte[[#This Row],[Tipo Protezione]]</f>
        <v>#VALUE!</v>
      </c>
    </row>
    <row r="392" spans="1:18">
      <c r="A392" t="e">
        <f>RigheOfferte[[#This Row],[Nprev]]</f>
        <v>#VALUE!</v>
      </c>
      <c r="B392" t="e">
        <f>RigheOfferte[[#This Row],[Nriga]]</f>
        <v>#VALUE!</v>
      </c>
      <c r="C392" t="e">
        <f>RigheOfferte[[#This Row],[Cliente]]</f>
        <v>#VALUE!</v>
      </c>
      <c r="D392" t="e">
        <f>RigheOfferte[[#This Row],[sub_cliente]]</f>
        <v>#VALUE!</v>
      </c>
      <c r="E392" t="e">
        <f>RigheOfferte[[#This Row],[cod.Art.]]</f>
        <v>#VALUE!</v>
      </c>
      <c r="F392" t="e">
        <f>RigheOfferte[[#This Row],[Descrizione]]</f>
        <v>#VALUE!</v>
      </c>
      <c r="G392" t="e">
        <f>RigheOfferte[[#This Row],[Q.ta'']]</f>
        <v>#VALUE!</v>
      </c>
      <c r="H392" t="e">
        <f>RigheOfferte[[#This Row],[Lavorazione]]</f>
        <v>#VALUE!</v>
      </c>
      <c r="I392" t="e">
        <f>RigheOfferte[[#This Row],[Colore]]</f>
        <v>#VALUE!</v>
      </c>
      <c r="J392" t="e">
        <f>RigheOfferte[[#This Row],[Velocità]]</f>
        <v>#VALUE!</v>
      </c>
      <c r="K392" t="e">
        <f>RigheOfferte[[#This Row],[Superf.pz Mq]]</f>
        <v>#VALUE!</v>
      </c>
      <c r="L392" t="e">
        <f>RigheOfferte[[#This Row],[passo]]</f>
        <v>#VALUE!</v>
      </c>
      <c r="M392" t="e">
        <f>RigheOfferte[[#This Row],[nr.pezzi Telaio]]</f>
        <v>#VALUE!</v>
      </c>
      <c r="N392" t="e">
        <f>RigheOfferte[[#This Row],[nr.pezzi ora-unita]]</f>
        <v>#VALUE!</v>
      </c>
      <c r="O392" t="e">
        <f>Tabella1[[#This Row],[superificie]]*Resa</f>
        <v>#VALUE!</v>
      </c>
      <c r="P392" t="e">
        <f>Tabella1[[#This Row],[KgPezzo]]*Tabella1[[#This Row],[q.ta offerta]]</f>
        <v>#VALUE!</v>
      </c>
      <c r="Q392" t="e">
        <f>RigheOfferte[[#This Row],[QtaProtez]]</f>
        <v>#VALUE!</v>
      </c>
      <c r="R392" t="e">
        <f>RigheOfferte[[#This Row],[Tipo Protezione]]</f>
        <v>#VALUE!</v>
      </c>
    </row>
    <row r="393" spans="1:18">
      <c r="A393" t="e">
        <f>RigheOfferte[[#This Row],[Nprev]]</f>
        <v>#VALUE!</v>
      </c>
      <c r="B393" t="e">
        <f>RigheOfferte[[#This Row],[Nriga]]</f>
        <v>#VALUE!</v>
      </c>
      <c r="C393" t="e">
        <f>RigheOfferte[[#This Row],[Cliente]]</f>
        <v>#VALUE!</v>
      </c>
      <c r="D393" t="e">
        <f>RigheOfferte[[#This Row],[sub_cliente]]</f>
        <v>#VALUE!</v>
      </c>
      <c r="E393" t="e">
        <f>RigheOfferte[[#This Row],[cod.Art.]]</f>
        <v>#VALUE!</v>
      </c>
      <c r="F393" t="e">
        <f>RigheOfferte[[#This Row],[Descrizione]]</f>
        <v>#VALUE!</v>
      </c>
      <c r="G393" t="e">
        <f>RigheOfferte[[#This Row],[Q.ta'']]</f>
        <v>#VALUE!</v>
      </c>
      <c r="H393" t="e">
        <f>RigheOfferte[[#This Row],[Lavorazione]]</f>
        <v>#VALUE!</v>
      </c>
      <c r="I393" t="e">
        <f>RigheOfferte[[#This Row],[Colore]]</f>
        <v>#VALUE!</v>
      </c>
      <c r="J393" t="e">
        <f>RigheOfferte[[#This Row],[Velocità]]</f>
        <v>#VALUE!</v>
      </c>
      <c r="K393" t="e">
        <f>RigheOfferte[[#This Row],[Superf.pz Mq]]</f>
        <v>#VALUE!</v>
      </c>
      <c r="L393" t="e">
        <f>RigheOfferte[[#This Row],[passo]]</f>
        <v>#VALUE!</v>
      </c>
      <c r="M393" t="e">
        <f>RigheOfferte[[#This Row],[nr.pezzi Telaio]]</f>
        <v>#VALUE!</v>
      </c>
      <c r="N393" t="e">
        <f>RigheOfferte[[#This Row],[nr.pezzi ora-unita]]</f>
        <v>#VALUE!</v>
      </c>
      <c r="O393" t="e">
        <f>Tabella1[[#This Row],[superificie]]*Resa</f>
        <v>#VALUE!</v>
      </c>
      <c r="P393" t="e">
        <f>Tabella1[[#This Row],[KgPezzo]]*Tabella1[[#This Row],[q.ta offerta]]</f>
        <v>#VALUE!</v>
      </c>
      <c r="Q393" t="e">
        <f>RigheOfferte[[#This Row],[QtaProtez]]</f>
        <v>#VALUE!</v>
      </c>
      <c r="R393" t="e">
        <f>RigheOfferte[[#This Row],[Tipo Protezione]]</f>
        <v>#VALUE!</v>
      </c>
    </row>
    <row r="394" spans="1:18">
      <c r="A394" t="e">
        <f>RigheOfferte[[#This Row],[Nprev]]</f>
        <v>#VALUE!</v>
      </c>
      <c r="B394" t="e">
        <f>RigheOfferte[[#This Row],[Nriga]]</f>
        <v>#VALUE!</v>
      </c>
      <c r="C394" t="e">
        <f>RigheOfferte[[#This Row],[Cliente]]</f>
        <v>#VALUE!</v>
      </c>
      <c r="D394" t="e">
        <f>RigheOfferte[[#This Row],[sub_cliente]]</f>
        <v>#VALUE!</v>
      </c>
      <c r="E394" t="e">
        <f>RigheOfferte[[#This Row],[cod.Art.]]</f>
        <v>#VALUE!</v>
      </c>
      <c r="F394" t="e">
        <f>RigheOfferte[[#This Row],[Descrizione]]</f>
        <v>#VALUE!</v>
      </c>
      <c r="G394" t="e">
        <f>RigheOfferte[[#This Row],[Q.ta'']]</f>
        <v>#VALUE!</v>
      </c>
      <c r="H394" t="e">
        <f>RigheOfferte[[#This Row],[Lavorazione]]</f>
        <v>#VALUE!</v>
      </c>
      <c r="I394" t="e">
        <f>RigheOfferte[[#This Row],[Colore]]</f>
        <v>#VALUE!</v>
      </c>
      <c r="J394" t="e">
        <f>RigheOfferte[[#This Row],[Velocità]]</f>
        <v>#VALUE!</v>
      </c>
      <c r="K394" t="e">
        <f>RigheOfferte[[#This Row],[Superf.pz Mq]]</f>
        <v>#VALUE!</v>
      </c>
      <c r="L394" t="e">
        <f>RigheOfferte[[#This Row],[passo]]</f>
        <v>#VALUE!</v>
      </c>
      <c r="M394" t="e">
        <f>RigheOfferte[[#This Row],[nr.pezzi Telaio]]</f>
        <v>#VALUE!</v>
      </c>
      <c r="N394" t="e">
        <f>RigheOfferte[[#This Row],[nr.pezzi ora-unita]]</f>
        <v>#VALUE!</v>
      </c>
      <c r="O394" t="e">
        <f>Tabella1[[#This Row],[superificie]]*Resa</f>
        <v>#VALUE!</v>
      </c>
      <c r="P394" t="e">
        <f>Tabella1[[#This Row],[KgPezzo]]*Tabella1[[#This Row],[q.ta offerta]]</f>
        <v>#VALUE!</v>
      </c>
      <c r="Q394" t="e">
        <f>RigheOfferte[[#This Row],[QtaProtez]]</f>
        <v>#VALUE!</v>
      </c>
      <c r="R394" t="e">
        <f>RigheOfferte[[#This Row],[Tipo Protezione]]</f>
        <v>#VALUE!</v>
      </c>
    </row>
    <row r="395" spans="1:18">
      <c r="A395" t="e">
        <f>RigheOfferte[[#This Row],[Nprev]]</f>
        <v>#VALUE!</v>
      </c>
      <c r="B395" t="e">
        <f>RigheOfferte[[#This Row],[Nriga]]</f>
        <v>#VALUE!</v>
      </c>
      <c r="C395" t="e">
        <f>RigheOfferte[[#This Row],[Cliente]]</f>
        <v>#VALUE!</v>
      </c>
      <c r="D395" t="e">
        <f>RigheOfferte[[#This Row],[sub_cliente]]</f>
        <v>#VALUE!</v>
      </c>
      <c r="E395" t="e">
        <f>RigheOfferte[[#This Row],[cod.Art.]]</f>
        <v>#VALUE!</v>
      </c>
      <c r="F395" t="e">
        <f>RigheOfferte[[#This Row],[Descrizione]]</f>
        <v>#VALUE!</v>
      </c>
      <c r="G395" t="e">
        <f>RigheOfferte[[#This Row],[Q.ta'']]</f>
        <v>#VALUE!</v>
      </c>
      <c r="H395" t="e">
        <f>RigheOfferte[[#This Row],[Lavorazione]]</f>
        <v>#VALUE!</v>
      </c>
      <c r="I395" t="e">
        <f>RigheOfferte[[#This Row],[Colore]]</f>
        <v>#VALUE!</v>
      </c>
      <c r="J395" t="e">
        <f>RigheOfferte[[#This Row],[Velocità]]</f>
        <v>#VALUE!</v>
      </c>
      <c r="K395" t="e">
        <f>RigheOfferte[[#This Row],[Superf.pz Mq]]</f>
        <v>#VALUE!</v>
      </c>
      <c r="L395" t="e">
        <f>RigheOfferte[[#This Row],[passo]]</f>
        <v>#VALUE!</v>
      </c>
      <c r="M395" t="e">
        <f>RigheOfferte[[#This Row],[nr.pezzi Telaio]]</f>
        <v>#VALUE!</v>
      </c>
      <c r="N395" t="e">
        <f>RigheOfferte[[#This Row],[nr.pezzi ora-unita]]</f>
        <v>#VALUE!</v>
      </c>
      <c r="O395" t="e">
        <f>Tabella1[[#This Row],[superificie]]*Resa</f>
        <v>#VALUE!</v>
      </c>
      <c r="P395" t="e">
        <f>Tabella1[[#This Row],[KgPezzo]]*Tabella1[[#This Row],[q.ta offerta]]</f>
        <v>#VALUE!</v>
      </c>
      <c r="Q395" t="e">
        <f>RigheOfferte[[#This Row],[QtaProtez]]</f>
        <v>#VALUE!</v>
      </c>
      <c r="R395" t="e">
        <f>RigheOfferte[[#This Row],[Tipo Protezione]]</f>
        <v>#VALUE!</v>
      </c>
    </row>
    <row r="396" spans="1:18">
      <c r="A396" t="e">
        <f>RigheOfferte[[#This Row],[Nprev]]</f>
        <v>#VALUE!</v>
      </c>
      <c r="B396" t="e">
        <f>RigheOfferte[[#This Row],[Nriga]]</f>
        <v>#VALUE!</v>
      </c>
      <c r="C396" t="e">
        <f>RigheOfferte[[#This Row],[Cliente]]</f>
        <v>#VALUE!</v>
      </c>
      <c r="D396" t="e">
        <f>RigheOfferte[[#This Row],[sub_cliente]]</f>
        <v>#VALUE!</v>
      </c>
      <c r="E396" t="e">
        <f>RigheOfferte[[#This Row],[cod.Art.]]</f>
        <v>#VALUE!</v>
      </c>
      <c r="F396" t="e">
        <f>RigheOfferte[[#This Row],[Descrizione]]</f>
        <v>#VALUE!</v>
      </c>
      <c r="G396" t="e">
        <f>RigheOfferte[[#This Row],[Q.ta'']]</f>
        <v>#VALUE!</v>
      </c>
      <c r="H396" t="e">
        <f>RigheOfferte[[#This Row],[Lavorazione]]</f>
        <v>#VALUE!</v>
      </c>
      <c r="I396" t="e">
        <f>RigheOfferte[[#This Row],[Colore]]</f>
        <v>#VALUE!</v>
      </c>
      <c r="J396" t="e">
        <f>RigheOfferte[[#This Row],[Velocità]]</f>
        <v>#VALUE!</v>
      </c>
      <c r="K396" t="e">
        <f>RigheOfferte[[#This Row],[Superf.pz Mq]]</f>
        <v>#VALUE!</v>
      </c>
      <c r="L396" t="e">
        <f>RigheOfferte[[#This Row],[passo]]</f>
        <v>#VALUE!</v>
      </c>
      <c r="M396" t="e">
        <f>RigheOfferte[[#This Row],[nr.pezzi Telaio]]</f>
        <v>#VALUE!</v>
      </c>
      <c r="N396" t="e">
        <f>RigheOfferte[[#This Row],[nr.pezzi ora-unita]]</f>
        <v>#VALUE!</v>
      </c>
      <c r="O396" t="e">
        <f>Tabella1[[#This Row],[superificie]]*Resa</f>
        <v>#VALUE!</v>
      </c>
      <c r="P396" t="e">
        <f>Tabella1[[#This Row],[KgPezzo]]*Tabella1[[#This Row],[q.ta offerta]]</f>
        <v>#VALUE!</v>
      </c>
      <c r="Q396" t="e">
        <f>RigheOfferte[[#This Row],[QtaProtez]]</f>
        <v>#VALUE!</v>
      </c>
      <c r="R396" t="e">
        <f>RigheOfferte[[#This Row],[Tipo Protezione]]</f>
        <v>#VALUE!</v>
      </c>
    </row>
    <row r="397" spans="1:18">
      <c r="A397" t="e">
        <f>RigheOfferte[[#This Row],[Nprev]]</f>
        <v>#VALUE!</v>
      </c>
      <c r="B397" t="e">
        <f>RigheOfferte[[#This Row],[Nriga]]</f>
        <v>#VALUE!</v>
      </c>
      <c r="C397" t="e">
        <f>RigheOfferte[[#This Row],[Cliente]]</f>
        <v>#VALUE!</v>
      </c>
      <c r="D397" t="e">
        <f>RigheOfferte[[#This Row],[sub_cliente]]</f>
        <v>#VALUE!</v>
      </c>
      <c r="E397" t="e">
        <f>RigheOfferte[[#This Row],[cod.Art.]]</f>
        <v>#VALUE!</v>
      </c>
      <c r="F397" t="e">
        <f>RigheOfferte[[#This Row],[Descrizione]]</f>
        <v>#VALUE!</v>
      </c>
      <c r="G397" t="e">
        <f>RigheOfferte[[#This Row],[Q.ta'']]</f>
        <v>#VALUE!</v>
      </c>
      <c r="H397" t="e">
        <f>RigheOfferte[[#This Row],[Lavorazione]]</f>
        <v>#VALUE!</v>
      </c>
      <c r="I397" t="e">
        <f>RigheOfferte[[#This Row],[Colore]]</f>
        <v>#VALUE!</v>
      </c>
      <c r="J397" t="e">
        <f>RigheOfferte[[#This Row],[Velocità]]</f>
        <v>#VALUE!</v>
      </c>
      <c r="K397" t="e">
        <f>RigheOfferte[[#This Row],[Superf.pz Mq]]</f>
        <v>#VALUE!</v>
      </c>
      <c r="L397" t="e">
        <f>RigheOfferte[[#This Row],[passo]]</f>
        <v>#VALUE!</v>
      </c>
      <c r="M397" t="e">
        <f>RigheOfferte[[#This Row],[nr.pezzi Telaio]]</f>
        <v>#VALUE!</v>
      </c>
      <c r="N397" t="e">
        <f>RigheOfferte[[#This Row],[nr.pezzi ora-unita]]</f>
        <v>#VALUE!</v>
      </c>
      <c r="O397" t="e">
        <f>Tabella1[[#This Row],[superificie]]*Resa</f>
        <v>#VALUE!</v>
      </c>
      <c r="P397" t="e">
        <f>Tabella1[[#This Row],[KgPezzo]]*Tabella1[[#This Row],[q.ta offerta]]</f>
        <v>#VALUE!</v>
      </c>
      <c r="Q397" t="e">
        <f>RigheOfferte[[#This Row],[QtaProtez]]</f>
        <v>#VALUE!</v>
      </c>
      <c r="R397" t="e">
        <f>RigheOfferte[[#This Row],[Tipo Protezione]]</f>
        <v>#VALUE!</v>
      </c>
    </row>
    <row r="398" spans="1:18">
      <c r="A398" t="e">
        <f>RigheOfferte[[#This Row],[Nprev]]</f>
        <v>#VALUE!</v>
      </c>
      <c r="B398" t="e">
        <f>RigheOfferte[[#This Row],[Nriga]]</f>
        <v>#VALUE!</v>
      </c>
      <c r="C398" t="e">
        <f>RigheOfferte[[#This Row],[Cliente]]</f>
        <v>#VALUE!</v>
      </c>
      <c r="D398" t="e">
        <f>RigheOfferte[[#This Row],[sub_cliente]]</f>
        <v>#VALUE!</v>
      </c>
      <c r="E398" t="e">
        <f>RigheOfferte[[#This Row],[cod.Art.]]</f>
        <v>#VALUE!</v>
      </c>
      <c r="F398" t="e">
        <f>RigheOfferte[[#This Row],[Descrizione]]</f>
        <v>#VALUE!</v>
      </c>
      <c r="G398" t="e">
        <f>RigheOfferte[[#This Row],[Q.ta'']]</f>
        <v>#VALUE!</v>
      </c>
      <c r="H398" t="e">
        <f>RigheOfferte[[#This Row],[Lavorazione]]</f>
        <v>#VALUE!</v>
      </c>
      <c r="I398" t="e">
        <f>RigheOfferte[[#This Row],[Colore]]</f>
        <v>#VALUE!</v>
      </c>
      <c r="J398" t="e">
        <f>RigheOfferte[[#This Row],[Velocità]]</f>
        <v>#VALUE!</v>
      </c>
      <c r="K398" t="e">
        <f>RigheOfferte[[#This Row],[Superf.pz Mq]]</f>
        <v>#VALUE!</v>
      </c>
      <c r="L398" t="e">
        <f>RigheOfferte[[#This Row],[passo]]</f>
        <v>#VALUE!</v>
      </c>
      <c r="M398" t="e">
        <f>RigheOfferte[[#This Row],[nr.pezzi Telaio]]</f>
        <v>#VALUE!</v>
      </c>
      <c r="N398" t="e">
        <f>RigheOfferte[[#This Row],[nr.pezzi ora-unita]]</f>
        <v>#VALUE!</v>
      </c>
      <c r="O398" t="e">
        <f>Tabella1[[#This Row],[superificie]]*Resa</f>
        <v>#VALUE!</v>
      </c>
      <c r="P398" t="e">
        <f>Tabella1[[#This Row],[KgPezzo]]*Tabella1[[#This Row],[q.ta offerta]]</f>
        <v>#VALUE!</v>
      </c>
      <c r="Q398" t="e">
        <f>RigheOfferte[[#This Row],[QtaProtez]]</f>
        <v>#VALUE!</v>
      </c>
      <c r="R398" t="e">
        <f>RigheOfferte[[#This Row],[Tipo Protezione]]</f>
        <v>#VALUE!</v>
      </c>
    </row>
    <row r="399" spans="1:18">
      <c r="A399" t="e">
        <f>RigheOfferte[[#This Row],[Nprev]]</f>
        <v>#VALUE!</v>
      </c>
      <c r="B399" t="e">
        <f>RigheOfferte[[#This Row],[Nriga]]</f>
        <v>#VALUE!</v>
      </c>
      <c r="C399" t="e">
        <f>RigheOfferte[[#This Row],[Cliente]]</f>
        <v>#VALUE!</v>
      </c>
      <c r="D399" t="e">
        <f>RigheOfferte[[#This Row],[sub_cliente]]</f>
        <v>#VALUE!</v>
      </c>
      <c r="E399" t="e">
        <f>RigheOfferte[[#This Row],[cod.Art.]]</f>
        <v>#VALUE!</v>
      </c>
      <c r="F399" t="e">
        <f>RigheOfferte[[#This Row],[Descrizione]]</f>
        <v>#VALUE!</v>
      </c>
      <c r="G399" t="e">
        <f>RigheOfferte[[#This Row],[Q.ta'']]</f>
        <v>#VALUE!</v>
      </c>
      <c r="H399" t="e">
        <f>RigheOfferte[[#This Row],[Lavorazione]]</f>
        <v>#VALUE!</v>
      </c>
      <c r="I399" t="e">
        <f>RigheOfferte[[#This Row],[Colore]]</f>
        <v>#VALUE!</v>
      </c>
      <c r="J399" t="e">
        <f>RigheOfferte[[#This Row],[Velocità]]</f>
        <v>#VALUE!</v>
      </c>
      <c r="K399" t="e">
        <f>RigheOfferte[[#This Row],[Superf.pz Mq]]</f>
        <v>#VALUE!</v>
      </c>
      <c r="L399" t="e">
        <f>RigheOfferte[[#This Row],[passo]]</f>
        <v>#VALUE!</v>
      </c>
      <c r="M399" t="e">
        <f>RigheOfferte[[#This Row],[nr.pezzi Telaio]]</f>
        <v>#VALUE!</v>
      </c>
      <c r="N399" t="e">
        <f>RigheOfferte[[#This Row],[nr.pezzi ora-unita]]</f>
        <v>#VALUE!</v>
      </c>
      <c r="O399" t="e">
        <f>Tabella1[[#This Row],[superificie]]*Resa</f>
        <v>#VALUE!</v>
      </c>
      <c r="P399" t="e">
        <f>Tabella1[[#This Row],[KgPezzo]]*Tabella1[[#This Row],[q.ta offerta]]</f>
        <v>#VALUE!</v>
      </c>
      <c r="Q399" t="e">
        <f>RigheOfferte[[#This Row],[QtaProtez]]</f>
        <v>#VALUE!</v>
      </c>
      <c r="R399" t="e">
        <f>RigheOfferte[[#This Row],[Tipo Protezione]]</f>
        <v>#VALUE!</v>
      </c>
    </row>
    <row r="400" spans="1:18">
      <c r="A400" t="e">
        <f>RigheOfferte[[#This Row],[Nprev]]</f>
        <v>#VALUE!</v>
      </c>
      <c r="B400" t="e">
        <f>RigheOfferte[[#This Row],[Nriga]]</f>
        <v>#VALUE!</v>
      </c>
      <c r="C400" t="e">
        <f>RigheOfferte[[#This Row],[Cliente]]</f>
        <v>#VALUE!</v>
      </c>
      <c r="D400" t="e">
        <f>RigheOfferte[[#This Row],[sub_cliente]]</f>
        <v>#VALUE!</v>
      </c>
      <c r="E400" t="e">
        <f>RigheOfferte[[#This Row],[cod.Art.]]</f>
        <v>#VALUE!</v>
      </c>
      <c r="F400" t="e">
        <f>RigheOfferte[[#This Row],[Descrizione]]</f>
        <v>#VALUE!</v>
      </c>
      <c r="G400" t="e">
        <f>RigheOfferte[[#This Row],[Q.ta'']]</f>
        <v>#VALUE!</v>
      </c>
      <c r="H400" t="e">
        <f>RigheOfferte[[#This Row],[Lavorazione]]</f>
        <v>#VALUE!</v>
      </c>
      <c r="I400" t="e">
        <f>RigheOfferte[[#This Row],[Colore]]</f>
        <v>#VALUE!</v>
      </c>
      <c r="J400" t="e">
        <f>RigheOfferte[[#This Row],[Velocità]]</f>
        <v>#VALUE!</v>
      </c>
      <c r="K400" t="e">
        <f>RigheOfferte[[#This Row],[Superf.pz Mq]]</f>
        <v>#VALUE!</v>
      </c>
      <c r="L400" t="e">
        <f>RigheOfferte[[#This Row],[passo]]</f>
        <v>#VALUE!</v>
      </c>
      <c r="M400" t="e">
        <f>RigheOfferte[[#This Row],[nr.pezzi Telaio]]</f>
        <v>#VALUE!</v>
      </c>
      <c r="N400" t="e">
        <f>RigheOfferte[[#This Row],[nr.pezzi ora-unita]]</f>
        <v>#VALUE!</v>
      </c>
      <c r="O400" t="e">
        <f>Tabella1[[#This Row],[superificie]]*Resa</f>
        <v>#VALUE!</v>
      </c>
      <c r="P400" t="e">
        <f>Tabella1[[#This Row],[KgPezzo]]*Tabella1[[#This Row],[q.ta offerta]]</f>
        <v>#VALUE!</v>
      </c>
      <c r="Q400" t="e">
        <f>RigheOfferte[[#This Row],[QtaProtez]]</f>
        <v>#VALUE!</v>
      </c>
      <c r="R400" t="e">
        <f>RigheOfferte[[#This Row],[Tipo Protezione]]</f>
        <v>#VALUE!</v>
      </c>
    </row>
    <row r="401" spans="1:18">
      <c r="A401" t="e">
        <f>RigheOfferte[[#This Row],[Nprev]]</f>
        <v>#VALUE!</v>
      </c>
      <c r="B401" t="e">
        <f>RigheOfferte[[#This Row],[Nriga]]</f>
        <v>#VALUE!</v>
      </c>
      <c r="C401" t="e">
        <f>RigheOfferte[[#This Row],[Cliente]]</f>
        <v>#VALUE!</v>
      </c>
      <c r="D401" t="e">
        <f>RigheOfferte[[#This Row],[sub_cliente]]</f>
        <v>#VALUE!</v>
      </c>
      <c r="E401" t="e">
        <f>RigheOfferte[[#This Row],[cod.Art.]]</f>
        <v>#VALUE!</v>
      </c>
      <c r="F401" t="e">
        <f>RigheOfferte[[#This Row],[Descrizione]]</f>
        <v>#VALUE!</v>
      </c>
      <c r="G401" t="e">
        <f>RigheOfferte[[#This Row],[Q.ta'']]</f>
        <v>#VALUE!</v>
      </c>
      <c r="H401" t="e">
        <f>RigheOfferte[[#This Row],[Lavorazione]]</f>
        <v>#VALUE!</v>
      </c>
      <c r="I401" t="e">
        <f>RigheOfferte[[#This Row],[Colore]]</f>
        <v>#VALUE!</v>
      </c>
      <c r="J401" t="e">
        <f>RigheOfferte[[#This Row],[Velocità]]</f>
        <v>#VALUE!</v>
      </c>
      <c r="K401" t="e">
        <f>RigheOfferte[[#This Row],[Superf.pz Mq]]</f>
        <v>#VALUE!</v>
      </c>
      <c r="L401" t="e">
        <f>RigheOfferte[[#This Row],[passo]]</f>
        <v>#VALUE!</v>
      </c>
      <c r="M401" t="e">
        <f>RigheOfferte[[#This Row],[nr.pezzi Telaio]]</f>
        <v>#VALUE!</v>
      </c>
      <c r="N401" t="e">
        <f>RigheOfferte[[#This Row],[nr.pezzi ora-unita]]</f>
        <v>#VALUE!</v>
      </c>
      <c r="O401" t="e">
        <f>Tabella1[[#This Row],[superificie]]*Resa</f>
        <v>#VALUE!</v>
      </c>
      <c r="P401" t="e">
        <f>Tabella1[[#This Row],[KgPezzo]]*Tabella1[[#This Row],[q.ta offerta]]</f>
        <v>#VALUE!</v>
      </c>
      <c r="Q401" t="e">
        <f>RigheOfferte[[#This Row],[QtaProtez]]</f>
        <v>#VALUE!</v>
      </c>
      <c r="R401" t="e">
        <f>RigheOfferte[[#This Row],[Tipo Protezione]]</f>
        <v>#VALUE!</v>
      </c>
    </row>
    <row r="402" spans="1:18">
      <c r="A402" t="e">
        <f>RigheOfferte[[#This Row],[Nprev]]</f>
        <v>#VALUE!</v>
      </c>
      <c r="B402" t="e">
        <f>RigheOfferte[[#This Row],[Nriga]]</f>
        <v>#VALUE!</v>
      </c>
      <c r="C402" t="e">
        <f>RigheOfferte[[#This Row],[Cliente]]</f>
        <v>#VALUE!</v>
      </c>
      <c r="D402" t="e">
        <f>RigheOfferte[[#This Row],[sub_cliente]]</f>
        <v>#VALUE!</v>
      </c>
      <c r="E402" t="e">
        <f>RigheOfferte[[#This Row],[cod.Art.]]</f>
        <v>#VALUE!</v>
      </c>
      <c r="F402" t="e">
        <f>RigheOfferte[[#This Row],[Descrizione]]</f>
        <v>#VALUE!</v>
      </c>
      <c r="G402" t="e">
        <f>RigheOfferte[[#This Row],[Q.ta'']]</f>
        <v>#VALUE!</v>
      </c>
      <c r="H402" t="e">
        <f>RigheOfferte[[#This Row],[Lavorazione]]</f>
        <v>#VALUE!</v>
      </c>
      <c r="I402" t="e">
        <f>RigheOfferte[[#This Row],[Colore]]</f>
        <v>#VALUE!</v>
      </c>
      <c r="J402" t="e">
        <f>RigheOfferte[[#This Row],[Velocità]]</f>
        <v>#VALUE!</v>
      </c>
      <c r="K402" t="e">
        <f>RigheOfferte[[#This Row],[Superf.pz Mq]]</f>
        <v>#VALUE!</v>
      </c>
      <c r="L402" t="e">
        <f>RigheOfferte[[#This Row],[passo]]</f>
        <v>#VALUE!</v>
      </c>
      <c r="M402" t="e">
        <f>RigheOfferte[[#This Row],[nr.pezzi Telaio]]</f>
        <v>#VALUE!</v>
      </c>
      <c r="N402" t="e">
        <f>RigheOfferte[[#This Row],[nr.pezzi ora-unita]]</f>
        <v>#VALUE!</v>
      </c>
      <c r="O402" t="e">
        <f>Tabella1[[#This Row],[superificie]]*Resa</f>
        <v>#VALUE!</v>
      </c>
      <c r="P402" t="e">
        <f>Tabella1[[#This Row],[KgPezzo]]*Tabella1[[#This Row],[q.ta offerta]]</f>
        <v>#VALUE!</v>
      </c>
      <c r="Q402" t="e">
        <f>RigheOfferte[[#This Row],[QtaProtez]]</f>
        <v>#VALUE!</v>
      </c>
      <c r="R402" t="e">
        <f>RigheOfferte[[#This Row],[Tipo Protezione]]</f>
        <v>#VALUE!</v>
      </c>
    </row>
    <row r="403" spans="1:18">
      <c r="A403" t="e">
        <f>RigheOfferte[[#This Row],[Nprev]]</f>
        <v>#VALUE!</v>
      </c>
      <c r="B403" t="e">
        <f>RigheOfferte[[#This Row],[Nriga]]</f>
        <v>#VALUE!</v>
      </c>
      <c r="C403" t="e">
        <f>RigheOfferte[[#This Row],[Cliente]]</f>
        <v>#VALUE!</v>
      </c>
      <c r="D403" t="e">
        <f>RigheOfferte[[#This Row],[sub_cliente]]</f>
        <v>#VALUE!</v>
      </c>
      <c r="E403" t="e">
        <f>RigheOfferte[[#This Row],[cod.Art.]]</f>
        <v>#VALUE!</v>
      </c>
      <c r="F403" t="e">
        <f>RigheOfferte[[#This Row],[Descrizione]]</f>
        <v>#VALUE!</v>
      </c>
      <c r="G403" t="e">
        <f>RigheOfferte[[#This Row],[Q.ta'']]</f>
        <v>#VALUE!</v>
      </c>
      <c r="H403" t="e">
        <f>RigheOfferte[[#This Row],[Lavorazione]]</f>
        <v>#VALUE!</v>
      </c>
      <c r="I403" t="e">
        <f>RigheOfferte[[#This Row],[Colore]]</f>
        <v>#VALUE!</v>
      </c>
      <c r="J403" t="e">
        <f>RigheOfferte[[#This Row],[Velocità]]</f>
        <v>#VALUE!</v>
      </c>
      <c r="K403" t="e">
        <f>RigheOfferte[[#This Row],[Superf.pz Mq]]</f>
        <v>#VALUE!</v>
      </c>
      <c r="L403" t="e">
        <f>RigheOfferte[[#This Row],[passo]]</f>
        <v>#VALUE!</v>
      </c>
      <c r="M403" t="e">
        <f>RigheOfferte[[#This Row],[nr.pezzi Telaio]]</f>
        <v>#VALUE!</v>
      </c>
      <c r="N403" t="e">
        <f>RigheOfferte[[#This Row],[nr.pezzi ora-unita]]</f>
        <v>#VALUE!</v>
      </c>
      <c r="O403" t="e">
        <f>Tabella1[[#This Row],[superificie]]*Resa</f>
        <v>#VALUE!</v>
      </c>
      <c r="P403" t="e">
        <f>Tabella1[[#This Row],[KgPezzo]]*Tabella1[[#This Row],[q.ta offerta]]</f>
        <v>#VALUE!</v>
      </c>
      <c r="Q403" t="e">
        <f>RigheOfferte[[#This Row],[QtaProtez]]</f>
        <v>#VALUE!</v>
      </c>
      <c r="R403" t="e">
        <f>RigheOfferte[[#This Row],[Tipo Protezione]]</f>
        <v>#VALUE!</v>
      </c>
    </row>
    <row r="404" spans="1:18">
      <c r="A404" t="e">
        <f>RigheOfferte[[#This Row],[Nprev]]</f>
        <v>#VALUE!</v>
      </c>
      <c r="B404" t="e">
        <f>RigheOfferte[[#This Row],[Nriga]]</f>
        <v>#VALUE!</v>
      </c>
      <c r="C404" t="e">
        <f>RigheOfferte[[#This Row],[Cliente]]</f>
        <v>#VALUE!</v>
      </c>
      <c r="D404" t="e">
        <f>RigheOfferte[[#This Row],[sub_cliente]]</f>
        <v>#VALUE!</v>
      </c>
      <c r="E404" t="e">
        <f>RigheOfferte[[#This Row],[cod.Art.]]</f>
        <v>#VALUE!</v>
      </c>
      <c r="F404" t="e">
        <f>RigheOfferte[[#This Row],[Descrizione]]</f>
        <v>#VALUE!</v>
      </c>
      <c r="G404" t="e">
        <f>RigheOfferte[[#This Row],[Q.ta'']]</f>
        <v>#VALUE!</v>
      </c>
      <c r="H404" t="e">
        <f>RigheOfferte[[#This Row],[Lavorazione]]</f>
        <v>#VALUE!</v>
      </c>
      <c r="I404" t="e">
        <f>RigheOfferte[[#This Row],[Colore]]</f>
        <v>#VALUE!</v>
      </c>
      <c r="J404" t="e">
        <f>RigheOfferte[[#This Row],[Velocità]]</f>
        <v>#VALUE!</v>
      </c>
      <c r="K404" t="e">
        <f>RigheOfferte[[#This Row],[Superf.pz Mq]]</f>
        <v>#VALUE!</v>
      </c>
      <c r="L404" t="e">
        <f>RigheOfferte[[#This Row],[passo]]</f>
        <v>#VALUE!</v>
      </c>
      <c r="M404" t="e">
        <f>RigheOfferte[[#This Row],[nr.pezzi Telaio]]</f>
        <v>#VALUE!</v>
      </c>
      <c r="N404" t="e">
        <f>RigheOfferte[[#This Row],[nr.pezzi ora-unita]]</f>
        <v>#VALUE!</v>
      </c>
      <c r="O404" t="e">
        <f>Tabella1[[#This Row],[superificie]]*Resa</f>
        <v>#VALUE!</v>
      </c>
      <c r="P404" t="e">
        <f>Tabella1[[#This Row],[KgPezzo]]*Tabella1[[#This Row],[q.ta offerta]]</f>
        <v>#VALUE!</v>
      </c>
      <c r="Q404" t="e">
        <f>RigheOfferte[[#This Row],[QtaProtez]]</f>
        <v>#VALUE!</v>
      </c>
      <c r="R404" t="e">
        <f>RigheOfferte[[#This Row],[Tipo Protezione]]</f>
        <v>#VALUE!</v>
      </c>
    </row>
    <row r="405" spans="1:18">
      <c r="A405" t="e">
        <f>RigheOfferte[[#This Row],[Nprev]]</f>
        <v>#VALUE!</v>
      </c>
      <c r="B405" t="e">
        <f>RigheOfferte[[#This Row],[Nriga]]</f>
        <v>#VALUE!</v>
      </c>
      <c r="C405" t="e">
        <f>RigheOfferte[[#This Row],[Cliente]]</f>
        <v>#VALUE!</v>
      </c>
      <c r="D405" t="e">
        <f>RigheOfferte[[#This Row],[sub_cliente]]</f>
        <v>#VALUE!</v>
      </c>
      <c r="E405" t="e">
        <f>RigheOfferte[[#This Row],[cod.Art.]]</f>
        <v>#VALUE!</v>
      </c>
      <c r="F405" t="e">
        <f>RigheOfferte[[#This Row],[Descrizione]]</f>
        <v>#VALUE!</v>
      </c>
      <c r="G405" t="e">
        <f>RigheOfferte[[#This Row],[Q.ta'']]</f>
        <v>#VALUE!</v>
      </c>
      <c r="H405" t="e">
        <f>RigheOfferte[[#This Row],[Lavorazione]]</f>
        <v>#VALUE!</v>
      </c>
      <c r="I405" t="e">
        <f>RigheOfferte[[#This Row],[Colore]]</f>
        <v>#VALUE!</v>
      </c>
      <c r="J405" t="e">
        <f>RigheOfferte[[#This Row],[Velocità]]</f>
        <v>#VALUE!</v>
      </c>
      <c r="K405" t="e">
        <f>RigheOfferte[[#This Row],[Superf.pz Mq]]</f>
        <v>#VALUE!</v>
      </c>
      <c r="L405" t="e">
        <f>RigheOfferte[[#This Row],[passo]]</f>
        <v>#VALUE!</v>
      </c>
      <c r="M405" t="e">
        <f>RigheOfferte[[#This Row],[nr.pezzi Telaio]]</f>
        <v>#VALUE!</v>
      </c>
      <c r="N405" t="e">
        <f>RigheOfferte[[#This Row],[nr.pezzi ora-unita]]</f>
        <v>#VALUE!</v>
      </c>
      <c r="O405" t="e">
        <f>Tabella1[[#This Row],[superificie]]*Resa</f>
        <v>#VALUE!</v>
      </c>
      <c r="P405" t="e">
        <f>Tabella1[[#This Row],[KgPezzo]]*Tabella1[[#This Row],[q.ta offerta]]</f>
        <v>#VALUE!</v>
      </c>
      <c r="Q405" t="e">
        <f>RigheOfferte[[#This Row],[QtaProtez]]</f>
        <v>#VALUE!</v>
      </c>
      <c r="R405" t="e">
        <f>RigheOfferte[[#This Row],[Tipo Protezione]]</f>
        <v>#VALUE!</v>
      </c>
    </row>
    <row r="406" spans="1:18">
      <c r="A406" t="e">
        <f>RigheOfferte[[#This Row],[Nprev]]</f>
        <v>#VALUE!</v>
      </c>
      <c r="B406" t="e">
        <f>RigheOfferte[[#This Row],[Nriga]]</f>
        <v>#VALUE!</v>
      </c>
      <c r="C406" t="e">
        <f>RigheOfferte[[#This Row],[Cliente]]</f>
        <v>#VALUE!</v>
      </c>
      <c r="D406" t="e">
        <f>RigheOfferte[[#This Row],[sub_cliente]]</f>
        <v>#VALUE!</v>
      </c>
      <c r="E406" t="e">
        <f>RigheOfferte[[#This Row],[cod.Art.]]</f>
        <v>#VALUE!</v>
      </c>
      <c r="F406" t="e">
        <f>RigheOfferte[[#This Row],[Descrizione]]</f>
        <v>#VALUE!</v>
      </c>
      <c r="G406" t="e">
        <f>RigheOfferte[[#This Row],[Q.ta'']]</f>
        <v>#VALUE!</v>
      </c>
      <c r="H406" t="e">
        <f>RigheOfferte[[#This Row],[Lavorazione]]</f>
        <v>#VALUE!</v>
      </c>
      <c r="I406" t="e">
        <f>RigheOfferte[[#This Row],[Colore]]</f>
        <v>#VALUE!</v>
      </c>
      <c r="J406" t="e">
        <f>RigheOfferte[[#This Row],[Velocità]]</f>
        <v>#VALUE!</v>
      </c>
      <c r="K406" t="e">
        <f>RigheOfferte[[#This Row],[Superf.pz Mq]]</f>
        <v>#VALUE!</v>
      </c>
      <c r="L406" t="e">
        <f>RigheOfferte[[#This Row],[passo]]</f>
        <v>#VALUE!</v>
      </c>
      <c r="M406" t="e">
        <f>RigheOfferte[[#This Row],[nr.pezzi Telaio]]</f>
        <v>#VALUE!</v>
      </c>
      <c r="N406" t="e">
        <f>RigheOfferte[[#This Row],[nr.pezzi ora-unita]]</f>
        <v>#VALUE!</v>
      </c>
      <c r="O406" t="e">
        <f>Tabella1[[#This Row],[superificie]]*Resa</f>
        <v>#VALUE!</v>
      </c>
      <c r="P406" t="e">
        <f>Tabella1[[#This Row],[KgPezzo]]*Tabella1[[#This Row],[q.ta offerta]]</f>
        <v>#VALUE!</v>
      </c>
      <c r="Q406" t="e">
        <f>RigheOfferte[[#This Row],[QtaProtez]]</f>
        <v>#VALUE!</v>
      </c>
      <c r="R406" t="e">
        <f>RigheOfferte[[#This Row],[Tipo Protezione]]</f>
        <v>#VALUE!</v>
      </c>
    </row>
    <row r="407" spans="1:18">
      <c r="A407" t="e">
        <f>RigheOfferte[[#This Row],[Nprev]]</f>
        <v>#VALUE!</v>
      </c>
      <c r="B407" t="e">
        <f>RigheOfferte[[#This Row],[Nriga]]</f>
        <v>#VALUE!</v>
      </c>
      <c r="C407" t="e">
        <f>RigheOfferte[[#This Row],[Cliente]]</f>
        <v>#VALUE!</v>
      </c>
      <c r="D407" t="e">
        <f>RigheOfferte[[#This Row],[sub_cliente]]</f>
        <v>#VALUE!</v>
      </c>
      <c r="E407" t="e">
        <f>RigheOfferte[[#This Row],[cod.Art.]]</f>
        <v>#VALUE!</v>
      </c>
      <c r="F407" t="e">
        <f>RigheOfferte[[#This Row],[Descrizione]]</f>
        <v>#VALUE!</v>
      </c>
      <c r="G407" t="e">
        <f>RigheOfferte[[#This Row],[Q.ta'']]</f>
        <v>#VALUE!</v>
      </c>
      <c r="H407" t="e">
        <f>RigheOfferte[[#This Row],[Lavorazione]]</f>
        <v>#VALUE!</v>
      </c>
      <c r="I407" t="e">
        <f>RigheOfferte[[#This Row],[Colore]]</f>
        <v>#VALUE!</v>
      </c>
      <c r="J407" t="e">
        <f>RigheOfferte[[#This Row],[Velocità]]</f>
        <v>#VALUE!</v>
      </c>
      <c r="K407" t="e">
        <f>RigheOfferte[[#This Row],[Superf.pz Mq]]</f>
        <v>#VALUE!</v>
      </c>
      <c r="L407" t="e">
        <f>RigheOfferte[[#This Row],[passo]]</f>
        <v>#VALUE!</v>
      </c>
      <c r="M407" t="e">
        <f>RigheOfferte[[#This Row],[nr.pezzi Telaio]]</f>
        <v>#VALUE!</v>
      </c>
      <c r="N407" t="e">
        <f>RigheOfferte[[#This Row],[nr.pezzi ora-unita]]</f>
        <v>#VALUE!</v>
      </c>
      <c r="O407" t="e">
        <f>Tabella1[[#This Row],[superificie]]*Resa</f>
        <v>#VALUE!</v>
      </c>
      <c r="P407" t="e">
        <f>Tabella1[[#This Row],[KgPezzo]]*Tabella1[[#This Row],[q.ta offerta]]</f>
        <v>#VALUE!</v>
      </c>
      <c r="Q407" t="e">
        <f>RigheOfferte[[#This Row],[QtaProtez]]</f>
        <v>#VALUE!</v>
      </c>
      <c r="R407" t="e">
        <f>RigheOfferte[[#This Row],[Tipo Protezione]]</f>
        <v>#VALUE!</v>
      </c>
    </row>
    <row r="408" spans="1:18">
      <c r="A408" t="e">
        <f>RigheOfferte[[#This Row],[Nprev]]</f>
        <v>#VALUE!</v>
      </c>
      <c r="B408" t="e">
        <f>RigheOfferte[[#This Row],[Nriga]]</f>
        <v>#VALUE!</v>
      </c>
      <c r="C408" t="e">
        <f>RigheOfferte[[#This Row],[Cliente]]</f>
        <v>#VALUE!</v>
      </c>
      <c r="D408" t="e">
        <f>RigheOfferte[[#This Row],[sub_cliente]]</f>
        <v>#VALUE!</v>
      </c>
      <c r="E408" t="e">
        <f>RigheOfferte[[#This Row],[cod.Art.]]</f>
        <v>#VALUE!</v>
      </c>
      <c r="F408" t="e">
        <f>RigheOfferte[[#This Row],[Descrizione]]</f>
        <v>#VALUE!</v>
      </c>
      <c r="G408" t="e">
        <f>RigheOfferte[[#This Row],[Q.ta'']]</f>
        <v>#VALUE!</v>
      </c>
      <c r="H408" t="e">
        <f>RigheOfferte[[#This Row],[Lavorazione]]</f>
        <v>#VALUE!</v>
      </c>
      <c r="I408" t="e">
        <f>RigheOfferte[[#This Row],[Colore]]</f>
        <v>#VALUE!</v>
      </c>
      <c r="J408" t="e">
        <f>RigheOfferte[[#This Row],[Velocità]]</f>
        <v>#VALUE!</v>
      </c>
      <c r="K408" t="e">
        <f>RigheOfferte[[#This Row],[Superf.pz Mq]]</f>
        <v>#VALUE!</v>
      </c>
      <c r="L408" t="e">
        <f>RigheOfferte[[#This Row],[passo]]</f>
        <v>#VALUE!</v>
      </c>
      <c r="M408" t="e">
        <f>RigheOfferte[[#This Row],[nr.pezzi Telaio]]</f>
        <v>#VALUE!</v>
      </c>
      <c r="N408" t="e">
        <f>RigheOfferte[[#This Row],[nr.pezzi ora-unita]]</f>
        <v>#VALUE!</v>
      </c>
      <c r="O408" t="e">
        <f>Tabella1[[#This Row],[superificie]]*Resa</f>
        <v>#VALUE!</v>
      </c>
      <c r="P408" t="e">
        <f>Tabella1[[#This Row],[KgPezzo]]*Tabella1[[#This Row],[q.ta offerta]]</f>
        <v>#VALUE!</v>
      </c>
      <c r="Q408" t="e">
        <f>RigheOfferte[[#This Row],[QtaProtez]]</f>
        <v>#VALUE!</v>
      </c>
      <c r="R408" t="e">
        <f>RigheOfferte[[#This Row],[Tipo Protezione]]</f>
        <v>#VALUE!</v>
      </c>
    </row>
    <row r="409" spans="1:18">
      <c r="A409" t="e">
        <f>RigheOfferte[[#This Row],[Nprev]]</f>
        <v>#VALUE!</v>
      </c>
      <c r="B409" t="e">
        <f>RigheOfferte[[#This Row],[Nriga]]</f>
        <v>#VALUE!</v>
      </c>
      <c r="C409" t="e">
        <f>RigheOfferte[[#This Row],[Cliente]]</f>
        <v>#VALUE!</v>
      </c>
      <c r="D409" t="e">
        <f>RigheOfferte[[#This Row],[sub_cliente]]</f>
        <v>#VALUE!</v>
      </c>
      <c r="E409" t="e">
        <f>RigheOfferte[[#This Row],[cod.Art.]]</f>
        <v>#VALUE!</v>
      </c>
      <c r="F409" t="e">
        <f>RigheOfferte[[#This Row],[Descrizione]]</f>
        <v>#VALUE!</v>
      </c>
      <c r="G409" t="e">
        <f>RigheOfferte[[#This Row],[Q.ta'']]</f>
        <v>#VALUE!</v>
      </c>
      <c r="H409" t="e">
        <f>RigheOfferte[[#This Row],[Lavorazione]]</f>
        <v>#VALUE!</v>
      </c>
      <c r="I409" t="e">
        <f>RigheOfferte[[#This Row],[Colore]]</f>
        <v>#VALUE!</v>
      </c>
      <c r="J409" t="e">
        <f>RigheOfferte[[#This Row],[Velocità]]</f>
        <v>#VALUE!</v>
      </c>
      <c r="K409" t="e">
        <f>RigheOfferte[[#This Row],[Superf.pz Mq]]</f>
        <v>#VALUE!</v>
      </c>
      <c r="L409" t="e">
        <f>RigheOfferte[[#This Row],[passo]]</f>
        <v>#VALUE!</v>
      </c>
      <c r="M409" t="e">
        <f>RigheOfferte[[#This Row],[nr.pezzi Telaio]]</f>
        <v>#VALUE!</v>
      </c>
      <c r="N409" t="e">
        <f>RigheOfferte[[#This Row],[nr.pezzi ora-unita]]</f>
        <v>#VALUE!</v>
      </c>
      <c r="O409" t="e">
        <f>Tabella1[[#This Row],[superificie]]*Resa</f>
        <v>#VALUE!</v>
      </c>
      <c r="P409" t="e">
        <f>Tabella1[[#This Row],[KgPezzo]]*Tabella1[[#This Row],[q.ta offerta]]</f>
        <v>#VALUE!</v>
      </c>
      <c r="Q409" t="e">
        <f>RigheOfferte[[#This Row],[QtaProtez]]</f>
        <v>#VALUE!</v>
      </c>
      <c r="R409" t="e">
        <f>RigheOfferte[[#This Row],[Tipo Protezione]]</f>
        <v>#VALUE!</v>
      </c>
    </row>
    <row r="410" spans="1:18">
      <c r="A410" t="e">
        <f>RigheOfferte[[#This Row],[Nprev]]</f>
        <v>#VALUE!</v>
      </c>
      <c r="B410" t="e">
        <f>RigheOfferte[[#This Row],[Nriga]]</f>
        <v>#VALUE!</v>
      </c>
      <c r="C410" t="e">
        <f>RigheOfferte[[#This Row],[Cliente]]</f>
        <v>#VALUE!</v>
      </c>
      <c r="D410" t="e">
        <f>RigheOfferte[[#This Row],[sub_cliente]]</f>
        <v>#VALUE!</v>
      </c>
      <c r="E410" t="e">
        <f>RigheOfferte[[#This Row],[cod.Art.]]</f>
        <v>#VALUE!</v>
      </c>
      <c r="F410" t="e">
        <f>RigheOfferte[[#This Row],[Descrizione]]</f>
        <v>#VALUE!</v>
      </c>
      <c r="G410" t="e">
        <f>RigheOfferte[[#This Row],[Q.ta'']]</f>
        <v>#VALUE!</v>
      </c>
      <c r="H410" t="e">
        <f>RigheOfferte[[#This Row],[Lavorazione]]</f>
        <v>#VALUE!</v>
      </c>
      <c r="I410" t="e">
        <f>RigheOfferte[[#This Row],[Colore]]</f>
        <v>#VALUE!</v>
      </c>
      <c r="J410" t="e">
        <f>RigheOfferte[[#This Row],[Velocità]]</f>
        <v>#VALUE!</v>
      </c>
      <c r="K410" t="e">
        <f>RigheOfferte[[#This Row],[Superf.pz Mq]]</f>
        <v>#VALUE!</v>
      </c>
      <c r="L410" t="e">
        <f>RigheOfferte[[#This Row],[passo]]</f>
        <v>#VALUE!</v>
      </c>
      <c r="M410" t="e">
        <f>RigheOfferte[[#This Row],[nr.pezzi Telaio]]</f>
        <v>#VALUE!</v>
      </c>
      <c r="N410" t="e">
        <f>RigheOfferte[[#This Row],[nr.pezzi ora-unita]]</f>
        <v>#VALUE!</v>
      </c>
      <c r="O410" t="e">
        <f>Tabella1[[#This Row],[superificie]]*Resa</f>
        <v>#VALUE!</v>
      </c>
      <c r="P410" t="e">
        <f>Tabella1[[#This Row],[KgPezzo]]*Tabella1[[#This Row],[q.ta offerta]]</f>
        <v>#VALUE!</v>
      </c>
      <c r="Q410" t="e">
        <f>RigheOfferte[[#This Row],[QtaProtez]]</f>
        <v>#VALUE!</v>
      </c>
      <c r="R410" t="e">
        <f>RigheOfferte[[#This Row],[Tipo Protezione]]</f>
        <v>#VALUE!</v>
      </c>
    </row>
    <row r="411" spans="1:18">
      <c r="A411" t="e">
        <f>RigheOfferte[[#This Row],[Nprev]]</f>
        <v>#VALUE!</v>
      </c>
      <c r="B411" t="e">
        <f>RigheOfferte[[#This Row],[Nriga]]</f>
        <v>#VALUE!</v>
      </c>
      <c r="C411" t="e">
        <f>RigheOfferte[[#This Row],[Cliente]]</f>
        <v>#VALUE!</v>
      </c>
      <c r="D411" t="e">
        <f>RigheOfferte[[#This Row],[sub_cliente]]</f>
        <v>#VALUE!</v>
      </c>
      <c r="E411" t="e">
        <f>RigheOfferte[[#This Row],[cod.Art.]]</f>
        <v>#VALUE!</v>
      </c>
      <c r="F411" t="e">
        <f>RigheOfferte[[#This Row],[Descrizione]]</f>
        <v>#VALUE!</v>
      </c>
      <c r="G411" t="e">
        <f>RigheOfferte[[#This Row],[Q.ta'']]</f>
        <v>#VALUE!</v>
      </c>
      <c r="H411" t="e">
        <f>RigheOfferte[[#This Row],[Lavorazione]]</f>
        <v>#VALUE!</v>
      </c>
      <c r="I411" t="e">
        <f>RigheOfferte[[#This Row],[Colore]]</f>
        <v>#VALUE!</v>
      </c>
      <c r="J411" t="e">
        <f>RigheOfferte[[#This Row],[Velocità]]</f>
        <v>#VALUE!</v>
      </c>
      <c r="K411" t="e">
        <f>RigheOfferte[[#This Row],[Superf.pz Mq]]</f>
        <v>#VALUE!</v>
      </c>
      <c r="L411" t="e">
        <f>RigheOfferte[[#This Row],[passo]]</f>
        <v>#VALUE!</v>
      </c>
      <c r="M411" t="e">
        <f>RigheOfferte[[#This Row],[nr.pezzi Telaio]]</f>
        <v>#VALUE!</v>
      </c>
      <c r="N411" t="e">
        <f>RigheOfferte[[#This Row],[nr.pezzi ora-unita]]</f>
        <v>#VALUE!</v>
      </c>
      <c r="O411" t="e">
        <f>Tabella1[[#This Row],[superificie]]*Resa</f>
        <v>#VALUE!</v>
      </c>
      <c r="P411" t="e">
        <f>Tabella1[[#This Row],[KgPezzo]]*Tabella1[[#This Row],[q.ta offerta]]</f>
        <v>#VALUE!</v>
      </c>
      <c r="Q411" t="e">
        <f>RigheOfferte[[#This Row],[QtaProtez]]</f>
        <v>#VALUE!</v>
      </c>
      <c r="R411" t="e">
        <f>RigheOfferte[[#This Row],[Tipo Protezione]]</f>
        <v>#VALUE!</v>
      </c>
    </row>
    <row r="412" spans="1:18">
      <c r="A412" t="e">
        <f>RigheOfferte[[#This Row],[Nprev]]</f>
        <v>#VALUE!</v>
      </c>
      <c r="B412" t="e">
        <f>RigheOfferte[[#This Row],[Nriga]]</f>
        <v>#VALUE!</v>
      </c>
      <c r="C412" t="e">
        <f>RigheOfferte[[#This Row],[Cliente]]</f>
        <v>#VALUE!</v>
      </c>
      <c r="D412" t="e">
        <f>RigheOfferte[[#This Row],[sub_cliente]]</f>
        <v>#VALUE!</v>
      </c>
      <c r="E412" t="e">
        <f>RigheOfferte[[#This Row],[cod.Art.]]</f>
        <v>#VALUE!</v>
      </c>
      <c r="F412" t="e">
        <f>RigheOfferte[[#This Row],[Descrizione]]</f>
        <v>#VALUE!</v>
      </c>
      <c r="G412" t="e">
        <f>RigheOfferte[[#This Row],[Q.ta'']]</f>
        <v>#VALUE!</v>
      </c>
      <c r="H412" t="e">
        <f>RigheOfferte[[#This Row],[Lavorazione]]</f>
        <v>#VALUE!</v>
      </c>
      <c r="I412" t="e">
        <f>RigheOfferte[[#This Row],[Colore]]</f>
        <v>#VALUE!</v>
      </c>
      <c r="J412" t="e">
        <f>RigheOfferte[[#This Row],[Velocità]]</f>
        <v>#VALUE!</v>
      </c>
      <c r="K412" t="e">
        <f>RigheOfferte[[#This Row],[Superf.pz Mq]]</f>
        <v>#VALUE!</v>
      </c>
      <c r="L412" t="e">
        <f>RigheOfferte[[#This Row],[passo]]</f>
        <v>#VALUE!</v>
      </c>
      <c r="M412" t="e">
        <f>RigheOfferte[[#This Row],[nr.pezzi Telaio]]</f>
        <v>#VALUE!</v>
      </c>
      <c r="N412" t="e">
        <f>RigheOfferte[[#This Row],[nr.pezzi ora-unita]]</f>
        <v>#VALUE!</v>
      </c>
      <c r="O412" t="e">
        <f>Tabella1[[#This Row],[superificie]]*Resa</f>
        <v>#VALUE!</v>
      </c>
      <c r="P412" t="e">
        <f>Tabella1[[#This Row],[KgPezzo]]*Tabella1[[#This Row],[q.ta offerta]]</f>
        <v>#VALUE!</v>
      </c>
      <c r="Q412" t="e">
        <f>RigheOfferte[[#This Row],[QtaProtez]]</f>
        <v>#VALUE!</v>
      </c>
      <c r="R412" t="e">
        <f>RigheOfferte[[#This Row],[Tipo Protezione]]</f>
        <v>#VALUE!</v>
      </c>
    </row>
    <row r="413" spans="1:18">
      <c r="A413" t="e">
        <f>RigheOfferte[[#This Row],[Nprev]]</f>
        <v>#VALUE!</v>
      </c>
      <c r="B413" t="e">
        <f>RigheOfferte[[#This Row],[Nriga]]</f>
        <v>#VALUE!</v>
      </c>
      <c r="C413" t="e">
        <f>RigheOfferte[[#This Row],[Cliente]]</f>
        <v>#VALUE!</v>
      </c>
      <c r="D413" t="e">
        <f>RigheOfferte[[#This Row],[sub_cliente]]</f>
        <v>#VALUE!</v>
      </c>
      <c r="E413" t="e">
        <f>RigheOfferte[[#This Row],[cod.Art.]]</f>
        <v>#VALUE!</v>
      </c>
      <c r="F413" t="e">
        <f>RigheOfferte[[#This Row],[Descrizione]]</f>
        <v>#VALUE!</v>
      </c>
      <c r="G413" t="e">
        <f>RigheOfferte[[#This Row],[Q.ta'']]</f>
        <v>#VALUE!</v>
      </c>
      <c r="H413" t="e">
        <f>RigheOfferte[[#This Row],[Lavorazione]]</f>
        <v>#VALUE!</v>
      </c>
      <c r="I413" t="e">
        <f>RigheOfferte[[#This Row],[Colore]]</f>
        <v>#VALUE!</v>
      </c>
      <c r="J413" t="e">
        <f>RigheOfferte[[#This Row],[Velocità]]</f>
        <v>#VALUE!</v>
      </c>
      <c r="K413" t="e">
        <f>RigheOfferte[[#This Row],[Superf.pz Mq]]</f>
        <v>#VALUE!</v>
      </c>
      <c r="L413" t="e">
        <f>RigheOfferte[[#This Row],[passo]]</f>
        <v>#VALUE!</v>
      </c>
      <c r="M413" t="e">
        <f>RigheOfferte[[#This Row],[nr.pezzi Telaio]]</f>
        <v>#VALUE!</v>
      </c>
      <c r="N413" t="e">
        <f>RigheOfferte[[#This Row],[nr.pezzi ora-unita]]</f>
        <v>#VALUE!</v>
      </c>
      <c r="O413" t="e">
        <f>Tabella1[[#This Row],[superificie]]*Resa</f>
        <v>#VALUE!</v>
      </c>
      <c r="P413" t="e">
        <f>Tabella1[[#This Row],[KgPezzo]]*Tabella1[[#This Row],[q.ta offerta]]</f>
        <v>#VALUE!</v>
      </c>
      <c r="Q413" t="e">
        <f>RigheOfferte[[#This Row],[QtaProtez]]</f>
        <v>#VALUE!</v>
      </c>
      <c r="R413" t="e">
        <f>RigheOfferte[[#This Row],[Tipo Protezione]]</f>
        <v>#VALUE!</v>
      </c>
    </row>
    <row r="414" spans="1:18">
      <c r="A414" t="e">
        <f>RigheOfferte[[#This Row],[Nprev]]</f>
        <v>#VALUE!</v>
      </c>
      <c r="B414" t="e">
        <f>RigheOfferte[[#This Row],[Nriga]]</f>
        <v>#VALUE!</v>
      </c>
      <c r="C414" t="e">
        <f>RigheOfferte[[#This Row],[Cliente]]</f>
        <v>#VALUE!</v>
      </c>
      <c r="D414" t="e">
        <f>RigheOfferte[[#This Row],[sub_cliente]]</f>
        <v>#VALUE!</v>
      </c>
      <c r="E414" t="e">
        <f>RigheOfferte[[#This Row],[cod.Art.]]</f>
        <v>#VALUE!</v>
      </c>
      <c r="F414" t="e">
        <f>RigheOfferte[[#This Row],[Descrizione]]</f>
        <v>#VALUE!</v>
      </c>
      <c r="G414" t="e">
        <f>RigheOfferte[[#This Row],[Q.ta'']]</f>
        <v>#VALUE!</v>
      </c>
      <c r="H414" t="e">
        <f>RigheOfferte[[#This Row],[Lavorazione]]</f>
        <v>#VALUE!</v>
      </c>
      <c r="I414" t="e">
        <f>RigheOfferte[[#This Row],[Colore]]</f>
        <v>#VALUE!</v>
      </c>
      <c r="J414" t="e">
        <f>RigheOfferte[[#This Row],[Velocità]]</f>
        <v>#VALUE!</v>
      </c>
      <c r="K414" t="e">
        <f>RigheOfferte[[#This Row],[Superf.pz Mq]]</f>
        <v>#VALUE!</v>
      </c>
      <c r="L414" t="e">
        <f>RigheOfferte[[#This Row],[passo]]</f>
        <v>#VALUE!</v>
      </c>
      <c r="M414" t="e">
        <f>RigheOfferte[[#This Row],[nr.pezzi Telaio]]</f>
        <v>#VALUE!</v>
      </c>
      <c r="N414" t="e">
        <f>RigheOfferte[[#This Row],[nr.pezzi ora-unita]]</f>
        <v>#VALUE!</v>
      </c>
      <c r="O414" t="e">
        <f>Tabella1[[#This Row],[superificie]]*Resa</f>
        <v>#VALUE!</v>
      </c>
      <c r="P414" t="e">
        <f>Tabella1[[#This Row],[KgPezzo]]*Tabella1[[#This Row],[q.ta offerta]]</f>
        <v>#VALUE!</v>
      </c>
      <c r="Q414" t="e">
        <f>RigheOfferte[[#This Row],[QtaProtez]]</f>
        <v>#VALUE!</v>
      </c>
      <c r="R414" t="e">
        <f>RigheOfferte[[#This Row],[Tipo Protezione]]</f>
        <v>#VALUE!</v>
      </c>
    </row>
    <row r="415" spans="1:18">
      <c r="A415" t="e">
        <f>RigheOfferte[[#This Row],[Nprev]]</f>
        <v>#VALUE!</v>
      </c>
      <c r="B415" t="e">
        <f>RigheOfferte[[#This Row],[Nriga]]</f>
        <v>#VALUE!</v>
      </c>
      <c r="C415" t="e">
        <f>RigheOfferte[[#This Row],[Cliente]]</f>
        <v>#VALUE!</v>
      </c>
      <c r="D415" t="e">
        <f>RigheOfferte[[#This Row],[sub_cliente]]</f>
        <v>#VALUE!</v>
      </c>
      <c r="E415" t="e">
        <f>RigheOfferte[[#This Row],[cod.Art.]]</f>
        <v>#VALUE!</v>
      </c>
      <c r="F415" t="e">
        <f>RigheOfferte[[#This Row],[Descrizione]]</f>
        <v>#VALUE!</v>
      </c>
      <c r="G415" t="e">
        <f>RigheOfferte[[#This Row],[Q.ta'']]</f>
        <v>#VALUE!</v>
      </c>
      <c r="H415" t="e">
        <f>RigheOfferte[[#This Row],[Lavorazione]]</f>
        <v>#VALUE!</v>
      </c>
      <c r="I415" t="e">
        <f>RigheOfferte[[#This Row],[Colore]]</f>
        <v>#VALUE!</v>
      </c>
      <c r="J415" t="e">
        <f>RigheOfferte[[#This Row],[Velocità]]</f>
        <v>#VALUE!</v>
      </c>
      <c r="K415" t="e">
        <f>RigheOfferte[[#This Row],[Superf.pz Mq]]</f>
        <v>#VALUE!</v>
      </c>
      <c r="L415" t="e">
        <f>RigheOfferte[[#This Row],[passo]]</f>
        <v>#VALUE!</v>
      </c>
      <c r="M415" t="e">
        <f>RigheOfferte[[#This Row],[nr.pezzi Telaio]]</f>
        <v>#VALUE!</v>
      </c>
      <c r="N415" t="e">
        <f>RigheOfferte[[#This Row],[nr.pezzi ora-unita]]</f>
        <v>#VALUE!</v>
      </c>
      <c r="O415" t="e">
        <f>Tabella1[[#This Row],[superificie]]*Resa</f>
        <v>#VALUE!</v>
      </c>
      <c r="P415" t="e">
        <f>Tabella1[[#This Row],[KgPezzo]]*Tabella1[[#This Row],[q.ta offerta]]</f>
        <v>#VALUE!</v>
      </c>
      <c r="Q415" t="e">
        <f>RigheOfferte[[#This Row],[QtaProtez]]</f>
        <v>#VALUE!</v>
      </c>
      <c r="R415" t="e">
        <f>RigheOfferte[[#This Row],[Tipo Protezione]]</f>
        <v>#VALUE!</v>
      </c>
    </row>
    <row r="416" spans="1:18">
      <c r="A416" t="e">
        <f>RigheOfferte[[#This Row],[Nprev]]</f>
        <v>#VALUE!</v>
      </c>
      <c r="B416" t="e">
        <f>RigheOfferte[[#This Row],[Nriga]]</f>
        <v>#VALUE!</v>
      </c>
      <c r="C416" t="e">
        <f>RigheOfferte[[#This Row],[Cliente]]</f>
        <v>#VALUE!</v>
      </c>
      <c r="D416" t="e">
        <f>RigheOfferte[[#This Row],[sub_cliente]]</f>
        <v>#VALUE!</v>
      </c>
      <c r="E416" t="e">
        <f>RigheOfferte[[#This Row],[cod.Art.]]</f>
        <v>#VALUE!</v>
      </c>
      <c r="F416" t="e">
        <f>RigheOfferte[[#This Row],[Descrizione]]</f>
        <v>#VALUE!</v>
      </c>
      <c r="G416" t="e">
        <f>RigheOfferte[[#This Row],[Q.ta'']]</f>
        <v>#VALUE!</v>
      </c>
      <c r="H416" t="e">
        <f>RigheOfferte[[#This Row],[Lavorazione]]</f>
        <v>#VALUE!</v>
      </c>
      <c r="I416" t="e">
        <f>RigheOfferte[[#This Row],[Colore]]</f>
        <v>#VALUE!</v>
      </c>
      <c r="J416" t="e">
        <f>RigheOfferte[[#This Row],[Velocità]]</f>
        <v>#VALUE!</v>
      </c>
      <c r="K416" t="e">
        <f>RigheOfferte[[#This Row],[Superf.pz Mq]]</f>
        <v>#VALUE!</v>
      </c>
      <c r="L416" t="e">
        <f>RigheOfferte[[#This Row],[passo]]</f>
        <v>#VALUE!</v>
      </c>
      <c r="M416" t="e">
        <f>RigheOfferte[[#This Row],[nr.pezzi Telaio]]</f>
        <v>#VALUE!</v>
      </c>
      <c r="N416" t="e">
        <f>RigheOfferte[[#This Row],[nr.pezzi ora-unita]]</f>
        <v>#VALUE!</v>
      </c>
      <c r="O416" t="e">
        <f>Tabella1[[#This Row],[superificie]]*Resa</f>
        <v>#VALUE!</v>
      </c>
      <c r="P416" t="e">
        <f>Tabella1[[#This Row],[KgPezzo]]*Tabella1[[#This Row],[q.ta offerta]]</f>
        <v>#VALUE!</v>
      </c>
      <c r="Q416" t="e">
        <f>RigheOfferte[[#This Row],[QtaProtez]]</f>
        <v>#VALUE!</v>
      </c>
      <c r="R416" t="e">
        <f>RigheOfferte[[#This Row],[Tipo Protezione]]</f>
        <v>#VALUE!</v>
      </c>
    </row>
    <row r="417" spans="1:18">
      <c r="A417" t="e">
        <f>RigheOfferte[[#This Row],[Nprev]]</f>
        <v>#VALUE!</v>
      </c>
      <c r="B417" t="e">
        <f>RigheOfferte[[#This Row],[Nriga]]</f>
        <v>#VALUE!</v>
      </c>
      <c r="C417" t="e">
        <f>RigheOfferte[[#This Row],[Cliente]]</f>
        <v>#VALUE!</v>
      </c>
      <c r="D417" t="e">
        <f>RigheOfferte[[#This Row],[sub_cliente]]</f>
        <v>#VALUE!</v>
      </c>
      <c r="E417" t="e">
        <f>RigheOfferte[[#This Row],[cod.Art.]]</f>
        <v>#VALUE!</v>
      </c>
      <c r="F417" t="e">
        <f>RigheOfferte[[#This Row],[Descrizione]]</f>
        <v>#VALUE!</v>
      </c>
      <c r="G417" t="e">
        <f>RigheOfferte[[#This Row],[Q.ta'']]</f>
        <v>#VALUE!</v>
      </c>
      <c r="H417" t="e">
        <f>RigheOfferte[[#This Row],[Lavorazione]]</f>
        <v>#VALUE!</v>
      </c>
      <c r="I417" t="e">
        <f>RigheOfferte[[#This Row],[Colore]]</f>
        <v>#VALUE!</v>
      </c>
      <c r="J417" t="e">
        <f>RigheOfferte[[#This Row],[Velocità]]</f>
        <v>#VALUE!</v>
      </c>
      <c r="K417" t="e">
        <f>RigheOfferte[[#This Row],[Superf.pz Mq]]</f>
        <v>#VALUE!</v>
      </c>
      <c r="L417" t="e">
        <f>RigheOfferte[[#This Row],[passo]]</f>
        <v>#VALUE!</v>
      </c>
      <c r="M417" t="e">
        <f>RigheOfferte[[#This Row],[nr.pezzi Telaio]]</f>
        <v>#VALUE!</v>
      </c>
      <c r="N417" t="e">
        <f>RigheOfferte[[#This Row],[nr.pezzi ora-unita]]</f>
        <v>#VALUE!</v>
      </c>
      <c r="O417" t="e">
        <f>Tabella1[[#This Row],[superificie]]*Resa</f>
        <v>#VALUE!</v>
      </c>
      <c r="P417" t="e">
        <f>Tabella1[[#This Row],[KgPezzo]]*Tabella1[[#This Row],[q.ta offerta]]</f>
        <v>#VALUE!</v>
      </c>
      <c r="Q417" t="e">
        <f>RigheOfferte[[#This Row],[QtaProtez]]</f>
        <v>#VALUE!</v>
      </c>
      <c r="R417" t="e">
        <f>RigheOfferte[[#This Row],[Tipo Protezione]]</f>
        <v>#VALUE!</v>
      </c>
    </row>
    <row r="418" spans="1:18">
      <c r="A418" t="e">
        <f>RigheOfferte[[#This Row],[Nprev]]</f>
        <v>#VALUE!</v>
      </c>
      <c r="B418" t="e">
        <f>RigheOfferte[[#This Row],[Nriga]]</f>
        <v>#VALUE!</v>
      </c>
      <c r="C418" t="e">
        <f>RigheOfferte[[#This Row],[Cliente]]</f>
        <v>#VALUE!</v>
      </c>
      <c r="D418" t="e">
        <f>RigheOfferte[[#This Row],[sub_cliente]]</f>
        <v>#VALUE!</v>
      </c>
      <c r="E418" t="e">
        <f>RigheOfferte[[#This Row],[cod.Art.]]</f>
        <v>#VALUE!</v>
      </c>
      <c r="F418" t="e">
        <f>RigheOfferte[[#This Row],[Descrizione]]</f>
        <v>#VALUE!</v>
      </c>
      <c r="G418" t="e">
        <f>RigheOfferte[[#This Row],[Q.ta'']]</f>
        <v>#VALUE!</v>
      </c>
      <c r="H418" t="e">
        <f>RigheOfferte[[#This Row],[Lavorazione]]</f>
        <v>#VALUE!</v>
      </c>
      <c r="I418" t="e">
        <f>RigheOfferte[[#This Row],[Colore]]</f>
        <v>#VALUE!</v>
      </c>
      <c r="J418" t="e">
        <f>RigheOfferte[[#This Row],[Velocità]]</f>
        <v>#VALUE!</v>
      </c>
      <c r="K418" t="e">
        <f>RigheOfferte[[#This Row],[Superf.pz Mq]]</f>
        <v>#VALUE!</v>
      </c>
      <c r="L418" t="e">
        <f>RigheOfferte[[#This Row],[passo]]</f>
        <v>#VALUE!</v>
      </c>
      <c r="M418" t="e">
        <f>RigheOfferte[[#This Row],[nr.pezzi Telaio]]</f>
        <v>#VALUE!</v>
      </c>
      <c r="N418" t="e">
        <f>RigheOfferte[[#This Row],[nr.pezzi ora-unita]]</f>
        <v>#VALUE!</v>
      </c>
      <c r="O418" t="e">
        <f>Tabella1[[#This Row],[superificie]]*Resa</f>
        <v>#VALUE!</v>
      </c>
      <c r="P418" t="e">
        <f>Tabella1[[#This Row],[KgPezzo]]*Tabella1[[#This Row],[q.ta offerta]]</f>
        <v>#VALUE!</v>
      </c>
      <c r="Q418" t="e">
        <f>RigheOfferte[[#This Row],[QtaProtez]]</f>
        <v>#VALUE!</v>
      </c>
      <c r="R418" t="e">
        <f>RigheOfferte[[#This Row],[Tipo Protezione]]</f>
        <v>#VALUE!</v>
      </c>
    </row>
    <row r="419" spans="1:18">
      <c r="A419" t="e">
        <f>RigheOfferte[[#This Row],[Nprev]]</f>
        <v>#VALUE!</v>
      </c>
      <c r="B419" t="e">
        <f>RigheOfferte[[#This Row],[Nriga]]</f>
        <v>#VALUE!</v>
      </c>
      <c r="C419" t="e">
        <f>RigheOfferte[[#This Row],[Cliente]]</f>
        <v>#VALUE!</v>
      </c>
      <c r="D419" t="e">
        <f>RigheOfferte[[#This Row],[sub_cliente]]</f>
        <v>#VALUE!</v>
      </c>
      <c r="E419" t="e">
        <f>RigheOfferte[[#This Row],[cod.Art.]]</f>
        <v>#VALUE!</v>
      </c>
      <c r="F419" t="e">
        <f>RigheOfferte[[#This Row],[Descrizione]]</f>
        <v>#VALUE!</v>
      </c>
      <c r="G419" t="e">
        <f>RigheOfferte[[#This Row],[Q.ta'']]</f>
        <v>#VALUE!</v>
      </c>
      <c r="H419" t="e">
        <f>RigheOfferte[[#This Row],[Lavorazione]]</f>
        <v>#VALUE!</v>
      </c>
      <c r="I419" t="e">
        <f>RigheOfferte[[#This Row],[Colore]]</f>
        <v>#VALUE!</v>
      </c>
      <c r="J419" t="e">
        <f>RigheOfferte[[#This Row],[Velocità]]</f>
        <v>#VALUE!</v>
      </c>
      <c r="K419" t="e">
        <f>RigheOfferte[[#This Row],[Superf.pz Mq]]</f>
        <v>#VALUE!</v>
      </c>
      <c r="L419" t="e">
        <f>RigheOfferte[[#This Row],[passo]]</f>
        <v>#VALUE!</v>
      </c>
      <c r="M419" t="e">
        <f>RigheOfferte[[#This Row],[nr.pezzi Telaio]]</f>
        <v>#VALUE!</v>
      </c>
      <c r="N419" t="e">
        <f>RigheOfferte[[#This Row],[nr.pezzi ora-unita]]</f>
        <v>#VALUE!</v>
      </c>
      <c r="O419" t="e">
        <f>Tabella1[[#This Row],[superificie]]*Resa</f>
        <v>#VALUE!</v>
      </c>
      <c r="P419" t="e">
        <f>Tabella1[[#This Row],[KgPezzo]]*Tabella1[[#This Row],[q.ta offerta]]</f>
        <v>#VALUE!</v>
      </c>
      <c r="Q419" t="e">
        <f>RigheOfferte[[#This Row],[QtaProtez]]</f>
        <v>#VALUE!</v>
      </c>
      <c r="R419" t="e">
        <f>RigheOfferte[[#This Row],[Tipo Protezione]]</f>
        <v>#VALUE!</v>
      </c>
    </row>
    <row r="420" spans="1:18">
      <c r="A420" t="e">
        <f>RigheOfferte[[#This Row],[Nprev]]</f>
        <v>#VALUE!</v>
      </c>
      <c r="B420" t="e">
        <f>RigheOfferte[[#This Row],[Nriga]]</f>
        <v>#VALUE!</v>
      </c>
      <c r="C420" t="e">
        <f>RigheOfferte[[#This Row],[Cliente]]</f>
        <v>#VALUE!</v>
      </c>
      <c r="D420" t="e">
        <f>RigheOfferte[[#This Row],[sub_cliente]]</f>
        <v>#VALUE!</v>
      </c>
      <c r="E420" t="e">
        <f>RigheOfferte[[#This Row],[cod.Art.]]</f>
        <v>#VALUE!</v>
      </c>
      <c r="F420" t="e">
        <f>RigheOfferte[[#This Row],[Descrizione]]</f>
        <v>#VALUE!</v>
      </c>
      <c r="G420" t="e">
        <f>RigheOfferte[[#This Row],[Q.ta'']]</f>
        <v>#VALUE!</v>
      </c>
      <c r="H420" t="e">
        <f>RigheOfferte[[#This Row],[Lavorazione]]</f>
        <v>#VALUE!</v>
      </c>
      <c r="I420" t="e">
        <f>RigheOfferte[[#This Row],[Colore]]</f>
        <v>#VALUE!</v>
      </c>
      <c r="J420" t="e">
        <f>RigheOfferte[[#This Row],[Velocità]]</f>
        <v>#VALUE!</v>
      </c>
      <c r="K420" t="e">
        <f>RigheOfferte[[#This Row],[Superf.pz Mq]]</f>
        <v>#VALUE!</v>
      </c>
      <c r="L420" t="e">
        <f>RigheOfferte[[#This Row],[passo]]</f>
        <v>#VALUE!</v>
      </c>
      <c r="M420" t="e">
        <f>RigheOfferte[[#This Row],[nr.pezzi Telaio]]</f>
        <v>#VALUE!</v>
      </c>
      <c r="N420" t="e">
        <f>RigheOfferte[[#This Row],[nr.pezzi ora-unita]]</f>
        <v>#VALUE!</v>
      </c>
      <c r="O420" t="e">
        <f>Tabella1[[#This Row],[superificie]]*Resa</f>
        <v>#VALUE!</v>
      </c>
      <c r="P420" t="e">
        <f>Tabella1[[#This Row],[KgPezzo]]*Tabella1[[#This Row],[q.ta offerta]]</f>
        <v>#VALUE!</v>
      </c>
      <c r="Q420" t="e">
        <f>RigheOfferte[[#This Row],[QtaProtez]]</f>
        <v>#VALUE!</v>
      </c>
      <c r="R420" t="e">
        <f>RigheOfferte[[#This Row],[Tipo Protezione]]</f>
        <v>#VALUE!</v>
      </c>
    </row>
    <row r="421" spans="1:18">
      <c r="A421" t="e">
        <f>RigheOfferte[[#This Row],[Nprev]]</f>
        <v>#VALUE!</v>
      </c>
      <c r="B421" t="e">
        <f>RigheOfferte[[#This Row],[Nriga]]</f>
        <v>#VALUE!</v>
      </c>
      <c r="C421" t="e">
        <f>RigheOfferte[[#This Row],[Cliente]]</f>
        <v>#VALUE!</v>
      </c>
      <c r="D421" t="e">
        <f>RigheOfferte[[#This Row],[sub_cliente]]</f>
        <v>#VALUE!</v>
      </c>
      <c r="E421" t="e">
        <f>RigheOfferte[[#This Row],[cod.Art.]]</f>
        <v>#VALUE!</v>
      </c>
      <c r="F421" t="e">
        <f>RigheOfferte[[#This Row],[Descrizione]]</f>
        <v>#VALUE!</v>
      </c>
      <c r="G421" t="e">
        <f>RigheOfferte[[#This Row],[Q.ta'']]</f>
        <v>#VALUE!</v>
      </c>
      <c r="H421" t="e">
        <f>RigheOfferte[[#This Row],[Lavorazione]]</f>
        <v>#VALUE!</v>
      </c>
      <c r="I421" t="e">
        <f>RigheOfferte[[#This Row],[Colore]]</f>
        <v>#VALUE!</v>
      </c>
      <c r="J421" t="e">
        <f>RigheOfferte[[#This Row],[Velocità]]</f>
        <v>#VALUE!</v>
      </c>
      <c r="K421" t="e">
        <f>RigheOfferte[[#This Row],[Superf.pz Mq]]</f>
        <v>#VALUE!</v>
      </c>
      <c r="L421" t="e">
        <f>RigheOfferte[[#This Row],[passo]]</f>
        <v>#VALUE!</v>
      </c>
      <c r="M421" t="e">
        <f>RigheOfferte[[#This Row],[nr.pezzi Telaio]]</f>
        <v>#VALUE!</v>
      </c>
      <c r="N421" t="e">
        <f>RigheOfferte[[#This Row],[nr.pezzi ora-unita]]</f>
        <v>#VALUE!</v>
      </c>
      <c r="O421" t="e">
        <f>Tabella1[[#This Row],[superificie]]*Resa</f>
        <v>#VALUE!</v>
      </c>
      <c r="P421" t="e">
        <f>Tabella1[[#This Row],[KgPezzo]]*Tabella1[[#This Row],[q.ta offerta]]</f>
        <v>#VALUE!</v>
      </c>
      <c r="Q421" t="e">
        <f>RigheOfferte[[#This Row],[QtaProtez]]</f>
        <v>#VALUE!</v>
      </c>
      <c r="R421" t="e">
        <f>RigheOfferte[[#This Row],[Tipo Protezione]]</f>
        <v>#VALUE!</v>
      </c>
    </row>
    <row r="422" spans="1:18">
      <c r="A422" t="e">
        <f>RigheOfferte[[#This Row],[Nprev]]</f>
        <v>#VALUE!</v>
      </c>
      <c r="B422" t="e">
        <f>RigheOfferte[[#This Row],[Nriga]]</f>
        <v>#VALUE!</v>
      </c>
      <c r="C422" t="e">
        <f>RigheOfferte[[#This Row],[Cliente]]</f>
        <v>#VALUE!</v>
      </c>
      <c r="D422" t="e">
        <f>RigheOfferte[[#This Row],[sub_cliente]]</f>
        <v>#VALUE!</v>
      </c>
      <c r="E422" t="e">
        <f>RigheOfferte[[#This Row],[cod.Art.]]</f>
        <v>#VALUE!</v>
      </c>
      <c r="F422" t="e">
        <f>RigheOfferte[[#This Row],[Descrizione]]</f>
        <v>#VALUE!</v>
      </c>
      <c r="G422" t="e">
        <f>RigheOfferte[[#This Row],[Q.ta'']]</f>
        <v>#VALUE!</v>
      </c>
      <c r="H422" t="e">
        <f>RigheOfferte[[#This Row],[Lavorazione]]</f>
        <v>#VALUE!</v>
      </c>
      <c r="I422" t="e">
        <f>RigheOfferte[[#This Row],[Colore]]</f>
        <v>#VALUE!</v>
      </c>
      <c r="J422" t="e">
        <f>RigheOfferte[[#This Row],[Velocità]]</f>
        <v>#VALUE!</v>
      </c>
      <c r="K422" t="e">
        <f>RigheOfferte[[#This Row],[Superf.pz Mq]]</f>
        <v>#VALUE!</v>
      </c>
      <c r="L422" t="e">
        <f>RigheOfferte[[#This Row],[passo]]</f>
        <v>#VALUE!</v>
      </c>
      <c r="M422" t="e">
        <f>RigheOfferte[[#This Row],[nr.pezzi Telaio]]</f>
        <v>#VALUE!</v>
      </c>
      <c r="N422" t="e">
        <f>RigheOfferte[[#This Row],[nr.pezzi ora-unita]]</f>
        <v>#VALUE!</v>
      </c>
      <c r="O422" t="e">
        <f>Tabella1[[#This Row],[superificie]]*Resa</f>
        <v>#VALUE!</v>
      </c>
      <c r="P422" t="e">
        <f>Tabella1[[#This Row],[KgPezzo]]*Tabella1[[#This Row],[q.ta offerta]]</f>
        <v>#VALUE!</v>
      </c>
      <c r="Q422" t="e">
        <f>RigheOfferte[[#This Row],[QtaProtez]]</f>
        <v>#VALUE!</v>
      </c>
      <c r="R422" t="e">
        <f>RigheOfferte[[#This Row],[Tipo Protezione]]</f>
        <v>#VALUE!</v>
      </c>
    </row>
    <row r="423" spans="1:18">
      <c r="A423" t="e">
        <f>RigheOfferte[[#This Row],[Nprev]]</f>
        <v>#VALUE!</v>
      </c>
      <c r="B423" t="e">
        <f>RigheOfferte[[#This Row],[Nriga]]</f>
        <v>#VALUE!</v>
      </c>
      <c r="C423" t="e">
        <f>RigheOfferte[[#This Row],[Cliente]]</f>
        <v>#VALUE!</v>
      </c>
      <c r="D423" t="e">
        <f>RigheOfferte[[#This Row],[sub_cliente]]</f>
        <v>#VALUE!</v>
      </c>
      <c r="E423" t="e">
        <f>RigheOfferte[[#This Row],[cod.Art.]]</f>
        <v>#VALUE!</v>
      </c>
      <c r="F423" t="e">
        <f>RigheOfferte[[#This Row],[Descrizione]]</f>
        <v>#VALUE!</v>
      </c>
      <c r="G423" t="e">
        <f>RigheOfferte[[#This Row],[Q.ta'']]</f>
        <v>#VALUE!</v>
      </c>
      <c r="H423" t="e">
        <f>RigheOfferte[[#This Row],[Lavorazione]]</f>
        <v>#VALUE!</v>
      </c>
      <c r="I423" t="e">
        <f>RigheOfferte[[#This Row],[Colore]]</f>
        <v>#VALUE!</v>
      </c>
      <c r="J423" t="e">
        <f>RigheOfferte[[#This Row],[Velocità]]</f>
        <v>#VALUE!</v>
      </c>
      <c r="K423" t="e">
        <f>RigheOfferte[[#This Row],[Superf.pz Mq]]</f>
        <v>#VALUE!</v>
      </c>
      <c r="L423" t="e">
        <f>RigheOfferte[[#This Row],[passo]]</f>
        <v>#VALUE!</v>
      </c>
      <c r="M423" t="e">
        <f>RigheOfferte[[#This Row],[nr.pezzi Telaio]]</f>
        <v>#VALUE!</v>
      </c>
      <c r="N423" t="e">
        <f>RigheOfferte[[#This Row],[nr.pezzi ora-unita]]</f>
        <v>#VALUE!</v>
      </c>
      <c r="O423" t="e">
        <f>Tabella1[[#This Row],[superificie]]*Resa</f>
        <v>#VALUE!</v>
      </c>
      <c r="P423" t="e">
        <f>Tabella1[[#This Row],[KgPezzo]]*Tabella1[[#This Row],[q.ta offerta]]</f>
        <v>#VALUE!</v>
      </c>
      <c r="Q423" t="e">
        <f>RigheOfferte[[#This Row],[QtaProtez]]</f>
        <v>#VALUE!</v>
      </c>
      <c r="R423" t="e">
        <f>RigheOfferte[[#This Row],[Tipo Protezione]]</f>
        <v>#VALUE!</v>
      </c>
    </row>
    <row r="424" spans="1:18">
      <c r="A424" t="e">
        <f>RigheOfferte[[#This Row],[Nprev]]</f>
        <v>#VALUE!</v>
      </c>
      <c r="B424" t="e">
        <f>RigheOfferte[[#This Row],[Nriga]]</f>
        <v>#VALUE!</v>
      </c>
      <c r="C424" t="e">
        <f>RigheOfferte[[#This Row],[Cliente]]</f>
        <v>#VALUE!</v>
      </c>
      <c r="D424" t="e">
        <f>RigheOfferte[[#This Row],[sub_cliente]]</f>
        <v>#VALUE!</v>
      </c>
      <c r="E424" t="e">
        <f>RigheOfferte[[#This Row],[cod.Art.]]</f>
        <v>#VALUE!</v>
      </c>
      <c r="F424" t="e">
        <f>RigheOfferte[[#This Row],[Descrizione]]</f>
        <v>#VALUE!</v>
      </c>
      <c r="G424" t="e">
        <f>RigheOfferte[[#This Row],[Q.ta'']]</f>
        <v>#VALUE!</v>
      </c>
      <c r="H424" t="e">
        <f>RigheOfferte[[#This Row],[Lavorazione]]</f>
        <v>#VALUE!</v>
      </c>
      <c r="I424" t="e">
        <f>RigheOfferte[[#This Row],[Colore]]</f>
        <v>#VALUE!</v>
      </c>
      <c r="J424" t="e">
        <f>RigheOfferte[[#This Row],[Velocità]]</f>
        <v>#VALUE!</v>
      </c>
      <c r="K424" t="e">
        <f>RigheOfferte[[#This Row],[Superf.pz Mq]]</f>
        <v>#VALUE!</v>
      </c>
      <c r="L424" t="e">
        <f>RigheOfferte[[#This Row],[passo]]</f>
        <v>#VALUE!</v>
      </c>
      <c r="M424" t="e">
        <f>RigheOfferte[[#This Row],[nr.pezzi Telaio]]</f>
        <v>#VALUE!</v>
      </c>
      <c r="N424" t="e">
        <f>RigheOfferte[[#This Row],[nr.pezzi ora-unita]]</f>
        <v>#VALUE!</v>
      </c>
      <c r="O424" t="e">
        <f>Tabella1[[#This Row],[superificie]]*Resa</f>
        <v>#VALUE!</v>
      </c>
      <c r="P424" t="e">
        <f>Tabella1[[#This Row],[KgPezzo]]*Tabella1[[#This Row],[q.ta offerta]]</f>
        <v>#VALUE!</v>
      </c>
      <c r="Q424" t="e">
        <f>RigheOfferte[[#This Row],[QtaProtez]]</f>
        <v>#VALUE!</v>
      </c>
      <c r="R424" t="e">
        <f>RigheOfferte[[#This Row],[Tipo Protezione]]</f>
        <v>#VALUE!</v>
      </c>
    </row>
    <row r="425" spans="1:18">
      <c r="A425" t="e">
        <f>RigheOfferte[[#This Row],[Nprev]]</f>
        <v>#VALUE!</v>
      </c>
      <c r="B425" t="e">
        <f>RigheOfferte[[#This Row],[Nriga]]</f>
        <v>#VALUE!</v>
      </c>
      <c r="C425" t="e">
        <f>RigheOfferte[[#This Row],[Cliente]]</f>
        <v>#VALUE!</v>
      </c>
      <c r="D425" t="e">
        <f>RigheOfferte[[#This Row],[sub_cliente]]</f>
        <v>#VALUE!</v>
      </c>
      <c r="E425" t="e">
        <f>RigheOfferte[[#This Row],[cod.Art.]]</f>
        <v>#VALUE!</v>
      </c>
      <c r="F425" t="e">
        <f>RigheOfferte[[#This Row],[Descrizione]]</f>
        <v>#VALUE!</v>
      </c>
      <c r="G425" t="e">
        <f>RigheOfferte[[#This Row],[Q.ta'']]</f>
        <v>#VALUE!</v>
      </c>
      <c r="H425" t="e">
        <f>RigheOfferte[[#This Row],[Lavorazione]]</f>
        <v>#VALUE!</v>
      </c>
      <c r="I425" t="e">
        <f>RigheOfferte[[#This Row],[Colore]]</f>
        <v>#VALUE!</v>
      </c>
      <c r="J425" t="e">
        <f>RigheOfferte[[#This Row],[Velocità]]</f>
        <v>#VALUE!</v>
      </c>
      <c r="K425" t="e">
        <f>RigheOfferte[[#This Row],[Superf.pz Mq]]</f>
        <v>#VALUE!</v>
      </c>
      <c r="L425" t="e">
        <f>RigheOfferte[[#This Row],[passo]]</f>
        <v>#VALUE!</v>
      </c>
      <c r="M425" t="e">
        <f>RigheOfferte[[#This Row],[nr.pezzi Telaio]]</f>
        <v>#VALUE!</v>
      </c>
      <c r="N425" t="e">
        <f>RigheOfferte[[#This Row],[nr.pezzi ora-unita]]</f>
        <v>#VALUE!</v>
      </c>
      <c r="O425" t="e">
        <f>Tabella1[[#This Row],[superificie]]*Resa</f>
        <v>#VALUE!</v>
      </c>
      <c r="P425" t="e">
        <f>Tabella1[[#This Row],[KgPezzo]]*Tabella1[[#This Row],[q.ta offerta]]</f>
        <v>#VALUE!</v>
      </c>
      <c r="Q425" t="e">
        <f>RigheOfferte[[#This Row],[QtaProtez]]</f>
        <v>#VALUE!</v>
      </c>
      <c r="R425" t="e">
        <f>RigheOfferte[[#This Row],[Tipo Protezione]]</f>
        <v>#VALUE!</v>
      </c>
    </row>
    <row r="426" spans="1:18">
      <c r="A426" t="e">
        <f>RigheOfferte[[#This Row],[Nprev]]</f>
        <v>#VALUE!</v>
      </c>
      <c r="B426" t="e">
        <f>RigheOfferte[[#This Row],[Nriga]]</f>
        <v>#VALUE!</v>
      </c>
      <c r="C426" t="e">
        <f>RigheOfferte[[#This Row],[Cliente]]</f>
        <v>#VALUE!</v>
      </c>
      <c r="D426" t="e">
        <f>RigheOfferte[[#This Row],[sub_cliente]]</f>
        <v>#VALUE!</v>
      </c>
      <c r="E426" t="e">
        <f>RigheOfferte[[#This Row],[cod.Art.]]</f>
        <v>#VALUE!</v>
      </c>
      <c r="F426" t="e">
        <f>RigheOfferte[[#This Row],[Descrizione]]</f>
        <v>#VALUE!</v>
      </c>
      <c r="G426" t="e">
        <f>RigheOfferte[[#This Row],[Q.ta'']]</f>
        <v>#VALUE!</v>
      </c>
      <c r="H426" t="e">
        <f>RigheOfferte[[#This Row],[Lavorazione]]</f>
        <v>#VALUE!</v>
      </c>
      <c r="I426" t="e">
        <f>RigheOfferte[[#This Row],[Colore]]</f>
        <v>#VALUE!</v>
      </c>
      <c r="J426" t="e">
        <f>RigheOfferte[[#This Row],[Velocità]]</f>
        <v>#VALUE!</v>
      </c>
      <c r="K426" t="e">
        <f>RigheOfferte[[#This Row],[Superf.pz Mq]]</f>
        <v>#VALUE!</v>
      </c>
      <c r="L426" t="e">
        <f>RigheOfferte[[#This Row],[passo]]</f>
        <v>#VALUE!</v>
      </c>
      <c r="M426" t="e">
        <f>RigheOfferte[[#This Row],[nr.pezzi Telaio]]</f>
        <v>#VALUE!</v>
      </c>
      <c r="N426" t="e">
        <f>RigheOfferte[[#This Row],[nr.pezzi ora-unita]]</f>
        <v>#VALUE!</v>
      </c>
      <c r="O426" t="e">
        <f>Tabella1[[#This Row],[superificie]]*Resa</f>
        <v>#VALUE!</v>
      </c>
      <c r="P426" t="e">
        <f>Tabella1[[#This Row],[KgPezzo]]*Tabella1[[#This Row],[q.ta offerta]]</f>
        <v>#VALUE!</v>
      </c>
      <c r="Q426" t="e">
        <f>RigheOfferte[[#This Row],[QtaProtez]]</f>
        <v>#VALUE!</v>
      </c>
      <c r="R426" t="e">
        <f>RigheOfferte[[#This Row],[Tipo Protezione]]</f>
        <v>#VALUE!</v>
      </c>
    </row>
    <row r="427" spans="1:18">
      <c r="A427" t="e">
        <f>RigheOfferte[[#This Row],[Nprev]]</f>
        <v>#VALUE!</v>
      </c>
      <c r="B427" t="e">
        <f>RigheOfferte[[#This Row],[Nriga]]</f>
        <v>#VALUE!</v>
      </c>
      <c r="C427" t="e">
        <f>RigheOfferte[[#This Row],[Cliente]]</f>
        <v>#VALUE!</v>
      </c>
      <c r="D427" t="e">
        <f>RigheOfferte[[#This Row],[sub_cliente]]</f>
        <v>#VALUE!</v>
      </c>
      <c r="E427" t="e">
        <f>RigheOfferte[[#This Row],[cod.Art.]]</f>
        <v>#VALUE!</v>
      </c>
      <c r="F427" t="e">
        <f>RigheOfferte[[#This Row],[Descrizione]]</f>
        <v>#VALUE!</v>
      </c>
      <c r="G427" t="e">
        <f>RigheOfferte[[#This Row],[Q.ta'']]</f>
        <v>#VALUE!</v>
      </c>
      <c r="H427" t="e">
        <f>RigheOfferte[[#This Row],[Lavorazione]]</f>
        <v>#VALUE!</v>
      </c>
      <c r="I427" t="e">
        <f>RigheOfferte[[#This Row],[Colore]]</f>
        <v>#VALUE!</v>
      </c>
      <c r="J427" t="e">
        <f>RigheOfferte[[#This Row],[Velocità]]</f>
        <v>#VALUE!</v>
      </c>
      <c r="K427" t="e">
        <f>RigheOfferte[[#This Row],[Superf.pz Mq]]</f>
        <v>#VALUE!</v>
      </c>
      <c r="L427" t="e">
        <f>RigheOfferte[[#This Row],[passo]]</f>
        <v>#VALUE!</v>
      </c>
      <c r="M427" t="e">
        <f>RigheOfferte[[#This Row],[nr.pezzi Telaio]]</f>
        <v>#VALUE!</v>
      </c>
      <c r="N427" t="e">
        <f>RigheOfferte[[#This Row],[nr.pezzi ora-unita]]</f>
        <v>#VALUE!</v>
      </c>
      <c r="O427" t="e">
        <f>Tabella1[[#This Row],[superificie]]*Resa</f>
        <v>#VALUE!</v>
      </c>
      <c r="P427" t="e">
        <f>Tabella1[[#This Row],[KgPezzo]]*Tabella1[[#This Row],[q.ta offerta]]</f>
        <v>#VALUE!</v>
      </c>
      <c r="Q427" t="e">
        <f>RigheOfferte[[#This Row],[QtaProtez]]</f>
        <v>#VALUE!</v>
      </c>
      <c r="R427" t="e">
        <f>RigheOfferte[[#This Row],[Tipo Protezione]]</f>
        <v>#VALUE!</v>
      </c>
    </row>
    <row r="428" spans="1:18">
      <c r="A428" t="e">
        <f>RigheOfferte[[#This Row],[Nprev]]</f>
        <v>#VALUE!</v>
      </c>
      <c r="B428" t="e">
        <f>RigheOfferte[[#This Row],[Nriga]]</f>
        <v>#VALUE!</v>
      </c>
      <c r="C428" t="e">
        <f>RigheOfferte[[#This Row],[Cliente]]</f>
        <v>#VALUE!</v>
      </c>
      <c r="D428" t="e">
        <f>RigheOfferte[[#This Row],[sub_cliente]]</f>
        <v>#VALUE!</v>
      </c>
      <c r="E428" t="e">
        <f>RigheOfferte[[#This Row],[cod.Art.]]</f>
        <v>#VALUE!</v>
      </c>
      <c r="F428" t="e">
        <f>RigheOfferte[[#This Row],[Descrizione]]</f>
        <v>#VALUE!</v>
      </c>
      <c r="G428" t="e">
        <f>RigheOfferte[[#This Row],[Q.ta'']]</f>
        <v>#VALUE!</v>
      </c>
      <c r="H428" t="e">
        <f>RigheOfferte[[#This Row],[Lavorazione]]</f>
        <v>#VALUE!</v>
      </c>
      <c r="I428" t="e">
        <f>RigheOfferte[[#This Row],[Colore]]</f>
        <v>#VALUE!</v>
      </c>
      <c r="J428" t="e">
        <f>RigheOfferte[[#This Row],[Velocità]]</f>
        <v>#VALUE!</v>
      </c>
      <c r="K428" t="e">
        <f>RigheOfferte[[#This Row],[Superf.pz Mq]]</f>
        <v>#VALUE!</v>
      </c>
      <c r="L428" t="e">
        <f>RigheOfferte[[#This Row],[passo]]</f>
        <v>#VALUE!</v>
      </c>
      <c r="M428" t="e">
        <f>RigheOfferte[[#This Row],[nr.pezzi Telaio]]</f>
        <v>#VALUE!</v>
      </c>
      <c r="N428" t="e">
        <f>RigheOfferte[[#This Row],[nr.pezzi ora-unita]]</f>
        <v>#VALUE!</v>
      </c>
      <c r="O428" t="e">
        <f>Tabella1[[#This Row],[superificie]]*Resa</f>
        <v>#VALUE!</v>
      </c>
      <c r="P428" t="e">
        <f>Tabella1[[#This Row],[KgPezzo]]*Tabella1[[#This Row],[q.ta offerta]]</f>
        <v>#VALUE!</v>
      </c>
      <c r="Q428" t="e">
        <f>RigheOfferte[[#This Row],[QtaProtez]]</f>
        <v>#VALUE!</v>
      </c>
      <c r="R428" t="e">
        <f>RigheOfferte[[#This Row],[Tipo Protezione]]</f>
        <v>#VALUE!</v>
      </c>
    </row>
    <row r="429" spans="1:18">
      <c r="A429" t="e">
        <f>RigheOfferte[[#This Row],[Nprev]]</f>
        <v>#VALUE!</v>
      </c>
      <c r="B429" t="e">
        <f>RigheOfferte[[#This Row],[Nriga]]</f>
        <v>#VALUE!</v>
      </c>
      <c r="C429" t="e">
        <f>RigheOfferte[[#This Row],[Cliente]]</f>
        <v>#VALUE!</v>
      </c>
      <c r="D429" t="e">
        <f>RigheOfferte[[#This Row],[sub_cliente]]</f>
        <v>#VALUE!</v>
      </c>
      <c r="E429" t="e">
        <f>RigheOfferte[[#This Row],[cod.Art.]]</f>
        <v>#VALUE!</v>
      </c>
      <c r="F429" t="e">
        <f>RigheOfferte[[#This Row],[Descrizione]]</f>
        <v>#VALUE!</v>
      </c>
      <c r="G429" t="e">
        <f>RigheOfferte[[#This Row],[Q.ta'']]</f>
        <v>#VALUE!</v>
      </c>
      <c r="H429" t="e">
        <f>RigheOfferte[[#This Row],[Lavorazione]]</f>
        <v>#VALUE!</v>
      </c>
      <c r="I429" t="e">
        <f>RigheOfferte[[#This Row],[Colore]]</f>
        <v>#VALUE!</v>
      </c>
      <c r="J429" t="e">
        <f>RigheOfferte[[#This Row],[Velocità]]</f>
        <v>#VALUE!</v>
      </c>
      <c r="K429" t="e">
        <f>RigheOfferte[[#This Row],[Superf.pz Mq]]</f>
        <v>#VALUE!</v>
      </c>
      <c r="L429" t="e">
        <f>RigheOfferte[[#This Row],[passo]]</f>
        <v>#VALUE!</v>
      </c>
      <c r="M429" t="e">
        <f>RigheOfferte[[#This Row],[nr.pezzi Telaio]]</f>
        <v>#VALUE!</v>
      </c>
      <c r="N429" t="e">
        <f>RigheOfferte[[#This Row],[nr.pezzi ora-unita]]</f>
        <v>#VALUE!</v>
      </c>
      <c r="O429" t="e">
        <f>Tabella1[[#This Row],[superificie]]*Resa</f>
        <v>#VALUE!</v>
      </c>
      <c r="P429" t="e">
        <f>Tabella1[[#This Row],[KgPezzo]]*Tabella1[[#This Row],[q.ta offerta]]</f>
        <v>#VALUE!</v>
      </c>
      <c r="Q429" t="e">
        <f>RigheOfferte[[#This Row],[QtaProtez]]</f>
        <v>#VALUE!</v>
      </c>
      <c r="R429" t="e">
        <f>RigheOfferte[[#This Row],[Tipo Protezione]]</f>
        <v>#VALUE!</v>
      </c>
    </row>
    <row r="430" spans="1:18">
      <c r="A430" t="e">
        <f>RigheOfferte[[#This Row],[Nprev]]</f>
        <v>#VALUE!</v>
      </c>
      <c r="B430" t="e">
        <f>RigheOfferte[[#This Row],[Nriga]]</f>
        <v>#VALUE!</v>
      </c>
      <c r="C430" t="e">
        <f>RigheOfferte[[#This Row],[Cliente]]</f>
        <v>#VALUE!</v>
      </c>
      <c r="D430" t="e">
        <f>RigheOfferte[[#This Row],[sub_cliente]]</f>
        <v>#VALUE!</v>
      </c>
      <c r="E430" t="e">
        <f>RigheOfferte[[#This Row],[cod.Art.]]</f>
        <v>#VALUE!</v>
      </c>
      <c r="F430" t="e">
        <f>RigheOfferte[[#This Row],[Descrizione]]</f>
        <v>#VALUE!</v>
      </c>
      <c r="G430" t="e">
        <f>RigheOfferte[[#This Row],[Q.ta'']]</f>
        <v>#VALUE!</v>
      </c>
      <c r="H430" t="e">
        <f>RigheOfferte[[#This Row],[Lavorazione]]</f>
        <v>#VALUE!</v>
      </c>
      <c r="I430" t="e">
        <f>RigheOfferte[[#This Row],[Colore]]</f>
        <v>#VALUE!</v>
      </c>
      <c r="J430" t="e">
        <f>RigheOfferte[[#This Row],[Velocità]]</f>
        <v>#VALUE!</v>
      </c>
      <c r="K430" t="e">
        <f>RigheOfferte[[#This Row],[Superf.pz Mq]]</f>
        <v>#VALUE!</v>
      </c>
      <c r="L430" t="e">
        <f>RigheOfferte[[#This Row],[passo]]</f>
        <v>#VALUE!</v>
      </c>
      <c r="M430" t="e">
        <f>RigheOfferte[[#This Row],[nr.pezzi Telaio]]</f>
        <v>#VALUE!</v>
      </c>
      <c r="N430" t="e">
        <f>RigheOfferte[[#This Row],[nr.pezzi ora-unita]]</f>
        <v>#VALUE!</v>
      </c>
      <c r="O430" t="e">
        <f>Tabella1[[#This Row],[superificie]]*Resa</f>
        <v>#VALUE!</v>
      </c>
      <c r="P430" t="e">
        <f>Tabella1[[#This Row],[KgPezzo]]*Tabella1[[#This Row],[q.ta offerta]]</f>
        <v>#VALUE!</v>
      </c>
      <c r="Q430" t="e">
        <f>RigheOfferte[[#This Row],[QtaProtez]]</f>
        <v>#VALUE!</v>
      </c>
      <c r="R430" t="e">
        <f>RigheOfferte[[#This Row],[Tipo Protezione]]</f>
        <v>#VALUE!</v>
      </c>
    </row>
    <row r="431" spans="1:18">
      <c r="A431" t="e">
        <f>RigheOfferte[[#This Row],[Nprev]]</f>
        <v>#VALUE!</v>
      </c>
      <c r="B431" t="e">
        <f>RigheOfferte[[#This Row],[Nriga]]</f>
        <v>#VALUE!</v>
      </c>
      <c r="C431" t="e">
        <f>RigheOfferte[[#This Row],[Cliente]]</f>
        <v>#VALUE!</v>
      </c>
      <c r="D431" t="e">
        <f>RigheOfferte[[#This Row],[sub_cliente]]</f>
        <v>#VALUE!</v>
      </c>
      <c r="E431" t="e">
        <f>RigheOfferte[[#This Row],[cod.Art.]]</f>
        <v>#VALUE!</v>
      </c>
      <c r="F431" t="e">
        <f>RigheOfferte[[#This Row],[Descrizione]]</f>
        <v>#VALUE!</v>
      </c>
      <c r="G431" t="e">
        <f>RigheOfferte[[#This Row],[Q.ta'']]</f>
        <v>#VALUE!</v>
      </c>
      <c r="H431" t="e">
        <f>RigheOfferte[[#This Row],[Lavorazione]]</f>
        <v>#VALUE!</v>
      </c>
      <c r="I431" t="e">
        <f>RigheOfferte[[#This Row],[Colore]]</f>
        <v>#VALUE!</v>
      </c>
      <c r="J431" t="e">
        <f>RigheOfferte[[#This Row],[Velocità]]</f>
        <v>#VALUE!</v>
      </c>
      <c r="K431" t="e">
        <f>RigheOfferte[[#This Row],[Superf.pz Mq]]</f>
        <v>#VALUE!</v>
      </c>
      <c r="L431" t="e">
        <f>RigheOfferte[[#This Row],[passo]]</f>
        <v>#VALUE!</v>
      </c>
      <c r="M431" t="e">
        <f>RigheOfferte[[#This Row],[nr.pezzi Telaio]]</f>
        <v>#VALUE!</v>
      </c>
      <c r="N431" t="e">
        <f>RigheOfferte[[#This Row],[nr.pezzi ora-unita]]</f>
        <v>#VALUE!</v>
      </c>
      <c r="O431" t="e">
        <f>Tabella1[[#This Row],[superificie]]*Resa</f>
        <v>#VALUE!</v>
      </c>
      <c r="P431" t="e">
        <f>Tabella1[[#This Row],[KgPezzo]]*Tabella1[[#This Row],[q.ta offerta]]</f>
        <v>#VALUE!</v>
      </c>
      <c r="Q431" t="e">
        <f>RigheOfferte[[#This Row],[QtaProtez]]</f>
        <v>#VALUE!</v>
      </c>
      <c r="R431" t="e">
        <f>RigheOfferte[[#This Row],[Tipo Protezione]]</f>
        <v>#VALUE!</v>
      </c>
    </row>
    <row r="432" spans="1:18">
      <c r="A432" t="e">
        <f>RigheOfferte[[#This Row],[Nprev]]</f>
        <v>#VALUE!</v>
      </c>
      <c r="B432" t="e">
        <f>RigheOfferte[[#This Row],[Nriga]]</f>
        <v>#VALUE!</v>
      </c>
      <c r="C432" t="e">
        <f>RigheOfferte[[#This Row],[Cliente]]</f>
        <v>#VALUE!</v>
      </c>
      <c r="D432" t="e">
        <f>RigheOfferte[[#This Row],[sub_cliente]]</f>
        <v>#VALUE!</v>
      </c>
      <c r="E432" t="e">
        <f>RigheOfferte[[#This Row],[cod.Art.]]</f>
        <v>#VALUE!</v>
      </c>
      <c r="F432" t="e">
        <f>RigheOfferte[[#This Row],[Descrizione]]</f>
        <v>#VALUE!</v>
      </c>
      <c r="G432" t="e">
        <f>RigheOfferte[[#This Row],[Q.ta'']]</f>
        <v>#VALUE!</v>
      </c>
      <c r="H432" t="e">
        <f>RigheOfferte[[#This Row],[Lavorazione]]</f>
        <v>#VALUE!</v>
      </c>
      <c r="I432" t="e">
        <f>RigheOfferte[[#This Row],[Colore]]</f>
        <v>#VALUE!</v>
      </c>
      <c r="J432" t="e">
        <f>RigheOfferte[[#This Row],[Velocità]]</f>
        <v>#VALUE!</v>
      </c>
      <c r="K432" t="e">
        <f>RigheOfferte[[#This Row],[Superf.pz Mq]]</f>
        <v>#VALUE!</v>
      </c>
      <c r="L432" t="e">
        <f>RigheOfferte[[#This Row],[passo]]</f>
        <v>#VALUE!</v>
      </c>
      <c r="M432" t="e">
        <f>RigheOfferte[[#This Row],[nr.pezzi Telaio]]</f>
        <v>#VALUE!</v>
      </c>
      <c r="N432" t="e">
        <f>RigheOfferte[[#This Row],[nr.pezzi ora-unita]]</f>
        <v>#VALUE!</v>
      </c>
      <c r="O432" t="e">
        <f>Tabella1[[#This Row],[superificie]]*Resa</f>
        <v>#VALUE!</v>
      </c>
      <c r="P432" t="e">
        <f>Tabella1[[#This Row],[KgPezzo]]*Tabella1[[#This Row],[q.ta offerta]]</f>
        <v>#VALUE!</v>
      </c>
      <c r="Q432" t="e">
        <f>RigheOfferte[[#This Row],[QtaProtez]]</f>
        <v>#VALUE!</v>
      </c>
      <c r="R432" t="e">
        <f>RigheOfferte[[#This Row],[Tipo Protezione]]</f>
        <v>#VALUE!</v>
      </c>
    </row>
    <row r="433" spans="1:18">
      <c r="A433" t="e">
        <f>RigheOfferte[[#This Row],[Nprev]]</f>
        <v>#VALUE!</v>
      </c>
      <c r="B433" t="e">
        <f>RigheOfferte[[#This Row],[Nriga]]</f>
        <v>#VALUE!</v>
      </c>
      <c r="C433" t="e">
        <f>RigheOfferte[[#This Row],[Cliente]]</f>
        <v>#VALUE!</v>
      </c>
      <c r="D433" t="e">
        <f>RigheOfferte[[#This Row],[sub_cliente]]</f>
        <v>#VALUE!</v>
      </c>
      <c r="E433" t="e">
        <f>RigheOfferte[[#This Row],[cod.Art.]]</f>
        <v>#VALUE!</v>
      </c>
      <c r="F433" t="e">
        <f>RigheOfferte[[#This Row],[Descrizione]]</f>
        <v>#VALUE!</v>
      </c>
      <c r="G433" t="e">
        <f>RigheOfferte[[#This Row],[Q.ta'']]</f>
        <v>#VALUE!</v>
      </c>
      <c r="H433" t="e">
        <f>RigheOfferte[[#This Row],[Lavorazione]]</f>
        <v>#VALUE!</v>
      </c>
      <c r="I433" t="e">
        <f>RigheOfferte[[#This Row],[Colore]]</f>
        <v>#VALUE!</v>
      </c>
      <c r="J433" t="e">
        <f>RigheOfferte[[#This Row],[Velocità]]</f>
        <v>#VALUE!</v>
      </c>
      <c r="K433" t="e">
        <f>RigheOfferte[[#This Row],[Superf.pz Mq]]</f>
        <v>#VALUE!</v>
      </c>
      <c r="L433" t="e">
        <f>RigheOfferte[[#This Row],[passo]]</f>
        <v>#VALUE!</v>
      </c>
      <c r="M433" t="e">
        <f>RigheOfferte[[#This Row],[nr.pezzi Telaio]]</f>
        <v>#VALUE!</v>
      </c>
      <c r="N433" t="e">
        <f>RigheOfferte[[#This Row],[nr.pezzi ora-unita]]</f>
        <v>#VALUE!</v>
      </c>
      <c r="O433" t="e">
        <f>Tabella1[[#This Row],[superificie]]*Resa</f>
        <v>#VALUE!</v>
      </c>
      <c r="P433" t="e">
        <f>Tabella1[[#This Row],[KgPezzo]]*Tabella1[[#This Row],[q.ta offerta]]</f>
        <v>#VALUE!</v>
      </c>
      <c r="Q433" t="e">
        <f>RigheOfferte[[#This Row],[QtaProtez]]</f>
        <v>#VALUE!</v>
      </c>
      <c r="R433" t="e">
        <f>RigheOfferte[[#This Row],[Tipo Protezione]]</f>
        <v>#VALUE!</v>
      </c>
    </row>
    <row r="434" spans="1:18">
      <c r="A434" t="e">
        <f>RigheOfferte[[#This Row],[Nprev]]</f>
        <v>#VALUE!</v>
      </c>
      <c r="B434" t="e">
        <f>RigheOfferte[[#This Row],[Nriga]]</f>
        <v>#VALUE!</v>
      </c>
      <c r="C434" t="e">
        <f>RigheOfferte[[#This Row],[Cliente]]</f>
        <v>#VALUE!</v>
      </c>
      <c r="D434" t="e">
        <f>RigheOfferte[[#This Row],[sub_cliente]]</f>
        <v>#VALUE!</v>
      </c>
      <c r="E434" t="e">
        <f>RigheOfferte[[#This Row],[cod.Art.]]</f>
        <v>#VALUE!</v>
      </c>
      <c r="F434" t="e">
        <f>RigheOfferte[[#This Row],[Descrizione]]</f>
        <v>#VALUE!</v>
      </c>
      <c r="G434" t="e">
        <f>RigheOfferte[[#This Row],[Q.ta'']]</f>
        <v>#VALUE!</v>
      </c>
      <c r="H434" t="e">
        <f>RigheOfferte[[#This Row],[Lavorazione]]</f>
        <v>#VALUE!</v>
      </c>
      <c r="I434" t="e">
        <f>RigheOfferte[[#This Row],[Colore]]</f>
        <v>#VALUE!</v>
      </c>
      <c r="J434" t="e">
        <f>RigheOfferte[[#This Row],[Velocità]]</f>
        <v>#VALUE!</v>
      </c>
      <c r="K434" t="e">
        <f>RigheOfferte[[#This Row],[Superf.pz Mq]]</f>
        <v>#VALUE!</v>
      </c>
      <c r="L434" t="e">
        <f>RigheOfferte[[#This Row],[passo]]</f>
        <v>#VALUE!</v>
      </c>
      <c r="M434" t="e">
        <f>RigheOfferte[[#This Row],[nr.pezzi Telaio]]</f>
        <v>#VALUE!</v>
      </c>
      <c r="N434" t="e">
        <f>RigheOfferte[[#This Row],[nr.pezzi ora-unita]]</f>
        <v>#VALUE!</v>
      </c>
      <c r="O434" t="e">
        <f>Tabella1[[#This Row],[superificie]]*Resa</f>
        <v>#VALUE!</v>
      </c>
      <c r="P434" t="e">
        <f>Tabella1[[#This Row],[KgPezzo]]*Tabella1[[#This Row],[q.ta offerta]]</f>
        <v>#VALUE!</v>
      </c>
      <c r="Q434" t="e">
        <f>RigheOfferte[[#This Row],[QtaProtez]]</f>
        <v>#VALUE!</v>
      </c>
      <c r="R434" t="e">
        <f>RigheOfferte[[#This Row],[Tipo Protezione]]</f>
        <v>#VALUE!</v>
      </c>
    </row>
    <row r="435" spans="1:18">
      <c r="A435" t="e">
        <f>RigheOfferte[[#This Row],[Nprev]]</f>
        <v>#VALUE!</v>
      </c>
      <c r="B435" t="e">
        <f>RigheOfferte[[#This Row],[Nriga]]</f>
        <v>#VALUE!</v>
      </c>
      <c r="C435" t="e">
        <f>RigheOfferte[[#This Row],[Cliente]]</f>
        <v>#VALUE!</v>
      </c>
      <c r="D435" t="e">
        <f>RigheOfferte[[#This Row],[sub_cliente]]</f>
        <v>#VALUE!</v>
      </c>
      <c r="E435" t="e">
        <f>RigheOfferte[[#This Row],[cod.Art.]]</f>
        <v>#VALUE!</v>
      </c>
      <c r="F435" t="e">
        <f>RigheOfferte[[#This Row],[Descrizione]]</f>
        <v>#VALUE!</v>
      </c>
      <c r="G435" t="e">
        <f>RigheOfferte[[#This Row],[Q.ta'']]</f>
        <v>#VALUE!</v>
      </c>
      <c r="H435" t="e">
        <f>RigheOfferte[[#This Row],[Lavorazione]]</f>
        <v>#VALUE!</v>
      </c>
      <c r="I435" t="e">
        <f>RigheOfferte[[#This Row],[Colore]]</f>
        <v>#VALUE!</v>
      </c>
      <c r="J435" t="e">
        <f>RigheOfferte[[#This Row],[Velocità]]</f>
        <v>#VALUE!</v>
      </c>
      <c r="K435" t="e">
        <f>RigheOfferte[[#This Row],[Superf.pz Mq]]</f>
        <v>#VALUE!</v>
      </c>
      <c r="L435" t="e">
        <f>RigheOfferte[[#This Row],[passo]]</f>
        <v>#VALUE!</v>
      </c>
      <c r="M435" t="e">
        <f>RigheOfferte[[#This Row],[nr.pezzi Telaio]]</f>
        <v>#VALUE!</v>
      </c>
      <c r="N435" t="e">
        <f>RigheOfferte[[#This Row],[nr.pezzi ora-unita]]</f>
        <v>#VALUE!</v>
      </c>
      <c r="O435" t="e">
        <f>Tabella1[[#This Row],[superificie]]*Resa</f>
        <v>#VALUE!</v>
      </c>
      <c r="P435" t="e">
        <f>Tabella1[[#This Row],[KgPezzo]]*Tabella1[[#This Row],[q.ta offerta]]</f>
        <v>#VALUE!</v>
      </c>
      <c r="Q435" t="e">
        <f>RigheOfferte[[#This Row],[QtaProtez]]</f>
        <v>#VALUE!</v>
      </c>
      <c r="R435" t="e">
        <f>RigheOfferte[[#This Row],[Tipo Protezione]]</f>
        <v>#VALUE!</v>
      </c>
    </row>
    <row r="436" spans="1:18">
      <c r="A436" t="e">
        <f>RigheOfferte[[#This Row],[Nprev]]</f>
        <v>#VALUE!</v>
      </c>
      <c r="B436" t="e">
        <f>RigheOfferte[[#This Row],[Nriga]]</f>
        <v>#VALUE!</v>
      </c>
      <c r="C436" t="e">
        <f>RigheOfferte[[#This Row],[Cliente]]</f>
        <v>#VALUE!</v>
      </c>
      <c r="D436" t="e">
        <f>RigheOfferte[[#This Row],[sub_cliente]]</f>
        <v>#VALUE!</v>
      </c>
      <c r="E436" t="e">
        <f>RigheOfferte[[#This Row],[cod.Art.]]</f>
        <v>#VALUE!</v>
      </c>
      <c r="F436" t="e">
        <f>RigheOfferte[[#This Row],[Descrizione]]</f>
        <v>#VALUE!</v>
      </c>
      <c r="G436" t="e">
        <f>RigheOfferte[[#This Row],[Q.ta'']]</f>
        <v>#VALUE!</v>
      </c>
      <c r="H436" t="e">
        <f>RigheOfferte[[#This Row],[Lavorazione]]</f>
        <v>#VALUE!</v>
      </c>
      <c r="I436" t="e">
        <f>RigheOfferte[[#This Row],[Colore]]</f>
        <v>#VALUE!</v>
      </c>
      <c r="J436" t="e">
        <f>RigheOfferte[[#This Row],[Velocità]]</f>
        <v>#VALUE!</v>
      </c>
      <c r="K436" t="e">
        <f>RigheOfferte[[#This Row],[Superf.pz Mq]]</f>
        <v>#VALUE!</v>
      </c>
      <c r="L436" t="e">
        <f>RigheOfferte[[#This Row],[passo]]</f>
        <v>#VALUE!</v>
      </c>
      <c r="M436" t="e">
        <f>RigheOfferte[[#This Row],[nr.pezzi Telaio]]</f>
        <v>#VALUE!</v>
      </c>
      <c r="N436" t="e">
        <f>RigheOfferte[[#This Row],[nr.pezzi ora-unita]]</f>
        <v>#VALUE!</v>
      </c>
      <c r="O436" t="e">
        <f>Tabella1[[#This Row],[superificie]]*Resa</f>
        <v>#VALUE!</v>
      </c>
      <c r="P436" t="e">
        <f>Tabella1[[#This Row],[KgPezzo]]*Tabella1[[#This Row],[q.ta offerta]]</f>
        <v>#VALUE!</v>
      </c>
      <c r="Q436" t="e">
        <f>RigheOfferte[[#This Row],[QtaProtez]]</f>
        <v>#VALUE!</v>
      </c>
      <c r="R436" t="e">
        <f>RigheOfferte[[#This Row],[Tipo Protezione]]</f>
        <v>#VALUE!</v>
      </c>
    </row>
    <row r="437" spans="1:18">
      <c r="A437" t="e">
        <f>RigheOfferte[[#This Row],[Nprev]]</f>
        <v>#VALUE!</v>
      </c>
      <c r="B437" t="e">
        <f>RigheOfferte[[#This Row],[Nriga]]</f>
        <v>#VALUE!</v>
      </c>
      <c r="C437" t="e">
        <f>RigheOfferte[[#This Row],[Cliente]]</f>
        <v>#VALUE!</v>
      </c>
      <c r="D437" t="e">
        <f>RigheOfferte[[#This Row],[sub_cliente]]</f>
        <v>#VALUE!</v>
      </c>
      <c r="E437" t="e">
        <f>RigheOfferte[[#This Row],[cod.Art.]]</f>
        <v>#VALUE!</v>
      </c>
      <c r="F437" t="e">
        <f>RigheOfferte[[#This Row],[Descrizione]]</f>
        <v>#VALUE!</v>
      </c>
      <c r="G437" t="e">
        <f>RigheOfferte[[#This Row],[Q.ta'']]</f>
        <v>#VALUE!</v>
      </c>
      <c r="H437" t="e">
        <f>RigheOfferte[[#This Row],[Lavorazione]]</f>
        <v>#VALUE!</v>
      </c>
      <c r="I437" t="e">
        <f>RigheOfferte[[#This Row],[Colore]]</f>
        <v>#VALUE!</v>
      </c>
      <c r="J437" t="e">
        <f>RigheOfferte[[#This Row],[Velocità]]</f>
        <v>#VALUE!</v>
      </c>
      <c r="K437" t="e">
        <f>RigheOfferte[[#This Row],[Superf.pz Mq]]</f>
        <v>#VALUE!</v>
      </c>
      <c r="L437" t="e">
        <f>RigheOfferte[[#This Row],[passo]]</f>
        <v>#VALUE!</v>
      </c>
      <c r="M437" t="e">
        <f>RigheOfferte[[#This Row],[nr.pezzi Telaio]]</f>
        <v>#VALUE!</v>
      </c>
      <c r="N437" t="e">
        <f>RigheOfferte[[#This Row],[nr.pezzi ora-unita]]</f>
        <v>#VALUE!</v>
      </c>
      <c r="O437" t="e">
        <f>Tabella1[[#This Row],[superificie]]*Resa</f>
        <v>#VALUE!</v>
      </c>
      <c r="P437" t="e">
        <f>Tabella1[[#This Row],[KgPezzo]]*Tabella1[[#This Row],[q.ta offerta]]</f>
        <v>#VALUE!</v>
      </c>
      <c r="Q437" t="e">
        <f>RigheOfferte[[#This Row],[QtaProtez]]</f>
        <v>#VALUE!</v>
      </c>
      <c r="R437" t="e">
        <f>RigheOfferte[[#This Row],[Tipo Protezione]]</f>
        <v>#VALUE!</v>
      </c>
    </row>
    <row r="438" spans="1:18">
      <c r="A438" t="e">
        <f>RigheOfferte[[#This Row],[Nprev]]</f>
        <v>#VALUE!</v>
      </c>
      <c r="B438" t="e">
        <f>RigheOfferte[[#This Row],[Nriga]]</f>
        <v>#VALUE!</v>
      </c>
      <c r="C438" t="e">
        <f>RigheOfferte[[#This Row],[Cliente]]</f>
        <v>#VALUE!</v>
      </c>
      <c r="D438" t="e">
        <f>RigheOfferte[[#This Row],[sub_cliente]]</f>
        <v>#VALUE!</v>
      </c>
      <c r="E438" t="e">
        <f>RigheOfferte[[#This Row],[cod.Art.]]</f>
        <v>#VALUE!</v>
      </c>
      <c r="F438" t="e">
        <f>RigheOfferte[[#This Row],[Descrizione]]</f>
        <v>#VALUE!</v>
      </c>
      <c r="G438" t="e">
        <f>RigheOfferte[[#This Row],[Q.ta'']]</f>
        <v>#VALUE!</v>
      </c>
      <c r="H438" t="e">
        <f>RigheOfferte[[#This Row],[Lavorazione]]</f>
        <v>#VALUE!</v>
      </c>
      <c r="I438" t="e">
        <f>RigheOfferte[[#This Row],[Colore]]</f>
        <v>#VALUE!</v>
      </c>
      <c r="J438" t="e">
        <f>RigheOfferte[[#This Row],[Velocità]]</f>
        <v>#VALUE!</v>
      </c>
      <c r="K438" t="e">
        <f>RigheOfferte[[#This Row],[Superf.pz Mq]]</f>
        <v>#VALUE!</v>
      </c>
      <c r="L438" t="e">
        <f>RigheOfferte[[#This Row],[passo]]</f>
        <v>#VALUE!</v>
      </c>
      <c r="M438" t="e">
        <f>RigheOfferte[[#This Row],[nr.pezzi Telaio]]</f>
        <v>#VALUE!</v>
      </c>
      <c r="N438" t="e">
        <f>RigheOfferte[[#This Row],[nr.pezzi ora-unita]]</f>
        <v>#VALUE!</v>
      </c>
      <c r="O438" t="e">
        <f>Tabella1[[#This Row],[superificie]]*Resa</f>
        <v>#VALUE!</v>
      </c>
      <c r="P438" t="e">
        <f>Tabella1[[#This Row],[KgPezzo]]*Tabella1[[#This Row],[q.ta offerta]]</f>
        <v>#VALUE!</v>
      </c>
      <c r="Q438" t="e">
        <f>RigheOfferte[[#This Row],[QtaProtez]]</f>
        <v>#VALUE!</v>
      </c>
      <c r="R438" t="e">
        <f>RigheOfferte[[#This Row],[Tipo Protezione]]</f>
        <v>#VALUE!</v>
      </c>
    </row>
    <row r="439" spans="1:18">
      <c r="A439" t="e">
        <f>RigheOfferte[[#This Row],[Nprev]]</f>
        <v>#VALUE!</v>
      </c>
      <c r="B439" t="e">
        <f>RigheOfferte[[#This Row],[Nriga]]</f>
        <v>#VALUE!</v>
      </c>
      <c r="C439" t="e">
        <f>RigheOfferte[[#This Row],[Cliente]]</f>
        <v>#VALUE!</v>
      </c>
      <c r="D439" t="e">
        <f>RigheOfferte[[#This Row],[sub_cliente]]</f>
        <v>#VALUE!</v>
      </c>
      <c r="E439" t="e">
        <f>RigheOfferte[[#This Row],[cod.Art.]]</f>
        <v>#VALUE!</v>
      </c>
      <c r="F439" t="e">
        <f>RigheOfferte[[#This Row],[Descrizione]]</f>
        <v>#VALUE!</v>
      </c>
      <c r="G439" t="e">
        <f>RigheOfferte[[#This Row],[Q.ta'']]</f>
        <v>#VALUE!</v>
      </c>
      <c r="H439" t="e">
        <f>RigheOfferte[[#This Row],[Lavorazione]]</f>
        <v>#VALUE!</v>
      </c>
      <c r="I439" t="e">
        <f>RigheOfferte[[#This Row],[Colore]]</f>
        <v>#VALUE!</v>
      </c>
      <c r="J439" t="e">
        <f>RigheOfferte[[#This Row],[Velocità]]</f>
        <v>#VALUE!</v>
      </c>
      <c r="K439" t="e">
        <f>RigheOfferte[[#This Row],[Superf.pz Mq]]</f>
        <v>#VALUE!</v>
      </c>
      <c r="L439" t="e">
        <f>RigheOfferte[[#This Row],[passo]]</f>
        <v>#VALUE!</v>
      </c>
      <c r="M439" t="e">
        <f>RigheOfferte[[#This Row],[nr.pezzi Telaio]]</f>
        <v>#VALUE!</v>
      </c>
      <c r="N439" t="e">
        <f>RigheOfferte[[#This Row],[nr.pezzi ora-unita]]</f>
        <v>#VALUE!</v>
      </c>
      <c r="O439" t="e">
        <f>Tabella1[[#This Row],[superificie]]*Resa</f>
        <v>#VALUE!</v>
      </c>
      <c r="P439" t="e">
        <f>Tabella1[[#This Row],[KgPezzo]]*Tabella1[[#This Row],[q.ta offerta]]</f>
        <v>#VALUE!</v>
      </c>
      <c r="Q439" t="e">
        <f>RigheOfferte[[#This Row],[QtaProtez]]</f>
        <v>#VALUE!</v>
      </c>
      <c r="R439" t="e">
        <f>RigheOfferte[[#This Row],[Tipo Protezione]]</f>
        <v>#VALUE!</v>
      </c>
    </row>
    <row r="440" spans="1:18">
      <c r="A440" t="e">
        <f>RigheOfferte[[#This Row],[Nprev]]</f>
        <v>#VALUE!</v>
      </c>
      <c r="B440" t="e">
        <f>RigheOfferte[[#This Row],[Nriga]]</f>
        <v>#VALUE!</v>
      </c>
      <c r="C440" t="e">
        <f>RigheOfferte[[#This Row],[Cliente]]</f>
        <v>#VALUE!</v>
      </c>
      <c r="D440" t="e">
        <f>RigheOfferte[[#This Row],[sub_cliente]]</f>
        <v>#VALUE!</v>
      </c>
      <c r="E440" t="e">
        <f>RigheOfferte[[#This Row],[cod.Art.]]</f>
        <v>#VALUE!</v>
      </c>
      <c r="F440" t="e">
        <f>RigheOfferte[[#This Row],[Descrizione]]</f>
        <v>#VALUE!</v>
      </c>
      <c r="G440" t="e">
        <f>RigheOfferte[[#This Row],[Q.ta'']]</f>
        <v>#VALUE!</v>
      </c>
      <c r="H440" t="e">
        <f>RigheOfferte[[#This Row],[Lavorazione]]</f>
        <v>#VALUE!</v>
      </c>
      <c r="I440" t="e">
        <f>RigheOfferte[[#This Row],[Colore]]</f>
        <v>#VALUE!</v>
      </c>
      <c r="J440" t="e">
        <f>RigheOfferte[[#This Row],[Velocità]]</f>
        <v>#VALUE!</v>
      </c>
      <c r="K440" t="e">
        <f>RigheOfferte[[#This Row],[Superf.pz Mq]]</f>
        <v>#VALUE!</v>
      </c>
      <c r="L440" t="e">
        <f>RigheOfferte[[#This Row],[passo]]</f>
        <v>#VALUE!</v>
      </c>
      <c r="M440" t="e">
        <f>RigheOfferte[[#This Row],[nr.pezzi Telaio]]</f>
        <v>#VALUE!</v>
      </c>
      <c r="N440" t="e">
        <f>RigheOfferte[[#This Row],[nr.pezzi ora-unita]]</f>
        <v>#VALUE!</v>
      </c>
      <c r="O440" t="e">
        <f>Tabella1[[#This Row],[superificie]]*Resa</f>
        <v>#VALUE!</v>
      </c>
      <c r="P440" t="e">
        <f>Tabella1[[#This Row],[KgPezzo]]*Tabella1[[#This Row],[q.ta offerta]]</f>
        <v>#VALUE!</v>
      </c>
      <c r="Q440" t="e">
        <f>RigheOfferte[[#This Row],[QtaProtez]]</f>
        <v>#VALUE!</v>
      </c>
      <c r="R440" t="e">
        <f>RigheOfferte[[#This Row],[Tipo Protezione]]</f>
        <v>#VALUE!</v>
      </c>
    </row>
    <row r="441" spans="1:18">
      <c r="A441" t="e">
        <f>RigheOfferte[[#This Row],[Nprev]]</f>
        <v>#VALUE!</v>
      </c>
      <c r="B441" t="e">
        <f>RigheOfferte[[#This Row],[Nriga]]</f>
        <v>#VALUE!</v>
      </c>
      <c r="C441" t="e">
        <f>RigheOfferte[[#This Row],[Cliente]]</f>
        <v>#VALUE!</v>
      </c>
      <c r="D441" t="e">
        <f>RigheOfferte[[#This Row],[sub_cliente]]</f>
        <v>#VALUE!</v>
      </c>
      <c r="E441" t="e">
        <f>RigheOfferte[[#This Row],[cod.Art.]]</f>
        <v>#VALUE!</v>
      </c>
      <c r="F441" t="e">
        <f>RigheOfferte[[#This Row],[Descrizione]]</f>
        <v>#VALUE!</v>
      </c>
      <c r="G441" t="e">
        <f>RigheOfferte[[#This Row],[Q.ta'']]</f>
        <v>#VALUE!</v>
      </c>
      <c r="H441" t="e">
        <f>RigheOfferte[[#This Row],[Lavorazione]]</f>
        <v>#VALUE!</v>
      </c>
      <c r="I441" t="e">
        <f>RigheOfferte[[#This Row],[Colore]]</f>
        <v>#VALUE!</v>
      </c>
      <c r="J441" t="e">
        <f>RigheOfferte[[#This Row],[Velocità]]</f>
        <v>#VALUE!</v>
      </c>
      <c r="K441" t="e">
        <f>RigheOfferte[[#This Row],[Superf.pz Mq]]</f>
        <v>#VALUE!</v>
      </c>
      <c r="L441" t="e">
        <f>RigheOfferte[[#This Row],[passo]]</f>
        <v>#VALUE!</v>
      </c>
      <c r="M441" t="e">
        <f>RigheOfferte[[#This Row],[nr.pezzi Telaio]]</f>
        <v>#VALUE!</v>
      </c>
      <c r="N441" t="e">
        <f>RigheOfferte[[#This Row],[nr.pezzi ora-unita]]</f>
        <v>#VALUE!</v>
      </c>
      <c r="O441" t="e">
        <f>Tabella1[[#This Row],[superificie]]*Resa</f>
        <v>#VALUE!</v>
      </c>
      <c r="P441" t="e">
        <f>Tabella1[[#This Row],[KgPezzo]]*Tabella1[[#This Row],[q.ta offerta]]</f>
        <v>#VALUE!</v>
      </c>
      <c r="Q441" t="e">
        <f>RigheOfferte[[#This Row],[QtaProtez]]</f>
        <v>#VALUE!</v>
      </c>
      <c r="R441" t="e">
        <f>RigheOfferte[[#This Row],[Tipo Protezione]]</f>
        <v>#VALUE!</v>
      </c>
    </row>
    <row r="442" spans="1:18">
      <c r="A442" t="e">
        <f>RigheOfferte[[#This Row],[Nprev]]</f>
        <v>#VALUE!</v>
      </c>
      <c r="B442" t="e">
        <f>RigheOfferte[[#This Row],[Nriga]]</f>
        <v>#VALUE!</v>
      </c>
      <c r="C442" t="e">
        <f>RigheOfferte[[#This Row],[Cliente]]</f>
        <v>#VALUE!</v>
      </c>
      <c r="D442" t="e">
        <f>RigheOfferte[[#This Row],[sub_cliente]]</f>
        <v>#VALUE!</v>
      </c>
      <c r="E442" t="e">
        <f>RigheOfferte[[#This Row],[cod.Art.]]</f>
        <v>#VALUE!</v>
      </c>
      <c r="F442" t="e">
        <f>RigheOfferte[[#This Row],[Descrizione]]</f>
        <v>#VALUE!</v>
      </c>
      <c r="G442" t="e">
        <f>RigheOfferte[[#This Row],[Q.ta'']]</f>
        <v>#VALUE!</v>
      </c>
      <c r="H442" t="e">
        <f>RigheOfferte[[#This Row],[Lavorazione]]</f>
        <v>#VALUE!</v>
      </c>
      <c r="I442" t="e">
        <f>RigheOfferte[[#This Row],[Colore]]</f>
        <v>#VALUE!</v>
      </c>
      <c r="J442" t="e">
        <f>RigheOfferte[[#This Row],[Velocità]]</f>
        <v>#VALUE!</v>
      </c>
      <c r="K442" t="e">
        <f>RigheOfferte[[#This Row],[Superf.pz Mq]]</f>
        <v>#VALUE!</v>
      </c>
      <c r="L442" t="e">
        <f>RigheOfferte[[#This Row],[passo]]</f>
        <v>#VALUE!</v>
      </c>
      <c r="M442" t="e">
        <f>RigheOfferte[[#This Row],[nr.pezzi Telaio]]</f>
        <v>#VALUE!</v>
      </c>
      <c r="N442" t="e">
        <f>RigheOfferte[[#This Row],[nr.pezzi ora-unita]]</f>
        <v>#VALUE!</v>
      </c>
      <c r="O442" t="e">
        <f>Tabella1[[#This Row],[superificie]]*Resa</f>
        <v>#VALUE!</v>
      </c>
      <c r="P442" t="e">
        <f>Tabella1[[#This Row],[KgPezzo]]*Tabella1[[#This Row],[q.ta offerta]]</f>
        <v>#VALUE!</v>
      </c>
      <c r="Q442" t="e">
        <f>RigheOfferte[[#This Row],[QtaProtez]]</f>
        <v>#VALUE!</v>
      </c>
      <c r="R442" t="e">
        <f>RigheOfferte[[#This Row],[Tipo Protezione]]</f>
        <v>#VALUE!</v>
      </c>
    </row>
    <row r="443" spans="1:18">
      <c r="A443" t="e">
        <f>RigheOfferte[[#This Row],[Nprev]]</f>
        <v>#VALUE!</v>
      </c>
      <c r="B443" t="e">
        <f>RigheOfferte[[#This Row],[Nriga]]</f>
        <v>#VALUE!</v>
      </c>
      <c r="C443" t="e">
        <f>RigheOfferte[[#This Row],[Cliente]]</f>
        <v>#VALUE!</v>
      </c>
      <c r="D443" t="e">
        <f>RigheOfferte[[#This Row],[sub_cliente]]</f>
        <v>#VALUE!</v>
      </c>
      <c r="E443" t="e">
        <f>RigheOfferte[[#This Row],[cod.Art.]]</f>
        <v>#VALUE!</v>
      </c>
      <c r="F443" t="e">
        <f>RigheOfferte[[#This Row],[Descrizione]]</f>
        <v>#VALUE!</v>
      </c>
      <c r="G443" t="e">
        <f>RigheOfferte[[#This Row],[Q.ta'']]</f>
        <v>#VALUE!</v>
      </c>
      <c r="H443" t="e">
        <f>RigheOfferte[[#This Row],[Lavorazione]]</f>
        <v>#VALUE!</v>
      </c>
      <c r="I443" t="e">
        <f>RigheOfferte[[#This Row],[Colore]]</f>
        <v>#VALUE!</v>
      </c>
      <c r="J443" t="e">
        <f>RigheOfferte[[#This Row],[Velocità]]</f>
        <v>#VALUE!</v>
      </c>
      <c r="K443" t="e">
        <f>RigheOfferte[[#This Row],[Superf.pz Mq]]</f>
        <v>#VALUE!</v>
      </c>
      <c r="L443" t="e">
        <f>RigheOfferte[[#This Row],[passo]]</f>
        <v>#VALUE!</v>
      </c>
      <c r="M443" t="e">
        <f>RigheOfferte[[#This Row],[nr.pezzi Telaio]]</f>
        <v>#VALUE!</v>
      </c>
      <c r="N443" t="e">
        <f>RigheOfferte[[#This Row],[nr.pezzi ora-unita]]</f>
        <v>#VALUE!</v>
      </c>
      <c r="O443" t="e">
        <f>Tabella1[[#This Row],[superificie]]*Resa</f>
        <v>#VALUE!</v>
      </c>
      <c r="P443" t="e">
        <f>Tabella1[[#This Row],[KgPezzo]]*Tabella1[[#This Row],[q.ta offerta]]</f>
        <v>#VALUE!</v>
      </c>
      <c r="Q443" t="e">
        <f>RigheOfferte[[#This Row],[QtaProtez]]</f>
        <v>#VALUE!</v>
      </c>
      <c r="R443" t="e">
        <f>RigheOfferte[[#This Row],[Tipo Protezione]]</f>
        <v>#VALUE!</v>
      </c>
    </row>
    <row r="444" spans="1:18">
      <c r="A444" t="e">
        <f>RigheOfferte[[#This Row],[Nprev]]</f>
        <v>#VALUE!</v>
      </c>
      <c r="B444" t="e">
        <f>RigheOfferte[[#This Row],[Nriga]]</f>
        <v>#VALUE!</v>
      </c>
      <c r="C444" t="e">
        <f>RigheOfferte[[#This Row],[Cliente]]</f>
        <v>#VALUE!</v>
      </c>
      <c r="D444" t="e">
        <f>RigheOfferte[[#This Row],[sub_cliente]]</f>
        <v>#VALUE!</v>
      </c>
      <c r="E444" t="e">
        <f>RigheOfferte[[#This Row],[cod.Art.]]</f>
        <v>#VALUE!</v>
      </c>
      <c r="F444" t="e">
        <f>RigheOfferte[[#This Row],[Descrizione]]</f>
        <v>#VALUE!</v>
      </c>
      <c r="G444" t="e">
        <f>RigheOfferte[[#This Row],[Q.ta'']]</f>
        <v>#VALUE!</v>
      </c>
      <c r="H444" t="e">
        <f>RigheOfferte[[#This Row],[Lavorazione]]</f>
        <v>#VALUE!</v>
      </c>
      <c r="I444" t="e">
        <f>RigheOfferte[[#This Row],[Colore]]</f>
        <v>#VALUE!</v>
      </c>
      <c r="J444" t="e">
        <f>RigheOfferte[[#This Row],[Velocità]]</f>
        <v>#VALUE!</v>
      </c>
      <c r="K444" t="e">
        <f>RigheOfferte[[#This Row],[Superf.pz Mq]]</f>
        <v>#VALUE!</v>
      </c>
      <c r="L444" t="e">
        <f>RigheOfferte[[#This Row],[passo]]</f>
        <v>#VALUE!</v>
      </c>
      <c r="M444" t="e">
        <f>RigheOfferte[[#This Row],[nr.pezzi Telaio]]</f>
        <v>#VALUE!</v>
      </c>
      <c r="N444" t="e">
        <f>RigheOfferte[[#This Row],[nr.pezzi ora-unita]]</f>
        <v>#VALUE!</v>
      </c>
      <c r="O444" t="e">
        <f>Tabella1[[#This Row],[superificie]]*Resa</f>
        <v>#VALUE!</v>
      </c>
      <c r="P444" t="e">
        <f>Tabella1[[#This Row],[KgPezzo]]*Tabella1[[#This Row],[q.ta offerta]]</f>
        <v>#VALUE!</v>
      </c>
      <c r="Q444" t="e">
        <f>RigheOfferte[[#This Row],[QtaProtez]]</f>
        <v>#VALUE!</v>
      </c>
      <c r="R444" t="e">
        <f>RigheOfferte[[#This Row],[Tipo Protezione]]</f>
        <v>#VALUE!</v>
      </c>
    </row>
    <row r="445" spans="1:18">
      <c r="A445" t="e">
        <f>RigheOfferte[[#This Row],[Nprev]]</f>
        <v>#VALUE!</v>
      </c>
      <c r="B445" t="e">
        <f>RigheOfferte[[#This Row],[Nriga]]</f>
        <v>#VALUE!</v>
      </c>
      <c r="C445" t="e">
        <f>RigheOfferte[[#This Row],[Cliente]]</f>
        <v>#VALUE!</v>
      </c>
      <c r="D445" t="e">
        <f>RigheOfferte[[#This Row],[sub_cliente]]</f>
        <v>#VALUE!</v>
      </c>
      <c r="E445" t="e">
        <f>RigheOfferte[[#This Row],[cod.Art.]]</f>
        <v>#VALUE!</v>
      </c>
      <c r="F445" t="e">
        <f>RigheOfferte[[#This Row],[Descrizione]]</f>
        <v>#VALUE!</v>
      </c>
      <c r="G445" t="e">
        <f>RigheOfferte[[#This Row],[Q.ta'']]</f>
        <v>#VALUE!</v>
      </c>
      <c r="H445" t="e">
        <f>RigheOfferte[[#This Row],[Lavorazione]]</f>
        <v>#VALUE!</v>
      </c>
      <c r="I445" t="e">
        <f>RigheOfferte[[#This Row],[Colore]]</f>
        <v>#VALUE!</v>
      </c>
      <c r="J445" t="e">
        <f>RigheOfferte[[#This Row],[Velocità]]</f>
        <v>#VALUE!</v>
      </c>
      <c r="K445" t="e">
        <f>RigheOfferte[[#This Row],[Superf.pz Mq]]</f>
        <v>#VALUE!</v>
      </c>
      <c r="L445" t="e">
        <f>RigheOfferte[[#This Row],[passo]]</f>
        <v>#VALUE!</v>
      </c>
      <c r="M445" t="e">
        <f>RigheOfferte[[#This Row],[nr.pezzi Telaio]]</f>
        <v>#VALUE!</v>
      </c>
      <c r="N445" t="e">
        <f>RigheOfferte[[#This Row],[nr.pezzi ora-unita]]</f>
        <v>#VALUE!</v>
      </c>
      <c r="O445" t="e">
        <f>Tabella1[[#This Row],[superificie]]*Resa</f>
        <v>#VALUE!</v>
      </c>
      <c r="P445" t="e">
        <f>Tabella1[[#This Row],[KgPezzo]]*Tabella1[[#This Row],[q.ta offerta]]</f>
        <v>#VALUE!</v>
      </c>
      <c r="Q445" t="e">
        <f>RigheOfferte[[#This Row],[QtaProtez]]</f>
        <v>#VALUE!</v>
      </c>
      <c r="R445" t="e">
        <f>RigheOfferte[[#This Row],[Tipo Protezione]]</f>
        <v>#VALUE!</v>
      </c>
    </row>
    <row r="446" spans="1:18">
      <c r="A446" t="e">
        <f>RigheOfferte[[#This Row],[Nprev]]</f>
        <v>#VALUE!</v>
      </c>
      <c r="B446" t="e">
        <f>RigheOfferte[[#This Row],[Nriga]]</f>
        <v>#VALUE!</v>
      </c>
      <c r="C446" t="e">
        <f>RigheOfferte[[#This Row],[Cliente]]</f>
        <v>#VALUE!</v>
      </c>
      <c r="D446" t="e">
        <f>RigheOfferte[[#This Row],[sub_cliente]]</f>
        <v>#VALUE!</v>
      </c>
      <c r="E446" t="e">
        <f>RigheOfferte[[#This Row],[cod.Art.]]</f>
        <v>#VALUE!</v>
      </c>
      <c r="F446" t="e">
        <f>RigheOfferte[[#This Row],[Descrizione]]</f>
        <v>#VALUE!</v>
      </c>
      <c r="G446" t="e">
        <f>RigheOfferte[[#This Row],[Q.ta'']]</f>
        <v>#VALUE!</v>
      </c>
      <c r="H446" t="e">
        <f>RigheOfferte[[#This Row],[Lavorazione]]</f>
        <v>#VALUE!</v>
      </c>
      <c r="I446" t="e">
        <f>RigheOfferte[[#This Row],[Colore]]</f>
        <v>#VALUE!</v>
      </c>
      <c r="J446" t="e">
        <f>RigheOfferte[[#This Row],[Velocità]]</f>
        <v>#VALUE!</v>
      </c>
      <c r="K446" t="e">
        <f>RigheOfferte[[#This Row],[Superf.pz Mq]]</f>
        <v>#VALUE!</v>
      </c>
      <c r="L446" t="e">
        <f>RigheOfferte[[#This Row],[passo]]</f>
        <v>#VALUE!</v>
      </c>
      <c r="M446" t="e">
        <f>RigheOfferte[[#This Row],[nr.pezzi Telaio]]</f>
        <v>#VALUE!</v>
      </c>
      <c r="N446" t="e">
        <f>RigheOfferte[[#This Row],[nr.pezzi ora-unita]]</f>
        <v>#VALUE!</v>
      </c>
      <c r="O446" t="e">
        <f>Tabella1[[#This Row],[superificie]]*Resa</f>
        <v>#VALUE!</v>
      </c>
      <c r="P446" t="e">
        <f>Tabella1[[#This Row],[KgPezzo]]*Tabella1[[#This Row],[q.ta offerta]]</f>
        <v>#VALUE!</v>
      </c>
      <c r="Q446" t="e">
        <f>RigheOfferte[[#This Row],[QtaProtez]]</f>
        <v>#VALUE!</v>
      </c>
      <c r="R446" t="e">
        <f>RigheOfferte[[#This Row],[Tipo Protezione]]</f>
        <v>#VALUE!</v>
      </c>
    </row>
    <row r="447" spans="1:18">
      <c r="A447" t="e">
        <f>RigheOfferte[[#This Row],[Nprev]]</f>
        <v>#VALUE!</v>
      </c>
      <c r="B447" t="e">
        <f>RigheOfferte[[#This Row],[Nriga]]</f>
        <v>#VALUE!</v>
      </c>
      <c r="C447" t="e">
        <f>RigheOfferte[[#This Row],[Cliente]]</f>
        <v>#VALUE!</v>
      </c>
      <c r="D447" t="e">
        <f>RigheOfferte[[#This Row],[sub_cliente]]</f>
        <v>#VALUE!</v>
      </c>
      <c r="E447" t="e">
        <f>RigheOfferte[[#This Row],[cod.Art.]]</f>
        <v>#VALUE!</v>
      </c>
      <c r="F447" t="e">
        <f>RigheOfferte[[#This Row],[Descrizione]]</f>
        <v>#VALUE!</v>
      </c>
      <c r="G447" t="e">
        <f>RigheOfferte[[#This Row],[Q.ta'']]</f>
        <v>#VALUE!</v>
      </c>
      <c r="H447" t="e">
        <f>RigheOfferte[[#This Row],[Lavorazione]]</f>
        <v>#VALUE!</v>
      </c>
      <c r="I447" t="e">
        <f>RigheOfferte[[#This Row],[Colore]]</f>
        <v>#VALUE!</v>
      </c>
      <c r="J447" t="e">
        <f>RigheOfferte[[#This Row],[Velocità]]</f>
        <v>#VALUE!</v>
      </c>
      <c r="K447" t="e">
        <f>RigheOfferte[[#This Row],[Superf.pz Mq]]</f>
        <v>#VALUE!</v>
      </c>
      <c r="L447" t="e">
        <f>RigheOfferte[[#This Row],[passo]]</f>
        <v>#VALUE!</v>
      </c>
      <c r="M447" t="e">
        <f>RigheOfferte[[#This Row],[nr.pezzi Telaio]]</f>
        <v>#VALUE!</v>
      </c>
      <c r="N447" t="e">
        <f>RigheOfferte[[#This Row],[nr.pezzi ora-unita]]</f>
        <v>#VALUE!</v>
      </c>
      <c r="O447" t="e">
        <f>Tabella1[[#This Row],[superificie]]*Resa</f>
        <v>#VALUE!</v>
      </c>
      <c r="P447" t="e">
        <f>Tabella1[[#This Row],[KgPezzo]]*Tabella1[[#This Row],[q.ta offerta]]</f>
        <v>#VALUE!</v>
      </c>
      <c r="Q447" t="e">
        <f>RigheOfferte[[#This Row],[QtaProtez]]</f>
        <v>#VALUE!</v>
      </c>
      <c r="R447" t="e">
        <f>RigheOfferte[[#This Row],[Tipo Protezione]]</f>
        <v>#VALUE!</v>
      </c>
    </row>
    <row r="448" spans="1:18">
      <c r="A448" t="e">
        <f>RigheOfferte[[#This Row],[Nprev]]</f>
        <v>#VALUE!</v>
      </c>
      <c r="B448" t="e">
        <f>RigheOfferte[[#This Row],[Nriga]]</f>
        <v>#VALUE!</v>
      </c>
      <c r="C448" t="e">
        <f>RigheOfferte[[#This Row],[Cliente]]</f>
        <v>#VALUE!</v>
      </c>
      <c r="D448" t="e">
        <f>RigheOfferte[[#This Row],[sub_cliente]]</f>
        <v>#VALUE!</v>
      </c>
      <c r="E448" t="e">
        <f>RigheOfferte[[#This Row],[cod.Art.]]</f>
        <v>#VALUE!</v>
      </c>
      <c r="F448" t="e">
        <f>RigheOfferte[[#This Row],[Descrizione]]</f>
        <v>#VALUE!</v>
      </c>
      <c r="G448" t="e">
        <f>RigheOfferte[[#This Row],[Q.ta'']]</f>
        <v>#VALUE!</v>
      </c>
      <c r="H448" t="e">
        <f>RigheOfferte[[#This Row],[Lavorazione]]</f>
        <v>#VALUE!</v>
      </c>
      <c r="I448" t="e">
        <f>RigheOfferte[[#This Row],[Colore]]</f>
        <v>#VALUE!</v>
      </c>
      <c r="J448" t="e">
        <f>RigheOfferte[[#This Row],[Velocità]]</f>
        <v>#VALUE!</v>
      </c>
      <c r="K448" t="e">
        <f>RigheOfferte[[#This Row],[Superf.pz Mq]]</f>
        <v>#VALUE!</v>
      </c>
      <c r="L448" t="e">
        <f>RigheOfferte[[#This Row],[passo]]</f>
        <v>#VALUE!</v>
      </c>
      <c r="M448" t="e">
        <f>RigheOfferte[[#This Row],[nr.pezzi Telaio]]</f>
        <v>#VALUE!</v>
      </c>
      <c r="N448" t="e">
        <f>RigheOfferte[[#This Row],[nr.pezzi ora-unita]]</f>
        <v>#VALUE!</v>
      </c>
      <c r="O448" t="e">
        <f>Tabella1[[#This Row],[superificie]]*Resa</f>
        <v>#VALUE!</v>
      </c>
      <c r="P448" t="e">
        <f>Tabella1[[#This Row],[KgPezzo]]*Tabella1[[#This Row],[q.ta offerta]]</f>
        <v>#VALUE!</v>
      </c>
      <c r="Q448" t="e">
        <f>RigheOfferte[[#This Row],[QtaProtez]]</f>
        <v>#VALUE!</v>
      </c>
      <c r="R448" t="e">
        <f>RigheOfferte[[#This Row],[Tipo Protezione]]</f>
        <v>#VALUE!</v>
      </c>
    </row>
    <row r="449" spans="1:18">
      <c r="A449" t="e">
        <f>RigheOfferte[[#This Row],[Nprev]]</f>
        <v>#VALUE!</v>
      </c>
      <c r="B449" t="e">
        <f>RigheOfferte[[#This Row],[Nriga]]</f>
        <v>#VALUE!</v>
      </c>
      <c r="C449" t="e">
        <f>RigheOfferte[[#This Row],[Cliente]]</f>
        <v>#VALUE!</v>
      </c>
      <c r="D449" t="e">
        <f>RigheOfferte[[#This Row],[sub_cliente]]</f>
        <v>#VALUE!</v>
      </c>
      <c r="E449" t="e">
        <f>RigheOfferte[[#This Row],[cod.Art.]]</f>
        <v>#VALUE!</v>
      </c>
      <c r="F449" t="e">
        <f>RigheOfferte[[#This Row],[Descrizione]]</f>
        <v>#VALUE!</v>
      </c>
      <c r="G449" t="e">
        <f>RigheOfferte[[#This Row],[Q.ta'']]</f>
        <v>#VALUE!</v>
      </c>
      <c r="H449" t="e">
        <f>RigheOfferte[[#This Row],[Lavorazione]]</f>
        <v>#VALUE!</v>
      </c>
      <c r="I449" t="e">
        <f>RigheOfferte[[#This Row],[Colore]]</f>
        <v>#VALUE!</v>
      </c>
      <c r="J449" t="e">
        <f>RigheOfferte[[#This Row],[Velocità]]</f>
        <v>#VALUE!</v>
      </c>
      <c r="K449" t="e">
        <f>RigheOfferte[[#This Row],[Superf.pz Mq]]</f>
        <v>#VALUE!</v>
      </c>
      <c r="L449" t="e">
        <f>RigheOfferte[[#This Row],[passo]]</f>
        <v>#VALUE!</v>
      </c>
      <c r="M449" t="e">
        <f>RigheOfferte[[#This Row],[nr.pezzi Telaio]]</f>
        <v>#VALUE!</v>
      </c>
      <c r="N449" t="e">
        <f>RigheOfferte[[#This Row],[nr.pezzi ora-unita]]</f>
        <v>#VALUE!</v>
      </c>
      <c r="O449" t="e">
        <f>Tabella1[[#This Row],[superificie]]*Resa</f>
        <v>#VALUE!</v>
      </c>
      <c r="P449" t="e">
        <f>Tabella1[[#This Row],[KgPezzo]]*Tabella1[[#This Row],[q.ta offerta]]</f>
        <v>#VALUE!</v>
      </c>
      <c r="Q449" t="e">
        <f>RigheOfferte[[#This Row],[QtaProtez]]</f>
        <v>#VALUE!</v>
      </c>
      <c r="R449" t="e">
        <f>RigheOfferte[[#This Row],[Tipo Protezione]]</f>
        <v>#VALUE!</v>
      </c>
    </row>
    <row r="450" spans="1:18">
      <c r="A450" t="e">
        <f>RigheOfferte[[#This Row],[Nprev]]</f>
        <v>#VALUE!</v>
      </c>
      <c r="B450" t="e">
        <f>RigheOfferte[[#This Row],[Nriga]]</f>
        <v>#VALUE!</v>
      </c>
      <c r="C450" t="e">
        <f>RigheOfferte[[#This Row],[Cliente]]</f>
        <v>#VALUE!</v>
      </c>
      <c r="D450" t="e">
        <f>RigheOfferte[[#This Row],[sub_cliente]]</f>
        <v>#VALUE!</v>
      </c>
      <c r="E450" t="e">
        <f>RigheOfferte[[#This Row],[cod.Art.]]</f>
        <v>#VALUE!</v>
      </c>
      <c r="F450" t="e">
        <f>RigheOfferte[[#This Row],[Descrizione]]</f>
        <v>#VALUE!</v>
      </c>
      <c r="G450" t="e">
        <f>RigheOfferte[[#This Row],[Q.ta'']]</f>
        <v>#VALUE!</v>
      </c>
      <c r="H450" t="e">
        <f>RigheOfferte[[#This Row],[Lavorazione]]</f>
        <v>#VALUE!</v>
      </c>
      <c r="I450" t="e">
        <f>RigheOfferte[[#This Row],[Colore]]</f>
        <v>#VALUE!</v>
      </c>
      <c r="J450" t="e">
        <f>RigheOfferte[[#This Row],[Velocità]]</f>
        <v>#VALUE!</v>
      </c>
      <c r="K450" t="e">
        <f>RigheOfferte[[#This Row],[Superf.pz Mq]]</f>
        <v>#VALUE!</v>
      </c>
      <c r="L450" t="e">
        <f>RigheOfferte[[#This Row],[passo]]</f>
        <v>#VALUE!</v>
      </c>
      <c r="M450" t="e">
        <f>RigheOfferte[[#This Row],[nr.pezzi Telaio]]</f>
        <v>#VALUE!</v>
      </c>
      <c r="N450" t="e">
        <f>RigheOfferte[[#This Row],[nr.pezzi ora-unita]]</f>
        <v>#VALUE!</v>
      </c>
      <c r="O450" t="e">
        <f>Tabella1[[#This Row],[superificie]]*Resa</f>
        <v>#VALUE!</v>
      </c>
      <c r="P450" t="e">
        <f>Tabella1[[#This Row],[KgPezzo]]*Tabella1[[#This Row],[q.ta offerta]]</f>
        <v>#VALUE!</v>
      </c>
      <c r="Q450" t="e">
        <f>RigheOfferte[[#This Row],[QtaProtez]]</f>
        <v>#VALUE!</v>
      </c>
      <c r="R450" t="e">
        <f>RigheOfferte[[#This Row],[Tipo Protezione]]</f>
        <v>#VALUE!</v>
      </c>
    </row>
    <row r="451" spans="1:18">
      <c r="A451" t="e">
        <f>RigheOfferte[[#This Row],[Nprev]]</f>
        <v>#VALUE!</v>
      </c>
      <c r="B451" t="e">
        <f>RigheOfferte[[#This Row],[Nriga]]</f>
        <v>#VALUE!</v>
      </c>
      <c r="C451" t="e">
        <f>RigheOfferte[[#This Row],[Cliente]]</f>
        <v>#VALUE!</v>
      </c>
      <c r="D451" t="e">
        <f>RigheOfferte[[#This Row],[sub_cliente]]</f>
        <v>#VALUE!</v>
      </c>
      <c r="E451" t="e">
        <f>RigheOfferte[[#This Row],[cod.Art.]]</f>
        <v>#VALUE!</v>
      </c>
      <c r="F451" t="e">
        <f>RigheOfferte[[#This Row],[Descrizione]]</f>
        <v>#VALUE!</v>
      </c>
      <c r="G451" t="e">
        <f>RigheOfferte[[#This Row],[Q.ta'']]</f>
        <v>#VALUE!</v>
      </c>
      <c r="H451" t="e">
        <f>RigheOfferte[[#This Row],[Lavorazione]]</f>
        <v>#VALUE!</v>
      </c>
      <c r="I451" t="e">
        <f>RigheOfferte[[#This Row],[Colore]]</f>
        <v>#VALUE!</v>
      </c>
      <c r="J451" t="e">
        <f>RigheOfferte[[#This Row],[Velocità]]</f>
        <v>#VALUE!</v>
      </c>
      <c r="K451" t="e">
        <f>RigheOfferte[[#This Row],[Superf.pz Mq]]</f>
        <v>#VALUE!</v>
      </c>
      <c r="L451" t="e">
        <f>RigheOfferte[[#This Row],[passo]]</f>
        <v>#VALUE!</v>
      </c>
      <c r="M451" t="e">
        <f>RigheOfferte[[#This Row],[nr.pezzi Telaio]]</f>
        <v>#VALUE!</v>
      </c>
      <c r="N451" t="e">
        <f>RigheOfferte[[#This Row],[nr.pezzi ora-unita]]</f>
        <v>#VALUE!</v>
      </c>
      <c r="O451" t="e">
        <f>Tabella1[[#This Row],[superificie]]*Resa</f>
        <v>#VALUE!</v>
      </c>
      <c r="P451" t="e">
        <f>Tabella1[[#This Row],[KgPezzo]]*Tabella1[[#This Row],[q.ta offerta]]</f>
        <v>#VALUE!</v>
      </c>
      <c r="Q451" t="e">
        <f>RigheOfferte[[#This Row],[QtaProtez]]</f>
        <v>#VALUE!</v>
      </c>
      <c r="R451" t="e">
        <f>RigheOfferte[[#This Row],[Tipo Protezione]]</f>
        <v>#VALUE!</v>
      </c>
    </row>
    <row r="452" spans="1:18">
      <c r="A452" t="e">
        <f>RigheOfferte[[#This Row],[Nprev]]</f>
        <v>#VALUE!</v>
      </c>
      <c r="B452" t="e">
        <f>RigheOfferte[[#This Row],[Nriga]]</f>
        <v>#VALUE!</v>
      </c>
      <c r="C452" t="e">
        <f>RigheOfferte[[#This Row],[Cliente]]</f>
        <v>#VALUE!</v>
      </c>
      <c r="D452" t="e">
        <f>RigheOfferte[[#This Row],[sub_cliente]]</f>
        <v>#VALUE!</v>
      </c>
      <c r="E452" t="e">
        <f>RigheOfferte[[#This Row],[cod.Art.]]</f>
        <v>#VALUE!</v>
      </c>
      <c r="F452" t="e">
        <f>RigheOfferte[[#This Row],[Descrizione]]</f>
        <v>#VALUE!</v>
      </c>
      <c r="G452" t="e">
        <f>RigheOfferte[[#This Row],[Q.ta'']]</f>
        <v>#VALUE!</v>
      </c>
      <c r="H452" t="e">
        <f>RigheOfferte[[#This Row],[Lavorazione]]</f>
        <v>#VALUE!</v>
      </c>
      <c r="I452" t="e">
        <f>RigheOfferte[[#This Row],[Colore]]</f>
        <v>#VALUE!</v>
      </c>
      <c r="J452" t="e">
        <f>RigheOfferte[[#This Row],[Velocità]]</f>
        <v>#VALUE!</v>
      </c>
      <c r="K452" t="e">
        <f>RigheOfferte[[#This Row],[Superf.pz Mq]]</f>
        <v>#VALUE!</v>
      </c>
      <c r="L452" t="e">
        <f>RigheOfferte[[#This Row],[passo]]</f>
        <v>#VALUE!</v>
      </c>
      <c r="M452" t="e">
        <f>RigheOfferte[[#This Row],[nr.pezzi Telaio]]</f>
        <v>#VALUE!</v>
      </c>
      <c r="N452" t="e">
        <f>RigheOfferte[[#This Row],[nr.pezzi ora-unita]]</f>
        <v>#VALUE!</v>
      </c>
      <c r="O452" t="e">
        <f>Tabella1[[#This Row],[superificie]]*Resa</f>
        <v>#VALUE!</v>
      </c>
      <c r="P452" t="e">
        <f>Tabella1[[#This Row],[KgPezzo]]*Tabella1[[#This Row],[q.ta offerta]]</f>
        <v>#VALUE!</v>
      </c>
      <c r="Q452" t="e">
        <f>RigheOfferte[[#This Row],[QtaProtez]]</f>
        <v>#VALUE!</v>
      </c>
      <c r="R452" t="e">
        <f>RigheOfferte[[#This Row],[Tipo Protezione]]</f>
        <v>#VALUE!</v>
      </c>
    </row>
    <row r="453" spans="1:18">
      <c r="A453" t="e">
        <f>RigheOfferte[[#This Row],[Nprev]]</f>
        <v>#VALUE!</v>
      </c>
      <c r="B453" t="e">
        <f>RigheOfferte[[#This Row],[Nriga]]</f>
        <v>#VALUE!</v>
      </c>
      <c r="C453" t="e">
        <f>RigheOfferte[[#This Row],[Cliente]]</f>
        <v>#VALUE!</v>
      </c>
      <c r="D453" t="e">
        <f>RigheOfferte[[#This Row],[sub_cliente]]</f>
        <v>#VALUE!</v>
      </c>
      <c r="E453" t="e">
        <f>RigheOfferte[[#This Row],[cod.Art.]]</f>
        <v>#VALUE!</v>
      </c>
      <c r="F453" t="e">
        <f>RigheOfferte[[#This Row],[Descrizione]]</f>
        <v>#VALUE!</v>
      </c>
      <c r="G453" t="e">
        <f>RigheOfferte[[#This Row],[Q.ta'']]</f>
        <v>#VALUE!</v>
      </c>
      <c r="H453" t="e">
        <f>RigheOfferte[[#This Row],[Lavorazione]]</f>
        <v>#VALUE!</v>
      </c>
      <c r="I453" t="e">
        <f>RigheOfferte[[#This Row],[Colore]]</f>
        <v>#VALUE!</v>
      </c>
      <c r="J453" t="e">
        <f>RigheOfferte[[#This Row],[Velocità]]</f>
        <v>#VALUE!</v>
      </c>
      <c r="K453" t="e">
        <f>RigheOfferte[[#This Row],[Superf.pz Mq]]</f>
        <v>#VALUE!</v>
      </c>
      <c r="L453" t="e">
        <f>RigheOfferte[[#This Row],[passo]]</f>
        <v>#VALUE!</v>
      </c>
      <c r="M453" t="e">
        <f>RigheOfferte[[#This Row],[nr.pezzi Telaio]]</f>
        <v>#VALUE!</v>
      </c>
      <c r="N453" t="e">
        <f>RigheOfferte[[#This Row],[nr.pezzi ora-unita]]</f>
        <v>#VALUE!</v>
      </c>
      <c r="O453" t="e">
        <f>Tabella1[[#This Row],[superificie]]*Resa</f>
        <v>#VALUE!</v>
      </c>
      <c r="P453" t="e">
        <f>Tabella1[[#This Row],[KgPezzo]]*Tabella1[[#This Row],[q.ta offerta]]</f>
        <v>#VALUE!</v>
      </c>
      <c r="Q453" t="e">
        <f>RigheOfferte[[#This Row],[QtaProtez]]</f>
        <v>#VALUE!</v>
      </c>
      <c r="R453" t="e">
        <f>RigheOfferte[[#This Row],[Tipo Protezione]]</f>
        <v>#VALUE!</v>
      </c>
    </row>
    <row r="454" spans="1:18">
      <c r="A454" t="e">
        <f>RigheOfferte[[#This Row],[Nprev]]</f>
        <v>#VALUE!</v>
      </c>
      <c r="B454" t="e">
        <f>RigheOfferte[[#This Row],[Nriga]]</f>
        <v>#VALUE!</v>
      </c>
      <c r="C454" t="e">
        <f>RigheOfferte[[#This Row],[Cliente]]</f>
        <v>#VALUE!</v>
      </c>
      <c r="D454" t="e">
        <f>RigheOfferte[[#This Row],[sub_cliente]]</f>
        <v>#VALUE!</v>
      </c>
      <c r="E454" t="e">
        <f>RigheOfferte[[#This Row],[cod.Art.]]</f>
        <v>#VALUE!</v>
      </c>
      <c r="F454" t="e">
        <f>RigheOfferte[[#This Row],[Descrizione]]</f>
        <v>#VALUE!</v>
      </c>
      <c r="G454" t="e">
        <f>RigheOfferte[[#This Row],[Q.ta'']]</f>
        <v>#VALUE!</v>
      </c>
      <c r="H454" t="e">
        <f>RigheOfferte[[#This Row],[Lavorazione]]</f>
        <v>#VALUE!</v>
      </c>
      <c r="I454" t="e">
        <f>RigheOfferte[[#This Row],[Colore]]</f>
        <v>#VALUE!</v>
      </c>
      <c r="J454" t="e">
        <f>RigheOfferte[[#This Row],[Velocità]]</f>
        <v>#VALUE!</v>
      </c>
      <c r="K454" t="e">
        <f>RigheOfferte[[#This Row],[Superf.pz Mq]]</f>
        <v>#VALUE!</v>
      </c>
      <c r="L454" t="e">
        <f>RigheOfferte[[#This Row],[passo]]</f>
        <v>#VALUE!</v>
      </c>
      <c r="M454" t="e">
        <f>RigheOfferte[[#This Row],[nr.pezzi Telaio]]</f>
        <v>#VALUE!</v>
      </c>
      <c r="N454" t="e">
        <f>RigheOfferte[[#This Row],[nr.pezzi ora-unita]]</f>
        <v>#VALUE!</v>
      </c>
      <c r="O454" t="e">
        <f>Tabella1[[#This Row],[superificie]]*Resa</f>
        <v>#VALUE!</v>
      </c>
      <c r="P454" t="e">
        <f>Tabella1[[#This Row],[KgPezzo]]*Tabella1[[#This Row],[q.ta offerta]]</f>
        <v>#VALUE!</v>
      </c>
      <c r="Q454" t="e">
        <f>RigheOfferte[[#This Row],[QtaProtez]]</f>
        <v>#VALUE!</v>
      </c>
      <c r="R454" t="e">
        <f>RigheOfferte[[#This Row],[Tipo Protezione]]</f>
        <v>#VALUE!</v>
      </c>
    </row>
    <row r="455" spans="1:18">
      <c r="A455" t="e">
        <f>RigheOfferte[[#This Row],[Nprev]]</f>
        <v>#VALUE!</v>
      </c>
      <c r="B455" t="e">
        <f>RigheOfferte[[#This Row],[Nriga]]</f>
        <v>#VALUE!</v>
      </c>
      <c r="C455" t="e">
        <f>RigheOfferte[[#This Row],[Cliente]]</f>
        <v>#VALUE!</v>
      </c>
      <c r="D455" t="e">
        <f>RigheOfferte[[#This Row],[sub_cliente]]</f>
        <v>#VALUE!</v>
      </c>
      <c r="E455" t="e">
        <f>RigheOfferte[[#This Row],[cod.Art.]]</f>
        <v>#VALUE!</v>
      </c>
      <c r="F455" t="e">
        <f>RigheOfferte[[#This Row],[Descrizione]]</f>
        <v>#VALUE!</v>
      </c>
      <c r="G455" t="e">
        <f>RigheOfferte[[#This Row],[Q.ta'']]</f>
        <v>#VALUE!</v>
      </c>
      <c r="H455" t="e">
        <f>RigheOfferte[[#This Row],[Lavorazione]]</f>
        <v>#VALUE!</v>
      </c>
      <c r="I455" t="e">
        <f>RigheOfferte[[#This Row],[Colore]]</f>
        <v>#VALUE!</v>
      </c>
      <c r="J455" t="e">
        <f>RigheOfferte[[#This Row],[Velocità]]</f>
        <v>#VALUE!</v>
      </c>
      <c r="K455" t="e">
        <f>RigheOfferte[[#This Row],[Superf.pz Mq]]</f>
        <v>#VALUE!</v>
      </c>
      <c r="L455" t="e">
        <f>RigheOfferte[[#This Row],[passo]]</f>
        <v>#VALUE!</v>
      </c>
      <c r="M455" t="e">
        <f>RigheOfferte[[#This Row],[nr.pezzi Telaio]]</f>
        <v>#VALUE!</v>
      </c>
      <c r="N455" t="e">
        <f>RigheOfferte[[#This Row],[nr.pezzi ora-unita]]</f>
        <v>#VALUE!</v>
      </c>
      <c r="O455" t="e">
        <f>Tabella1[[#This Row],[superificie]]*Resa</f>
        <v>#VALUE!</v>
      </c>
      <c r="P455" t="e">
        <f>Tabella1[[#This Row],[KgPezzo]]*Tabella1[[#This Row],[q.ta offerta]]</f>
        <v>#VALUE!</v>
      </c>
      <c r="Q455" t="e">
        <f>RigheOfferte[[#This Row],[QtaProtez]]</f>
        <v>#VALUE!</v>
      </c>
      <c r="R455" t="e">
        <f>RigheOfferte[[#This Row],[Tipo Protezione]]</f>
        <v>#VALUE!</v>
      </c>
    </row>
    <row r="456" spans="1:18">
      <c r="A456" t="e">
        <f>RigheOfferte[[#This Row],[Nprev]]</f>
        <v>#VALUE!</v>
      </c>
      <c r="B456" t="e">
        <f>RigheOfferte[[#This Row],[Nriga]]</f>
        <v>#VALUE!</v>
      </c>
      <c r="C456" t="e">
        <f>RigheOfferte[[#This Row],[Cliente]]</f>
        <v>#VALUE!</v>
      </c>
      <c r="D456" t="e">
        <f>RigheOfferte[[#This Row],[sub_cliente]]</f>
        <v>#VALUE!</v>
      </c>
      <c r="E456" t="e">
        <f>RigheOfferte[[#This Row],[cod.Art.]]</f>
        <v>#VALUE!</v>
      </c>
      <c r="F456" t="e">
        <f>RigheOfferte[[#This Row],[Descrizione]]</f>
        <v>#VALUE!</v>
      </c>
      <c r="G456" t="e">
        <f>RigheOfferte[[#This Row],[Q.ta'']]</f>
        <v>#VALUE!</v>
      </c>
      <c r="H456" t="e">
        <f>RigheOfferte[[#This Row],[Lavorazione]]</f>
        <v>#VALUE!</v>
      </c>
      <c r="I456" t="e">
        <f>RigheOfferte[[#This Row],[Colore]]</f>
        <v>#VALUE!</v>
      </c>
      <c r="J456" t="e">
        <f>RigheOfferte[[#This Row],[Velocità]]</f>
        <v>#VALUE!</v>
      </c>
      <c r="K456" t="e">
        <f>RigheOfferte[[#This Row],[Superf.pz Mq]]</f>
        <v>#VALUE!</v>
      </c>
      <c r="L456" t="e">
        <f>RigheOfferte[[#This Row],[passo]]</f>
        <v>#VALUE!</v>
      </c>
      <c r="M456" t="e">
        <f>RigheOfferte[[#This Row],[nr.pezzi Telaio]]</f>
        <v>#VALUE!</v>
      </c>
      <c r="N456" t="e">
        <f>RigheOfferte[[#This Row],[nr.pezzi ora-unita]]</f>
        <v>#VALUE!</v>
      </c>
      <c r="O456" t="e">
        <f>Tabella1[[#This Row],[superificie]]*Resa</f>
        <v>#VALUE!</v>
      </c>
      <c r="P456" t="e">
        <f>Tabella1[[#This Row],[KgPezzo]]*Tabella1[[#This Row],[q.ta offerta]]</f>
        <v>#VALUE!</v>
      </c>
      <c r="Q456" t="e">
        <f>RigheOfferte[[#This Row],[QtaProtez]]</f>
        <v>#VALUE!</v>
      </c>
      <c r="R456" t="e">
        <f>RigheOfferte[[#This Row],[Tipo Protezione]]</f>
        <v>#VALUE!</v>
      </c>
    </row>
    <row r="457" spans="1:18">
      <c r="A457" t="e">
        <f>RigheOfferte[[#This Row],[Nprev]]</f>
        <v>#VALUE!</v>
      </c>
      <c r="B457" t="e">
        <f>RigheOfferte[[#This Row],[Nriga]]</f>
        <v>#VALUE!</v>
      </c>
      <c r="C457" t="e">
        <f>RigheOfferte[[#This Row],[Cliente]]</f>
        <v>#VALUE!</v>
      </c>
      <c r="D457" t="e">
        <f>RigheOfferte[[#This Row],[sub_cliente]]</f>
        <v>#VALUE!</v>
      </c>
      <c r="E457" t="e">
        <f>RigheOfferte[[#This Row],[cod.Art.]]</f>
        <v>#VALUE!</v>
      </c>
      <c r="F457" t="e">
        <f>RigheOfferte[[#This Row],[Descrizione]]</f>
        <v>#VALUE!</v>
      </c>
      <c r="G457" t="e">
        <f>RigheOfferte[[#This Row],[Q.ta'']]</f>
        <v>#VALUE!</v>
      </c>
      <c r="H457" t="e">
        <f>RigheOfferte[[#This Row],[Lavorazione]]</f>
        <v>#VALUE!</v>
      </c>
      <c r="I457" t="e">
        <f>RigheOfferte[[#This Row],[Colore]]</f>
        <v>#VALUE!</v>
      </c>
      <c r="J457" t="e">
        <f>RigheOfferte[[#This Row],[Velocità]]</f>
        <v>#VALUE!</v>
      </c>
      <c r="K457" t="e">
        <f>RigheOfferte[[#This Row],[Superf.pz Mq]]</f>
        <v>#VALUE!</v>
      </c>
      <c r="L457" t="e">
        <f>RigheOfferte[[#This Row],[passo]]</f>
        <v>#VALUE!</v>
      </c>
      <c r="M457" t="e">
        <f>RigheOfferte[[#This Row],[nr.pezzi Telaio]]</f>
        <v>#VALUE!</v>
      </c>
      <c r="N457" t="e">
        <f>RigheOfferte[[#This Row],[nr.pezzi ora-unita]]</f>
        <v>#VALUE!</v>
      </c>
      <c r="O457" t="e">
        <f>Tabella1[[#This Row],[superificie]]*Resa</f>
        <v>#VALUE!</v>
      </c>
      <c r="P457" t="e">
        <f>Tabella1[[#This Row],[KgPezzo]]*Tabella1[[#This Row],[q.ta offerta]]</f>
        <v>#VALUE!</v>
      </c>
      <c r="Q457" t="e">
        <f>RigheOfferte[[#This Row],[QtaProtez]]</f>
        <v>#VALUE!</v>
      </c>
      <c r="R457" t="e">
        <f>RigheOfferte[[#This Row],[Tipo Protezione]]</f>
        <v>#VALUE!</v>
      </c>
    </row>
    <row r="458" spans="1:18">
      <c r="A458" t="e">
        <f>RigheOfferte[[#This Row],[Nprev]]</f>
        <v>#VALUE!</v>
      </c>
      <c r="B458" t="e">
        <f>RigheOfferte[[#This Row],[Nriga]]</f>
        <v>#VALUE!</v>
      </c>
      <c r="C458" t="e">
        <f>RigheOfferte[[#This Row],[Cliente]]</f>
        <v>#VALUE!</v>
      </c>
      <c r="D458" t="e">
        <f>RigheOfferte[[#This Row],[sub_cliente]]</f>
        <v>#VALUE!</v>
      </c>
      <c r="E458" t="e">
        <f>RigheOfferte[[#This Row],[cod.Art.]]</f>
        <v>#VALUE!</v>
      </c>
      <c r="F458" t="e">
        <f>RigheOfferte[[#This Row],[Descrizione]]</f>
        <v>#VALUE!</v>
      </c>
      <c r="G458" t="e">
        <f>RigheOfferte[[#This Row],[Q.ta'']]</f>
        <v>#VALUE!</v>
      </c>
      <c r="H458" t="e">
        <f>RigheOfferte[[#This Row],[Lavorazione]]</f>
        <v>#VALUE!</v>
      </c>
      <c r="I458" t="e">
        <f>RigheOfferte[[#This Row],[Colore]]</f>
        <v>#VALUE!</v>
      </c>
      <c r="J458" t="e">
        <f>RigheOfferte[[#This Row],[Velocità]]</f>
        <v>#VALUE!</v>
      </c>
      <c r="K458" t="e">
        <f>RigheOfferte[[#This Row],[Superf.pz Mq]]</f>
        <v>#VALUE!</v>
      </c>
      <c r="L458" t="e">
        <f>RigheOfferte[[#This Row],[passo]]</f>
        <v>#VALUE!</v>
      </c>
      <c r="M458" t="e">
        <f>RigheOfferte[[#This Row],[nr.pezzi Telaio]]</f>
        <v>#VALUE!</v>
      </c>
      <c r="N458" t="e">
        <f>RigheOfferte[[#This Row],[nr.pezzi ora-unita]]</f>
        <v>#VALUE!</v>
      </c>
      <c r="O458" t="e">
        <f>Tabella1[[#This Row],[superificie]]*Resa</f>
        <v>#VALUE!</v>
      </c>
      <c r="P458" t="e">
        <f>Tabella1[[#This Row],[KgPezzo]]*Tabella1[[#This Row],[q.ta offerta]]</f>
        <v>#VALUE!</v>
      </c>
      <c r="Q458" t="e">
        <f>RigheOfferte[[#This Row],[QtaProtez]]</f>
        <v>#VALUE!</v>
      </c>
      <c r="R458" t="e">
        <f>RigheOfferte[[#This Row],[Tipo Protezione]]</f>
        <v>#VALUE!</v>
      </c>
    </row>
    <row r="459" spans="1:18">
      <c r="A459" t="e">
        <f>RigheOfferte[[#This Row],[Nprev]]</f>
        <v>#VALUE!</v>
      </c>
      <c r="B459" t="e">
        <f>RigheOfferte[[#This Row],[Nriga]]</f>
        <v>#VALUE!</v>
      </c>
      <c r="C459" t="e">
        <f>RigheOfferte[[#This Row],[Cliente]]</f>
        <v>#VALUE!</v>
      </c>
      <c r="D459" t="e">
        <f>RigheOfferte[[#This Row],[sub_cliente]]</f>
        <v>#VALUE!</v>
      </c>
      <c r="E459" t="e">
        <f>RigheOfferte[[#This Row],[cod.Art.]]</f>
        <v>#VALUE!</v>
      </c>
      <c r="F459" t="e">
        <f>RigheOfferte[[#This Row],[Descrizione]]</f>
        <v>#VALUE!</v>
      </c>
      <c r="G459" t="e">
        <f>RigheOfferte[[#This Row],[Q.ta'']]</f>
        <v>#VALUE!</v>
      </c>
      <c r="H459" t="e">
        <f>RigheOfferte[[#This Row],[Lavorazione]]</f>
        <v>#VALUE!</v>
      </c>
      <c r="I459" t="e">
        <f>RigheOfferte[[#This Row],[Colore]]</f>
        <v>#VALUE!</v>
      </c>
      <c r="J459" t="e">
        <f>RigheOfferte[[#This Row],[Velocità]]</f>
        <v>#VALUE!</v>
      </c>
      <c r="K459" t="e">
        <f>RigheOfferte[[#This Row],[Superf.pz Mq]]</f>
        <v>#VALUE!</v>
      </c>
      <c r="L459" t="e">
        <f>RigheOfferte[[#This Row],[passo]]</f>
        <v>#VALUE!</v>
      </c>
      <c r="M459" t="e">
        <f>RigheOfferte[[#This Row],[nr.pezzi Telaio]]</f>
        <v>#VALUE!</v>
      </c>
      <c r="N459" t="e">
        <f>RigheOfferte[[#This Row],[nr.pezzi ora-unita]]</f>
        <v>#VALUE!</v>
      </c>
      <c r="O459" t="e">
        <f>Tabella1[[#This Row],[superificie]]*Resa</f>
        <v>#VALUE!</v>
      </c>
      <c r="P459" t="e">
        <f>Tabella1[[#This Row],[KgPezzo]]*Tabella1[[#This Row],[q.ta offerta]]</f>
        <v>#VALUE!</v>
      </c>
      <c r="Q459" t="e">
        <f>RigheOfferte[[#This Row],[QtaProtez]]</f>
        <v>#VALUE!</v>
      </c>
      <c r="R459" t="e">
        <f>RigheOfferte[[#This Row],[Tipo Protezione]]</f>
        <v>#VALUE!</v>
      </c>
    </row>
    <row r="460" spans="1:18">
      <c r="A460" t="e">
        <f>RigheOfferte[[#This Row],[Nprev]]</f>
        <v>#VALUE!</v>
      </c>
      <c r="B460" t="e">
        <f>RigheOfferte[[#This Row],[Nriga]]</f>
        <v>#VALUE!</v>
      </c>
      <c r="C460" t="e">
        <f>RigheOfferte[[#This Row],[Cliente]]</f>
        <v>#VALUE!</v>
      </c>
      <c r="D460" t="e">
        <f>RigheOfferte[[#This Row],[sub_cliente]]</f>
        <v>#VALUE!</v>
      </c>
      <c r="E460" t="e">
        <f>RigheOfferte[[#This Row],[cod.Art.]]</f>
        <v>#VALUE!</v>
      </c>
      <c r="F460" t="e">
        <f>RigheOfferte[[#This Row],[Descrizione]]</f>
        <v>#VALUE!</v>
      </c>
      <c r="G460" t="e">
        <f>RigheOfferte[[#This Row],[Q.ta'']]</f>
        <v>#VALUE!</v>
      </c>
      <c r="H460" t="e">
        <f>RigheOfferte[[#This Row],[Lavorazione]]</f>
        <v>#VALUE!</v>
      </c>
      <c r="I460" t="e">
        <f>RigheOfferte[[#This Row],[Colore]]</f>
        <v>#VALUE!</v>
      </c>
      <c r="J460" t="e">
        <f>RigheOfferte[[#This Row],[Velocità]]</f>
        <v>#VALUE!</v>
      </c>
      <c r="K460" t="e">
        <f>RigheOfferte[[#This Row],[Superf.pz Mq]]</f>
        <v>#VALUE!</v>
      </c>
      <c r="L460" t="e">
        <f>RigheOfferte[[#This Row],[passo]]</f>
        <v>#VALUE!</v>
      </c>
      <c r="M460" t="e">
        <f>RigheOfferte[[#This Row],[nr.pezzi Telaio]]</f>
        <v>#VALUE!</v>
      </c>
      <c r="N460" t="e">
        <f>RigheOfferte[[#This Row],[nr.pezzi ora-unita]]</f>
        <v>#VALUE!</v>
      </c>
      <c r="O460" t="e">
        <f>Tabella1[[#This Row],[superificie]]*Resa</f>
        <v>#VALUE!</v>
      </c>
      <c r="P460" t="e">
        <f>Tabella1[[#This Row],[KgPezzo]]*Tabella1[[#This Row],[q.ta offerta]]</f>
        <v>#VALUE!</v>
      </c>
      <c r="Q460" t="e">
        <f>RigheOfferte[[#This Row],[QtaProtez]]</f>
        <v>#VALUE!</v>
      </c>
      <c r="R460" t="e">
        <f>RigheOfferte[[#This Row],[Tipo Protezione]]</f>
        <v>#VALUE!</v>
      </c>
    </row>
    <row r="461" spans="1:18">
      <c r="A461" t="e">
        <f>RigheOfferte[[#This Row],[Nprev]]</f>
        <v>#VALUE!</v>
      </c>
      <c r="B461" t="e">
        <f>RigheOfferte[[#This Row],[Nriga]]</f>
        <v>#VALUE!</v>
      </c>
      <c r="C461" t="e">
        <f>RigheOfferte[[#This Row],[Cliente]]</f>
        <v>#VALUE!</v>
      </c>
      <c r="D461" t="e">
        <f>RigheOfferte[[#This Row],[sub_cliente]]</f>
        <v>#VALUE!</v>
      </c>
      <c r="E461" t="e">
        <f>RigheOfferte[[#This Row],[cod.Art.]]</f>
        <v>#VALUE!</v>
      </c>
      <c r="F461" t="e">
        <f>RigheOfferte[[#This Row],[Descrizione]]</f>
        <v>#VALUE!</v>
      </c>
      <c r="G461" t="e">
        <f>RigheOfferte[[#This Row],[Q.ta'']]</f>
        <v>#VALUE!</v>
      </c>
      <c r="H461" t="e">
        <f>RigheOfferte[[#This Row],[Lavorazione]]</f>
        <v>#VALUE!</v>
      </c>
      <c r="I461" t="e">
        <f>RigheOfferte[[#This Row],[Colore]]</f>
        <v>#VALUE!</v>
      </c>
      <c r="J461" t="e">
        <f>RigheOfferte[[#This Row],[Velocità]]</f>
        <v>#VALUE!</v>
      </c>
      <c r="K461" t="e">
        <f>RigheOfferte[[#This Row],[Superf.pz Mq]]</f>
        <v>#VALUE!</v>
      </c>
      <c r="L461" t="e">
        <f>RigheOfferte[[#This Row],[passo]]</f>
        <v>#VALUE!</v>
      </c>
      <c r="M461" t="e">
        <f>RigheOfferte[[#This Row],[nr.pezzi Telaio]]</f>
        <v>#VALUE!</v>
      </c>
      <c r="N461" t="e">
        <f>RigheOfferte[[#This Row],[nr.pezzi ora-unita]]</f>
        <v>#VALUE!</v>
      </c>
      <c r="O461" t="e">
        <f>Tabella1[[#This Row],[superificie]]*Resa</f>
        <v>#VALUE!</v>
      </c>
      <c r="P461" t="e">
        <f>Tabella1[[#This Row],[KgPezzo]]*Tabella1[[#This Row],[q.ta offerta]]</f>
        <v>#VALUE!</v>
      </c>
      <c r="Q461" t="e">
        <f>RigheOfferte[[#This Row],[QtaProtez]]</f>
        <v>#VALUE!</v>
      </c>
      <c r="R461" t="e">
        <f>RigheOfferte[[#This Row],[Tipo Protezione]]</f>
        <v>#VALUE!</v>
      </c>
    </row>
    <row r="462" spans="1:18">
      <c r="A462" t="e">
        <f>RigheOfferte[[#This Row],[Nprev]]</f>
        <v>#VALUE!</v>
      </c>
      <c r="B462" t="e">
        <f>RigheOfferte[[#This Row],[Nriga]]</f>
        <v>#VALUE!</v>
      </c>
      <c r="C462" t="e">
        <f>RigheOfferte[[#This Row],[Cliente]]</f>
        <v>#VALUE!</v>
      </c>
      <c r="D462" t="e">
        <f>RigheOfferte[[#This Row],[sub_cliente]]</f>
        <v>#VALUE!</v>
      </c>
      <c r="E462" t="e">
        <f>RigheOfferte[[#This Row],[cod.Art.]]</f>
        <v>#VALUE!</v>
      </c>
      <c r="F462" t="e">
        <f>RigheOfferte[[#This Row],[Descrizione]]</f>
        <v>#VALUE!</v>
      </c>
      <c r="G462" t="e">
        <f>RigheOfferte[[#This Row],[Q.ta'']]</f>
        <v>#VALUE!</v>
      </c>
      <c r="H462" t="e">
        <f>RigheOfferte[[#This Row],[Lavorazione]]</f>
        <v>#VALUE!</v>
      </c>
      <c r="I462" t="e">
        <f>RigheOfferte[[#This Row],[Colore]]</f>
        <v>#VALUE!</v>
      </c>
      <c r="J462" t="e">
        <f>RigheOfferte[[#This Row],[Velocità]]</f>
        <v>#VALUE!</v>
      </c>
      <c r="K462" t="e">
        <f>RigheOfferte[[#This Row],[Superf.pz Mq]]</f>
        <v>#VALUE!</v>
      </c>
      <c r="L462" t="e">
        <f>RigheOfferte[[#This Row],[passo]]</f>
        <v>#VALUE!</v>
      </c>
      <c r="M462" t="e">
        <f>RigheOfferte[[#This Row],[nr.pezzi Telaio]]</f>
        <v>#VALUE!</v>
      </c>
      <c r="N462" t="e">
        <f>RigheOfferte[[#This Row],[nr.pezzi ora-unita]]</f>
        <v>#VALUE!</v>
      </c>
      <c r="O462" t="e">
        <f>Tabella1[[#This Row],[superificie]]*Resa</f>
        <v>#VALUE!</v>
      </c>
      <c r="P462" t="e">
        <f>Tabella1[[#This Row],[KgPezzo]]*Tabella1[[#This Row],[q.ta offerta]]</f>
        <v>#VALUE!</v>
      </c>
      <c r="Q462" t="e">
        <f>RigheOfferte[[#This Row],[QtaProtez]]</f>
        <v>#VALUE!</v>
      </c>
      <c r="R462" t="e">
        <f>RigheOfferte[[#This Row],[Tipo Protezione]]</f>
        <v>#VALUE!</v>
      </c>
    </row>
    <row r="463" spans="1:18">
      <c r="A463" t="e">
        <f>RigheOfferte[[#This Row],[Nprev]]</f>
        <v>#VALUE!</v>
      </c>
      <c r="B463" t="e">
        <f>RigheOfferte[[#This Row],[Nriga]]</f>
        <v>#VALUE!</v>
      </c>
      <c r="C463" t="e">
        <f>RigheOfferte[[#This Row],[Cliente]]</f>
        <v>#VALUE!</v>
      </c>
      <c r="D463" t="e">
        <f>RigheOfferte[[#This Row],[sub_cliente]]</f>
        <v>#VALUE!</v>
      </c>
      <c r="E463" t="e">
        <f>RigheOfferte[[#This Row],[cod.Art.]]</f>
        <v>#VALUE!</v>
      </c>
      <c r="F463" t="e">
        <f>RigheOfferte[[#This Row],[Descrizione]]</f>
        <v>#VALUE!</v>
      </c>
      <c r="G463" t="e">
        <f>RigheOfferte[[#This Row],[Q.ta'']]</f>
        <v>#VALUE!</v>
      </c>
      <c r="H463" t="e">
        <f>RigheOfferte[[#This Row],[Lavorazione]]</f>
        <v>#VALUE!</v>
      </c>
      <c r="I463" t="e">
        <f>RigheOfferte[[#This Row],[Colore]]</f>
        <v>#VALUE!</v>
      </c>
      <c r="J463" t="e">
        <f>RigheOfferte[[#This Row],[Velocità]]</f>
        <v>#VALUE!</v>
      </c>
      <c r="K463" t="e">
        <f>RigheOfferte[[#This Row],[Superf.pz Mq]]</f>
        <v>#VALUE!</v>
      </c>
      <c r="L463" t="e">
        <f>RigheOfferte[[#This Row],[passo]]</f>
        <v>#VALUE!</v>
      </c>
      <c r="M463" t="e">
        <f>RigheOfferte[[#This Row],[nr.pezzi Telaio]]</f>
        <v>#VALUE!</v>
      </c>
      <c r="N463" t="e">
        <f>RigheOfferte[[#This Row],[nr.pezzi ora-unita]]</f>
        <v>#VALUE!</v>
      </c>
      <c r="O463" t="e">
        <f>Tabella1[[#This Row],[superificie]]*Resa</f>
        <v>#VALUE!</v>
      </c>
      <c r="P463" t="e">
        <f>Tabella1[[#This Row],[KgPezzo]]*Tabella1[[#This Row],[q.ta offerta]]</f>
        <v>#VALUE!</v>
      </c>
      <c r="Q463" t="e">
        <f>RigheOfferte[[#This Row],[QtaProtez]]</f>
        <v>#VALUE!</v>
      </c>
      <c r="R463" t="e">
        <f>RigheOfferte[[#This Row],[Tipo Protezione]]</f>
        <v>#VALUE!</v>
      </c>
    </row>
    <row r="464" spans="1:18">
      <c r="A464" t="e">
        <f>RigheOfferte[[#This Row],[Nprev]]</f>
        <v>#VALUE!</v>
      </c>
      <c r="B464" t="e">
        <f>RigheOfferte[[#This Row],[Nriga]]</f>
        <v>#VALUE!</v>
      </c>
      <c r="C464" t="e">
        <f>RigheOfferte[[#This Row],[Cliente]]</f>
        <v>#VALUE!</v>
      </c>
      <c r="D464" t="e">
        <f>RigheOfferte[[#This Row],[sub_cliente]]</f>
        <v>#VALUE!</v>
      </c>
      <c r="E464" t="e">
        <f>RigheOfferte[[#This Row],[cod.Art.]]</f>
        <v>#VALUE!</v>
      </c>
      <c r="F464" t="e">
        <f>RigheOfferte[[#This Row],[Descrizione]]</f>
        <v>#VALUE!</v>
      </c>
      <c r="G464" t="e">
        <f>RigheOfferte[[#This Row],[Q.ta'']]</f>
        <v>#VALUE!</v>
      </c>
      <c r="H464" t="e">
        <f>RigheOfferte[[#This Row],[Lavorazione]]</f>
        <v>#VALUE!</v>
      </c>
      <c r="I464" t="e">
        <f>RigheOfferte[[#This Row],[Colore]]</f>
        <v>#VALUE!</v>
      </c>
      <c r="J464" t="e">
        <f>RigheOfferte[[#This Row],[Velocità]]</f>
        <v>#VALUE!</v>
      </c>
      <c r="K464" t="e">
        <f>RigheOfferte[[#This Row],[Superf.pz Mq]]</f>
        <v>#VALUE!</v>
      </c>
      <c r="L464" t="e">
        <f>RigheOfferte[[#This Row],[passo]]</f>
        <v>#VALUE!</v>
      </c>
      <c r="M464" t="e">
        <f>RigheOfferte[[#This Row],[nr.pezzi Telaio]]</f>
        <v>#VALUE!</v>
      </c>
      <c r="N464" t="e">
        <f>RigheOfferte[[#This Row],[nr.pezzi ora-unita]]</f>
        <v>#VALUE!</v>
      </c>
      <c r="O464" t="e">
        <f>Tabella1[[#This Row],[superificie]]*Resa</f>
        <v>#VALUE!</v>
      </c>
      <c r="P464" t="e">
        <f>Tabella1[[#This Row],[KgPezzo]]*Tabella1[[#This Row],[q.ta offerta]]</f>
        <v>#VALUE!</v>
      </c>
      <c r="Q464" t="e">
        <f>RigheOfferte[[#This Row],[QtaProtez]]</f>
        <v>#VALUE!</v>
      </c>
      <c r="R464" t="e">
        <f>RigheOfferte[[#This Row],[Tipo Protezione]]</f>
        <v>#VALUE!</v>
      </c>
    </row>
    <row r="465" spans="1:18">
      <c r="A465" t="e">
        <f>RigheOfferte[[#This Row],[Nprev]]</f>
        <v>#VALUE!</v>
      </c>
      <c r="B465" t="e">
        <f>RigheOfferte[[#This Row],[Nriga]]</f>
        <v>#VALUE!</v>
      </c>
      <c r="C465" t="e">
        <f>RigheOfferte[[#This Row],[Cliente]]</f>
        <v>#VALUE!</v>
      </c>
      <c r="D465" t="e">
        <f>RigheOfferte[[#This Row],[sub_cliente]]</f>
        <v>#VALUE!</v>
      </c>
      <c r="E465" t="e">
        <f>RigheOfferte[[#This Row],[cod.Art.]]</f>
        <v>#VALUE!</v>
      </c>
      <c r="F465" t="e">
        <f>RigheOfferte[[#This Row],[Descrizione]]</f>
        <v>#VALUE!</v>
      </c>
      <c r="G465" t="e">
        <f>RigheOfferte[[#This Row],[Q.ta'']]</f>
        <v>#VALUE!</v>
      </c>
      <c r="H465" t="e">
        <f>RigheOfferte[[#This Row],[Lavorazione]]</f>
        <v>#VALUE!</v>
      </c>
      <c r="I465" t="e">
        <f>RigheOfferte[[#This Row],[Colore]]</f>
        <v>#VALUE!</v>
      </c>
      <c r="J465" t="e">
        <f>RigheOfferte[[#This Row],[Velocità]]</f>
        <v>#VALUE!</v>
      </c>
      <c r="K465" t="e">
        <f>RigheOfferte[[#This Row],[Superf.pz Mq]]</f>
        <v>#VALUE!</v>
      </c>
      <c r="L465" t="e">
        <f>RigheOfferte[[#This Row],[passo]]</f>
        <v>#VALUE!</v>
      </c>
      <c r="M465" t="e">
        <f>RigheOfferte[[#This Row],[nr.pezzi Telaio]]</f>
        <v>#VALUE!</v>
      </c>
      <c r="N465" t="e">
        <f>RigheOfferte[[#This Row],[nr.pezzi ora-unita]]</f>
        <v>#VALUE!</v>
      </c>
      <c r="O465" t="e">
        <f>Tabella1[[#This Row],[superificie]]*Resa</f>
        <v>#VALUE!</v>
      </c>
      <c r="P465" t="e">
        <f>Tabella1[[#This Row],[KgPezzo]]*Tabella1[[#This Row],[q.ta offerta]]</f>
        <v>#VALUE!</v>
      </c>
      <c r="Q465" t="e">
        <f>RigheOfferte[[#This Row],[QtaProtez]]</f>
        <v>#VALUE!</v>
      </c>
      <c r="R465" t="e">
        <f>RigheOfferte[[#This Row],[Tipo Protezione]]</f>
        <v>#VALUE!</v>
      </c>
    </row>
    <row r="466" spans="1:18">
      <c r="A466" t="e">
        <f>RigheOfferte[[#This Row],[Nprev]]</f>
        <v>#VALUE!</v>
      </c>
      <c r="B466" t="e">
        <f>RigheOfferte[[#This Row],[Nriga]]</f>
        <v>#VALUE!</v>
      </c>
      <c r="C466" t="e">
        <f>RigheOfferte[[#This Row],[Cliente]]</f>
        <v>#VALUE!</v>
      </c>
      <c r="D466" t="e">
        <f>RigheOfferte[[#This Row],[sub_cliente]]</f>
        <v>#VALUE!</v>
      </c>
      <c r="E466" t="e">
        <f>RigheOfferte[[#This Row],[cod.Art.]]</f>
        <v>#VALUE!</v>
      </c>
      <c r="F466" t="e">
        <f>RigheOfferte[[#This Row],[Descrizione]]</f>
        <v>#VALUE!</v>
      </c>
      <c r="G466" t="e">
        <f>RigheOfferte[[#This Row],[Q.ta'']]</f>
        <v>#VALUE!</v>
      </c>
      <c r="H466" t="e">
        <f>RigheOfferte[[#This Row],[Lavorazione]]</f>
        <v>#VALUE!</v>
      </c>
      <c r="I466" t="e">
        <f>RigheOfferte[[#This Row],[Colore]]</f>
        <v>#VALUE!</v>
      </c>
      <c r="J466" t="e">
        <f>RigheOfferte[[#This Row],[Velocità]]</f>
        <v>#VALUE!</v>
      </c>
      <c r="K466" t="e">
        <f>RigheOfferte[[#This Row],[Superf.pz Mq]]</f>
        <v>#VALUE!</v>
      </c>
      <c r="L466" t="e">
        <f>RigheOfferte[[#This Row],[passo]]</f>
        <v>#VALUE!</v>
      </c>
      <c r="M466" t="e">
        <f>RigheOfferte[[#This Row],[nr.pezzi Telaio]]</f>
        <v>#VALUE!</v>
      </c>
      <c r="N466" t="e">
        <f>RigheOfferte[[#This Row],[nr.pezzi ora-unita]]</f>
        <v>#VALUE!</v>
      </c>
      <c r="O466" t="e">
        <f>Tabella1[[#This Row],[superificie]]*Resa</f>
        <v>#VALUE!</v>
      </c>
      <c r="P466" t="e">
        <f>Tabella1[[#This Row],[KgPezzo]]*Tabella1[[#This Row],[q.ta offerta]]</f>
        <v>#VALUE!</v>
      </c>
      <c r="Q466" t="e">
        <f>RigheOfferte[[#This Row],[QtaProtez]]</f>
        <v>#VALUE!</v>
      </c>
      <c r="R466" t="e">
        <f>RigheOfferte[[#This Row],[Tipo Protezione]]</f>
        <v>#VALUE!</v>
      </c>
    </row>
    <row r="467" spans="1:18">
      <c r="A467" t="e">
        <f>RigheOfferte[[#This Row],[Nprev]]</f>
        <v>#VALUE!</v>
      </c>
      <c r="B467" t="e">
        <f>RigheOfferte[[#This Row],[Nriga]]</f>
        <v>#VALUE!</v>
      </c>
      <c r="C467" t="e">
        <f>RigheOfferte[[#This Row],[Cliente]]</f>
        <v>#VALUE!</v>
      </c>
      <c r="D467" t="e">
        <f>RigheOfferte[[#This Row],[sub_cliente]]</f>
        <v>#VALUE!</v>
      </c>
      <c r="E467" t="e">
        <f>RigheOfferte[[#This Row],[cod.Art.]]</f>
        <v>#VALUE!</v>
      </c>
      <c r="F467" t="e">
        <f>RigheOfferte[[#This Row],[Descrizione]]</f>
        <v>#VALUE!</v>
      </c>
      <c r="G467" t="e">
        <f>RigheOfferte[[#This Row],[Q.ta'']]</f>
        <v>#VALUE!</v>
      </c>
      <c r="H467" t="e">
        <f>RigheOfferte[[#This Row],[Lavorazione]]</f>
        <v>#VALUE!</v>
      </c>
      <c r="I467" t="e">
        <f>RigheOfferte[[#This Row],[Colore]]</f>
        <v>#VALUE!</v>
      </c>
      <c r="J467" t="e">
        <f>RigheOfferte[[#This Row],[Velocità]]</f>
        <v>#VALUE!</v>
      </c>
      <c r="K467" t="e">
        <f>RigheOfferte[[#This Row],[Superf.pz Mq]]</f>
        <v>#VALUE!</v>
      </c>
      <c r="L467" t="e">
        <f>RigheOfferte[[#This Row],[passo]]</f>
        <v>#VALUE!</v>
      </c>
      <c r="M467" t="e">
        <f>RigheOfferte[[#This Row],[nr.pezzi Telaio]]</f>
        <v>#VALUE!</v>
      </c>
      <c r="N467" t="e">
        <f>RigheOfferte[[#This Row],[nr.pezzi ora-unita]]</f>
        <v>#VALUE!</v>
      </c>
      <c r="O467" t="e">
        <f>Tabella1[[#This Row],[superificie]]*Resa</f>
        <v>#VALUE!</v>
      </c>
      <c r="P467" t="e">
        <f>Tabella1[[#This Row],[KgPezzo]]*Tabella1[[#This Row],[q.ta offerta]]</f>
        <v>#VALUE!</v>
      </c>
      <c r="Q467" t="e">
        <f>RigheOfferte[[#This Row],[QtaProtez]]</f>
        <v>#VALUE!</v>
      </c>
      <c r="R467" t="e">
        <f>RigheOfferte[[#This Row],[Tipo Protezione]]</f>
        <v>#VALUE!</v>
      </c>
    </row>
    <row r="468" spans="1:18">
      <c r="A468" t="e">
        <f>RigheOfferte[[#This Row],[Nprev]]</f>
        <v>#VALUE!</v>
      </c>
      <c r="B468" t="e">
        <f>RigheOfferte[[#This Row],[Nriga]]</f>
        <v>#VALUE!</v>
      </c>
      <c r="C468" t="e">
        <f>RigheOfferte[[#This Row],[Cliente]]</f>
        <v>#VALUE!</v>
      </c>
      <c r="D468" t="e">
        <f>RigheOfferte[[#This Row],[sub_cliente]]</f>
        <v>#VALUE!</v>
      </c>
      <c r="E468" t="e">
        <f>RigheOfferte[[#This Row],[cod.Art.]]</f>
        <v>#VALUE!</v>
      </c>
      <c r="F468" t="e">
        <f>RigheOfferte[[#This Row],[Descrizione]]</f>
        <v>#VALUE!</v>
      </c>
      <c r="G468" t="e">
        <f>RigheOfferte[[#This Row],[Q.ta'']]</f>
        <v>#VALUE!</v>
      </c>
      <c r="H468" t="e">
        <f>RigheOfferte[[#This Row],[Lavorazione]]</f>
        <v>#VALUE!</v>
      </c>
      <c r="I468" t="e">
        <f>RigheOfferte[[#This Row],[Colore]]</f>
        <v>#VALUE!</v>
      </c>
      <c r="J468" t="e">
        <f>RigheOfferte[[#This Row],[Velocità]]</f>
        <v>#VALUE!</v>
      </c>
      <c r="K468" t="e">
        <f>RigheOfferte[[#This Row],[Superf.pz Mq]]</f>
        <v>#VALUE!</v>
      </c>
      <c r="L468" t="e">
        <f>RigheOfferte[[#This Row],[passo]]</f>
        <v>#VALUE!</v>
      </c>
      <c r="M468" t="e">
        <f>RigheOfferte[[#This Row],[nr.pezzi Telaio]]</f>
        <v>#VALUE!</v>
      </c>
      <c r="N468" t="e">
        <f>RigheOfferte[[#This Row],[nr.pezzi ora-unita]]</f>
        <v>#VALUE!</v>
      </c>
      <c r="O468" t="e">
        <f>Tabella1[[#This Row],[superificie]]*Resa</f>
        <v>#VALUE!</v>
      </c>
      <c r="P468" t="e">
        <f>Tabella1[[#This Row],[KgPezzo]]*Tabella1[[#This Row],[q.ta offerta]]</f>
        <v>#VALUE!</v>
      </c>
      <c r="Q468" t="e">
        <f>RigheOfferte[[#This Row],[QtaProtez]]</f>
        <v>#VALUE!</v>
      </c>
      <c r="R468" t="e">
        <f>RigheOfferte[[#This Row],[Tipo Protezione]]</f>
        <v>#VALUE!</v>
      </c>
    </row>
    <row r="469" spans="1:18">
      <c r="A469" t="e">
        <f>RigheOfferte[[#This Row],[Nprev]]</f>
        <v>#VALUE!</v>
      </c>
      <c r="B469" t="e">
        <f>RigheOfferte[[#This Row],[Nriga]]</f>
        <v>#VALUE!</v>
      </c>
      <c r="C469" t="e">
        <f>RigheOfferte[[#This Row],[Cliente]]</f>
        <v>#VALUE!</v>
      </c>
      <c r="D469" t="e">
        <f>RigheOfferte[[#This Row],[sub_cliente]]</f>
        <v>#VALUE!</v>
      </c>
      <c r="E469" t="e">
        <f>RigheOfferte[[#This Row],[cod.Art.]]</f>
        <v>#VALUE!</v>
      </c>
      <c r="F469" t="e">
        <f>RigheOfferte[[#This Row],[Descrizione]]</f>
        <v>#VALUE!</v>
      </c>
      <c r="G469" t="e">
        <f>RigheOfferte[[#This Row],[Q.ta'']]</f>
        <v>#VALUE!</v>
      </c>
      <c r="H469" t="e">
        <f>RigheOfferte[[#This Row],[Lavorazione]]</f>
        <v>#VALUE!</v>
      </c>
      <c r="I469" t="e">
        <f>RigheOfferte[[#This Row],[Colore]]</f>
        <v>#VALUE!</v>
      </c>
      <c r="J469" t="e">
        <f>RigheOfferte[[#This Row],[Velocità]]</f>
        <v>#VALUE!</v>
      </c>
      <c r="K469" t="e">
        <f>RigheOfferte[[#This Row],[Superf.pz Mq]]</f>
        <v>#VALUE!</v>
      </c>
      <c r="L469" t="e">
        <f>RigheOfferte[[#This Row],[passo]]</f>
        <v>#VALUE!</v>
      </c>
      <c r="M469" t="e">
        <f>RigheOfferte[[#This Row],[nr.pezzi Telaio]]</f>
        <v>#VALUE!</v>
      </c>
      <c r="N469" t="e">
        <f>RigheOfferte[[#This Row],[nr.pezzi ora-unita]]</f>
        <v>#VALUE!</v>
      </c>
      <c r="O469" t="e">
        <f>Tabella1[[#This Row],[superificie]]*Resa</f>
        <v>#VALUE!</v>
      </c>
      <c r="P469" t="e">
        <f>Tabella1[[#This Row],[KgPezzo]]*Tabella1[[#This Row],[q.ta offerta]]</f>
        <v>#VALUE!</v>
      </c>
      <c r="Q469" t="e">
        <f>RigheOfferte[[#This Row],[QtaProtez]]</f>
        <v>#VALUE!</v>
      </c>
      <c r="R469" t="e">
        <f>RigheOfferte[[#This Row],[Tipo Protezione]]</f>
        <v>#VALUE!</v>
      </c>
    </row>
    <row r="470" spans="1:18">
      <c r="A470" t="e">
        <f>RigheOfferte[[#This Row],[Nprev]]</f>
        <v>#VALUE!</v>
      </c>
      <c r="B470" t="e">
        <f>RigheOfferte[[#This Row],[Nriga]]</f>
        <v>#VALUE!</v>
      </c>
      <c r="C470" t="e">
        <f>RigheOfferte[[#This Row],[Cliente]]</f>
        <v>#VALUE!</v>
      </c>
      <c r="D470" t="e">
        <f>RigheOfferte[[#This Row],[sub_cliente]]</f>
        <v>#VALUE!</v>
      </c>
      <c r="E470" t="e">
        <f>RigheOfferte[[#This Row],[cod.Art.]]</f>
        <v>#VALUE!</v>
      </c>
      <c r="F470" t="e">
        <f>RigheOfferte[[#This Row],[Descrizione]]</f>
        <v>#VALUE!</v>
      </c>
      <c r="G470" t="e">
        <f>RigheOfferte[[#This Row],[Q.ta'']]</f>
        <v>#VALUE!</v>
      </c>
      <c r="H470" t="e">
        <f>RigheOfferte[[#This Row],[Lavorazione]]</f>
        <v>#VALUE!</v>
      </c>
      <c r="I470" t="e">
        <f>RigheOfferte[[#This Row],[Colore]]</f>
        <v>#VALUE!</v>
      </c>
      <c r="J470" t="e">
        <f>RigheOfferte[[#This Row],[Velocità]]</f>
        <v>#VALUE!</v>
      </c>
      <c r="K470" t="e">
        <f>RigheOfferte[[#This Row],[Superf.pz Mq]]</f>
        <v>#VALUE!</v>
      </c>
      <c r="L470" t="e">
        <f>RigheOfferte[[#This Row],[passo]]</f>
        <v>#VALUE!</v>
      </c>
      <c r="M470" t="e">
        <f>RigheOfferte[[#This Row],[nr.pezzi Telaio]]</f>
        <v>#VALUE!</v>
      </c>
      <c r="N470" t="e">
        <f>RigheOfferte[[#This Row],[nr.pezzi ora-unita]]</f>
        <v>#VALUE!</v>
      </c>
      <c r="O470" t="e">
        <f>Tabella1[[#This Row],[superificie]]*Resa</f>
        <v>#VALUE!</v>
      </c>
      <c r="P470" t="e">
        <f>Tabella1[[#This Row],[KgPezzo]]*Tabella1[[#This Row],[q.ta offerta]]</f>
        <v>#VALUE!</v>
      </c>
      <c r="Q470" t="e">
        <f>RigheOfferte[[#This Row],[QtaProtez]]</f>
        <v>#VALUE!</v>
      </c>
      <c r="R470" t="e">
        <f>RigheOfferte[[#This Row],[Tipo Protezione]]</f>
        <v>#VALUE!</v>
      </c>
    </row>
    <row r="471" spans="1:18">
      <c r="A471" t="e">
        <f>RigheOfferte[[#This Row],[Nprev]]</f>
        <v>#VALUE!</v>
      </c>
      <c r="B471" t="e">
        <f>RigheOfferte[[#This Row],[Nriga]]</f>
        <v>#VALUE!</v>
      </c>
      <c r="C471" t="e">
        <f>RigheOfferte[[#This Row],[Cliente]]</f>
        <v>#VALUE!</v>
      </c>
      <c r="D471" t="e">
        <f>RigheOfferte[[#This Row],[sub_cliente]]</f>
        <v>#VALUE!</v>
      </c>
      <c r="E471" t="e">
        <f>RigheOfferte[[#This Row],[cod.Art.]]</f>
        <v>#VALUE!</v>
      </c>
      <c r="F471" t="e">
        <f>RigheOfferte[[#This Row],[Descrizione]]</f>
        <v>#VALUE!</v>
      </c>
      <c r="G471" t="e">
        <f>RigheOfferte[[#This Row],[Q.ta'']]</f>
        <v>#VALUE!</v>
      </c>
      <c r="H471" t="e">
        <f>RigheOfferte[[#This Row],[Lavorazione]]</f>
        <v>#VALUE!</v>
      </c>
      <c r="I471" t="e">
        <f>RigheOfferte[[#This Row],[Colore]]</f>
        <v>#VALUE!</v>
      </c>
      <c r="J471" t="e">
        <f>RigheOfferte[[#This Row],[Velocità]]</f>
        <v>#VALUE!</v>
      </c>
      <c r="K471" t="e">
        <f>RigheOfferte[[#This Row],[Superf.pz Mq]]</f>
        <v>#VALUE!</v>
      </c>
      <c r="L471" t="e">
        <f>RigheOfferte[[#This Row],[passo]]</f>
        <v>#VALUE!</v>
      </c>
      <c r="M471" t="e">
        <f>RigheOfferte[[#This Row],[nr.pezzi Telaio]]</f>
        <v>#VALUE!</v>
      </c>
      <c r="N471" t="e">
        <f>RigheOfferte[[#This Row],[nr.pezzi ora-unita]]</f>
        <v>#VALUE!</v>
      </c>
      <c r="O471" t="e">
        <f>Tabella1[[#This Row],[superificie]]*Resa</f>
        <v>#VALUE!</v>
      </c>
      <c r="P471" t="e">
        <f>Tabella1[[#This Row],[KgPezzo]]*Tabella1[[#This Row],[q.ta offerta]]</f>
        <v>#VALUE!</v>
      </c>
      <c r="Q471" t="e">
        <f>RigheOfferte[[#This Row],[QtaProtez]]</f>
        <v>#VALUE!</v>
      </c>
      <c r="R471" t="e">
        <f>RigheOfferte[[#This Row],[Tipo Protezione]]</f>
        <v>#VALUE!</v>
      </c>
    </row>
    <row r="472" spans="1:18">
      <c r="A472" t="e">
        <f>RigheOfferte[[#This Row],[Nprev]]</f>
        <v>#VALUE!</v>
      </c>
      <c r="B472" t="e">
        <f>RigheOfferte[[#This Row],[Nriga]]</f>
        <v>#VALUE!</v>
      </c>
      <c r="C472" t="e">
        <f>RigheOfferte[[#This Row],[Cliente]]</f>
        <v>#VALUE!</v>
      </c>
      <c r="D472" t="e">
        <f>RigheOfferte[[#This Row],[sub_cliente]]</f>
        <v>#VALUE!</v>
      </c>
      <c r="E472" t="e">
        <f>RigheOfferte[[#This Row],[cod.Art.]]</f>
        <v>#VALUE!</v>
      </c>
      <c r="F472" t="e">
        <f>RigheOfferte[[#This Row],[Descrizione]]</f>
        <v>#VALUE!</v>
      </c>
      <c r="G472" t="e">
        <f>RigheOfferte[[#This Row],[Q.ta'']]</f>
        <v>#VALUE!</v>
      </c>
      <c r="H472" t="e">
        <f>RigheOfferte[[#This Row],[Lavorazione]]</f>
        <v>#VALUE!</v>
      </c>
      <c r="I472" t="e">
        <f>RigheOfferte[[#This Row],[Colore]]</f>
        <v>#VALUE!</v>
      </c>
      <c r="J472" t="e">
        <f>RigheOfferte[[#This Row],[Velocità]]</f>
        <v>#VALUE!</v>
      </c>
      <c r="K472" t="e">
        <f>RigheOfferte[[#This Row],[Superf.pz Mq]]</f>
        <v>#VALUE!</v>
      </c>
      <c r="L472" t="e">
        <f>RigheOfferte[[#This Row],[passo]]</f>
        <v>#VALUE!</v>
      </c>
      <c r="M472" t="e">
        <f>RigheOfferte[[#This Row],[nr.pezzi Telaio]]</f>
        <v>#VALUE!</v>
      </c>
      <c r="N472" t="e">
        <f>RigheOfferte[[#This Row],[nr.pezzi ora-unita]]</f>
        <v>#VALUE!</v>
      </c>
      <c r="O472" t="e">
        <f>Tabella1[[#This Row],[superificie]]*Resa</f>
        <v>#VALUE!</v>
      </c>
      <c r="P472" t="e">
        <f>Tabella1[[#This Row],[KgPezzo]]*Tabella1[[#This Row],[q.ta offerta]]</f>
        <v>#VALUE!</v>
      </c>
      <c r="Q472" t="e">
        <f>RigheOfferte[[#This Row],[QtaProtez]]</f>
        <v>#VALUE!</v>
      </c>
      <c r="R472" t="e">
        <f>RigheOfferte[[#This Row],[Tipo Protezione]]</f>
        <v>#VALUE!</v>
      </c>
    </row>
    <row r="473" spans="1:18">
      <c r="A473" t="e">
        <f>RigheOfferte[[#This Row],[Nprev]]</f>
        <v>#VALUE!</v>
      </c>
      <c r="B473" t="e">
        <f>RigheOfferte[[#This Row],[Nriga]]</f>
        <v>#VALUE!</v>
      </c>
      <c r="C473" t="e">
        <f>RigheOfferte[[#This Row],[Cliente]]</f>
        <v>#VALUE!</v>
      </c>
      <c r="D473" t="e">
        <f>RigheOfferte[[#This Row],[sub_cliente]]</f>
        <v>#VALUE!</v>
      </c>
      <c r="E473" t="e">
        <f>RigheOfferte[[#This Row],[cod.Art.]]</f>
        <v>#VALUE!</v>
      </c>
      <c r="F473" t="e">
        <f>RigheOfferte[[#This Row],[Descrizione]]</f>
        <v>#VALUE!</v>
      </c>
      <c r="G473" t="e">
        <f>RigheOfferte[[#This Row],[Q.ta'']]</f>
        <v>#VALUE!</v>
      </c>
      <c r="H473" t="e">
        <f>RigheOfferte[[#This Row],[Lavorazione]]</f>
        <v>#VALUE!</v>
      </c>
      <c r="I473" t="e">
        <f>RigheOfferte[[#This Row],[Colore]]</f>
        <v>#VALUE!</v>
      </c>
      <c r="J473" t="e">
        <f>RigheOfferte[[#This Row],[Velocità]]</f>
        <v>#VALUE!</v>
      </c>
      <c r="K473" t="e">
        <f>RigheOfferte[[#This Row],[Superf.pz Mq]]</f>
        <v>#VALUE!</v>
      </c>
      <c r="L473" t="e">
        <f>RigheOfferte[[#This Row],[passo]]</f>
        <v>#VALUE!</v>
      </c>
      <c r="M473" t="e">
        <f>RigheOfferte[[#This Row],[nr.pezzi Telaio]]</f>
        <v>#VALUE!</v>
      </c>
      <c r="N473" t="e">
        <f>RigheOfferte[[#This Row],[nr.pezzi ora-unita]]</f>
        <v>#VALUE!</v>
      </c>
      <c r="O473" t="e">
        <f>Tabella1[[#This Row],[superificie]]*Resa</f>
        <v>#VALUE!</v>
      </c>
      <c r="P473" t="e">
        <f>Tabella1[[#This Row],[KgPezzo]]*Tabella1[[#This Row],[q.ta offerta]]</f>
        <v>#VALUE!</v>
      </c>
      <c r="Q473" t="e">
        <f>RigheOfferte[[#This Row],[QtaProtez]]</f>
        <v>#VALUE!</v>
      </c>
      <c r="R473" t="e">
        <f>RigheOfferte[[#This Row],[Tipo Protezione]]</f>
        <v>#VALUE!</v>
      </c>
    </row>
    <row r="474" spans="1:18">
      <c r="A474" t="e">
        <f>RigheOfferte[[#This Row],[Nprev]]</f>
        <v>#VALUE!</v>
      </c>
      <c r="B474" t="e">
        <f>RigheOfferte[[#This Row],[Nriga]]</f>
        <v>#VALUE!</v>
      </c>
      <c r="C474" t="e">
        <f>RigheOfferte[[#This Row],[Cliente]]</f>
        <v>#VALUE!</v>
      </c>
      <c r="D474" t="e">
        <f>RigheOfferte[[#This Row],[sub_cliente]]</f>
        <v>#VALUE!</v>
      </c>
      <c r="E474" t="e">
        <f>RigheOfferte[[#This Row],[cod.Art.]]</f>
        <v>#VALUE!</v>
      </c>
      <c r="F474" t="e">
        <f>RigheOfferte[[#This Row],[Descrizione]]</f>
        <v>#VALUE!</v>
      </c>
      <c r="G474" t="e">
        <f>RigheOfferte[[#This Row],[Q.ta'']]</f>
        <v>#VALUE!</v>
      </c>
      <c r="H474" t="e">
        <f>RigheOfferte[[#This Row],[Lavorazione]]</f>
        <v>#VALUE!</v>
      </c>
      <c r="I474" t="e">
        <f>RigheOfferte[[#This Row],[Colore]]</f>
        <v>#VALUE!</v>
      </c>
      <c r="J474" t="e">
        <f>RigheOfferte[[#This Row],[Velocità]]</f>
        <v>#VALUE!</v>
      </c>
      <c r="K474" t="e">
        <f>RigheOfferte[[#This Row],[Superf.pz Mq]]</f>
        <v>#VALUE!</v>
      </c>
      <c r="L474" t="e">
        <f>RigheOfferte[[#This Row],[passo]]</f>
        <v>#VALUE!</v>
      </c>
      <c r="M474" t="e">
        <f>RigheOfferte[[#This Row],[nr.pezzi Telaio]]</f>
        <v>#VALUE!</v>
      </c>
      <c r="N474" t="e">
        <f>RigheOfferte[[#This Row],[nr.pezzi ora-unita]]</f>
        <v>#VALUE!</v>
      </c>
      <c r="O474" t="e">
        <f>Tabella1[[#This Row],[superificie]]*Resa</f>
        <v>#VALUE!</v>
      </c>
      <c r="P474" t="e">
        <f>Tabella1[[#This Row],[KgPezzo]]*Tabella1[[#This Row],[q.ta offerta]]</f>
        <v>#VALUE!</v>
      </c>
      <c r="Q474" t="e">
        <f>RigheOfferte[[#This Row],[QtaProtez]]</f>
        <v>#VALUE!</v>
      </c>
      <c r="R474" t="e">
        <f>RigheOfferte[[#This Row],[Tipo Protezione]]</f>
        <v>#VALUE!</v>
      </c>
    </row>
    <row r="475" spans="1:18">
      <c r="A475" t="e">
        <f>RigheOfferte[[#This Row],[Nprev]]</f>
        <v>#VALUE!</v>
      </c>
      <c r="B475" t="e">
        <f>RigheOfferte[[#This Row],[Nriga]]</f>
        <v>#VALUE!</v>
      </c>
      <c r="C475" t="e">
        <f>RigheOfferte[[#This Row],[Cliente]]</f>
        <v>#VALUE!</v>
      </c>
      <c r="D475" t="e">
        <f>RigheOfferte[[#This Row],[sub_cliente]]</f>
        <v>#VALUE!</v>
      </c>
      <c r="E475" t="e">
        <f>RigheOfferte[[#This Row],[cod.Art.]]</f>
        <v>#VALUE!</v>
      </c>
      <c r="F475" t="e">
        <f>RigheOfferte[[#This Row],[Descrizione]]</f>
        <v>#VALUE!</v>
      </c>
      <c r="G475" t="e">
        <f>RigheOfferte[[#This Row],[Q.ta'']]</f>
        <v>#VALUE!</v>
      </c>
      <c r="H475" t="e">
        <f>RigheOfferte[[#This Row],[Lavorazione]]</f>
        <v>#VALUE!</v>
      </c>
      <c r="I475" t="e">
        <f>RigheOfferte[[#This Row],[Colore]]</f>
        <v>#VALUE!</v>
      </c>
      <c r="J475" t="e">
        <f>RigheOfferte[[#This Row],[Velocità]]</f>
        <v>#VALUE!</v>
      </c>
      <c r="K475" t="e">
        <f>RigheOfferte[[#This Row],[Superf.pz Mq]]</f>
        <v>#VALUE!</v>
      </c>
      <c r="L475" t="e">
        <f>RigheOfferte[[#This Row],[passo]]</f>
        <v>#VALUE!</v>
      </c>
      <c r="M475" t="e">
        <f>RigheOfferte[[#This Row],[nr.pezzi Telaio]]</f>
        <v>#VALUE!</v>
      </c>
      <c r="N475" t="e">
        <f>RigheOfferte[[#This Row],[nr.pezzi ora-unita]]</f>
        <v>#VALUE!</v>
      </c>
      <c r="O475" t="e">
        <f>Tabella1[[#This Row],[superificie]]*Resa</f>
        <v>#VALUE!</v>
      </c>
      <c r="P475" t="e">
        <f>Tabella1[[#This Row],[KgPezzo]]*Tabella1[[#This Row],[q.ta offerta]]</f>
        <v>#VALUE!</v>
      </c>
      <c r="Q475" t="e">
        <f>RigheOfferte[[#This Row],[QtaProtez]]</f>
        <v>#VALUE!</v>
      </c>
      <c r="R475" t="e">
        <f>RigheOfferte[[#This Row],[Tipo Protezione]]</f>
        <v>#VALUE!</v>
      </c>
    </row>
    <row r="476" spans="1:18">
      <c r="A476" t="e">
        <f>RigheOfferte[[#This Row],[Nprev]]</f>
        <v>#VALUE!</v>
      </c>
      <c r="B476" t="e">
        <f>RigheOfferte[[#This Row],[Nriga]]</f>
        <v>#VALUE!</v>
      </c>
      <c r="C476" t="e">
        <f>RigheOfferte[[#This Row],[Cliente]]</f>
        <v>#VALUE!</v>
      </c>
      <c r="D476" t="e">
        <f>RigheOfferte[[#This Row],[sub_cliente]]</f>
        <v>#VALUE!</v>
      </c>
      <c r="E476" t="e">
        <f>RigheOfferte[[#This Row],[cod.Art.]]</f>
        <v>#VALUE!</v>
      </c>
      <c r="F476" t="e">
        <f>RigheOfferte[[#This Row],[Descrizione]]</f>
        <v>#VALUE!</v>
      </c>
      <c r="G476" t="e">
        <f>RigheOfferte[[#This Row],[Q.ta'']]</f>
        <v>#VALUE!</v>
      </c>
      <c r="H476" t="e">
        <f>RigheOfferte[[#This Row],[Lavorazione]]</f>
        <v>#VALUE!</v>
      </c>
      <c r="I476" t="e">
        <f>RigheOfferte[[#This Row],[Colore]]</f>
        <v>#VALUE!</v>
      </c>
      <c r="J476" t="e">
        <f>RigheOfferte[[#This Row],[Velocità]]</f>
        <v>#VALUE!</v>
      </c>
      <c r="K476" t="e">
        <f>RigheOfferte[[#This Row],[Superf.pz Mq]]</f>
        <v>#VALUE!</v>
      </c>
      <c r="L476" t="e">
        <f>RigheOfferte[[#This Row],[passo]]</f>
        <v>#VALUE!</v>
      </c>
      <c r="M476" t="e">
        <f>RigheOfferte[[#This Row],[nr.pezzi Telaio]]</f>
        <v>#VALUE!</v>
      </c>
      <c r="N476" t="e">
        <f>RigheOfferte[[#This Row],[nr.pezzi ora-unita]]</f>
        <v>#VALUE!</v>
      </c>
      <c r="O476" t="e">
        <f>Tabella1[[#This Row],[superificie]]*Resa</f>
        <v>#VALUE!</v>
      </c>
      <c r="P476" t="e">
        <f>Tabella1[[#This Row],[KgPezzo]]*Tabella1[[#This Row],[q.ta offerta]]</f>
        <v>#VALUE!</v>
      </c>
      <c r="Q476" t="e">
        <f>RigheOfferte[[#This Row],[QtaProtez]]</f>
        <v>#VALUE!</v>
      </c>
      <c r="R476" t="e">
        <f>RigheOfferte[[#This Row],[Tipo Protezione]]</f>
        <v>#VALUE!</v>
      </c>
    </row>
    <row r="477" spans="1:18">
      <c r="A477" t="e">
        <f>RigheOfferte[[#This Row],[Nprev]]</f>
        <v>#VALUE!</v>
      </c>
      <c r="B477" t="e">
        <f>RigheOfferte[[#This Row],[Nriga]]</f>
        <v>#VALUE!</v>
      </c>
      <c r="C477" t="e">
        <f>RigheOfferte[[#This Row],[Cliente]]</f>
        <v>#VALUE!</v>
      </c>
      <c r="D477" t="e">
        <f>RigheOfferte[[#This Row],[sub_cliente]]</f>
        <v>#VALUE!</v>
      </c>
      <c r="E477" t="e">
        <f>RigheOfferte[[#This Row],[cod.Art.]]</f>
        <v>#VALUE!</v>
      </c>
      <c r="F477" t="e">
        <f>RigheOfferte[[#This Row],[Descrizione]]</f>
        <v>#VALUE!</v>
      </c>
      <c r="G477" t="e">
        <f>RigheOfferte[[#This Row],[Q.ta'']]</f>
        <v>#VALUE!</v>
      </c>
      <c r="H477" t="e">
        <f>RigheOfferte[[#This Row],[Lavorazione]]</f>
        <v>#VALUE!</v>
      </c>
      <c r="I477" t="e">
        <f>RigheOfferte[[#This Row],[Colore]]</f>
        <v>#VALUE!</v>
      </c>
      <c r="J477" t="e">
        <f>RigheOfferte[[#This Row],[Velocità]]</f>
        <v>#VALUE!</v>
      </c>
      <c r="K477" t="e">
        <f>RigheOfferte[[#This Row],[Superf.pz Mq]]</f>
        <v>#VALUE!</v>
      </c>
      <c r="L477" t="e">
        <f>RigheOfferte[[#This Row],[passo]]</f>
        <v>#VALUE!</v>
      </c>
      <c r="M477" t="e">
        <f>RigheOfferte[[#This Row],[nr.pezzi Telaio]]</f>
        <v>#VALUE!</v>
      </c>
      <c r="N477" t="e">
        <f>RigheOfferte[[#This Row],[nr.pezzi ora-unita]]</f>
        <v>#VALUE!</v>
      </c>
      <c r="O477" t="e">
        <f>Tabella1[[#This Row],[superificie]]*Resa</f>
        <v>#VALUE!</v>
      </c>
      <c r="P477" t="e">
        <f>Tabella1[[#This Row],[KgPezzo]]*Tabella1[[#This Row],[q.ta offerta]]</f>
        <v>#VALUE!</v>
      </c>
      <c r="Q477" t="e">
        <f>RigheOfferte[[#This Row],[QtaProtez]]</f>
        <v>#VALUE!</v>
      </c>
      <c r="R477" t="e">
        <f>RigheOfferte[[#This Row],[Tipo Protezione]]</f>
        <v>#VALUE!</v>
      </c>
    </row>
    <row r="478" spans="1:18">
      <c r="A478" t="e">
        <f>RigheOfferte[[#This Row],[Nprev]]</f>
        <v>#VALUE!</v>
      </c>
      <c r="B478" t="e">
        <f>RigheOfferte[[#This Row],[Nriga]]</f>
        <v>#VALUE!</v>
      </c>
      <c r="C478" t="e">
        <f>RigheOfferte[[#This Row],[Cliente]]</f>
        <v>#VALUE!</v>
      </c>
      <c r="D478" t="e">
        <f>RigheOfferte[[#This Row],[sub_cliente]]</f>
        <v>#VALUE!</v>
      </c>
      <c r="E478" t="e">
        <f>RigheOfferte[[#This Row],[cod.Art.]]</f>
        <v>#VALUE!</v>
      </c>
      <c r="F478" t="e">
        <f>RigheOfferte[[#This Row],[Descrizione]]</f>
        <v>#VALUE!</v>
      </c>
      <c r="G478" t="e">
        <f>RigheOfferte[[#This Row],[Q.ta'']]</f>
        <v>#VALUE!</v>
      </c>
      <c r="H478" t="e">
        <f>RigheOfferte[[#This Row],[Lavorazione]]</f>
        <v>#VALUE!</v>
      </c>
      <c r="I478" t="e">
        <f>RigheOfferte[[#This Row],[Colore]]</f>
        <v>#VALUE!</v>
      </c>
      <c r="J478" t="e">
        <f>RigheOfferte[[#This Row],[Velocità]]</f>
        <v>#VALUE!</v>
      </c>
      <c r="K478" t="e">
        <f>RigheOfferte[[#This Row],[Superf.pz Mq]]</f>
        <v>#VALUE!</v>
      </c>
      <c r="L478" t="e">
        <f>RigheOfferte[[#This Row],[passo]]</f>
        <v>#VALUE!</v>
      </c>
      <c r="M478" t="e">
        <f>RigheOfferte[[#This Row],[nr.pezzi Telaio]]</f>
        <v>#VALUE!</v>
      </c>
      <c r="N478" t="e">
        <f>RigheOfferte[[#This Row],[nr.pezzi ora-unita]]</f>
        <v>#VALUE!</v>
      </c>
      <c r="O478" t="e">
        <f>Tabella1[[#This Row],[superificie]]*Resa</f>
        <v>#VALUE!</v>
      </c>
      <c r="P478" t="e">
        <f>Tabella1[[#This Row],[KgPezzo]]*Tabella1[[#This Row],[q.ta offerta]]</f>
        <v>#VALUE!</v>
      </c>
      <c r="Q478" t="e">
        <f>RigheOfferte[[#This Row],[QtaProtez]]</f>
        <v>#VALUE!</v>
      </c>
      <c r="R478" t="e">
        <f>RigheOfferte[[#This Row],[Tipo Protezione]]</f>
        <v>#VALUE!</v>
      </c>
    </row>
    <row r="479" spans="1:18">
      <c r="A479" t="e">
        <f>RigheOfferte[[#This Row],[Nprev]]</f>
        <v>#VALUE!</v>
      </c>
      <c r="B479" t="e">
        <f>RigheOfferte[[#This Row],[Nriga]]</f>
        <v>#VALUE!</v>
      </c>
      <c r="C479" t="e">
        <f>RigheOfferte[[#This Row],[Cliente]]</f>
        <v>#VALUE!</v>
      </c>
      <c r="D479" t="e">
        <f>RigheOfferte[[#This Row],[sub_cliente]]</f>
        <v>#VALUE!</v>
      </c>
      <c r="E479" t="e">
        <f>RigheOfferte[[#This Row],[cod.Art.]]</f>
        <v>#VALUE!</v>
      </c>
      <c r="F479" t="e">
        <f>RigheOfferte[[#This Row],[Descrizione]]</f>
        <v>#VALUE!</v>
      </c>
      <c r="G479" t="e">
        <f>RigheOfferte[[#This Row],[Q.ta'']]</f>
        <v>#VALUE!</v>
      </c>
      <c r="H479" t="e">
        <f>RigheOfferte[[#This Row],[Lavorazione]]</f>
        <v>#VALUE!</v>
      </c>
      <c r="I479" t="e">
        <f>RigheOfferte[[#This Row],[Colore]]</f>
        <v>#VALUE!</v>
      </c>
      <c r="J479" t="e">
        <f>RigheOfferte[[#This Row],[Velocità]]</f>
        <v>#VALUE!</v>
      </c>
      <c r="K479" t="e">
        <f>RigheOfferte[[#This Row],[Superf.pz Mq]]</f>
        <v>#VALUE!</v>
      </c>
      <c r="L479" t="e">
        <f>RigheOfferte[[#This Row],[passo]]</f>
        <v>#VALUE!</v>
      </c>
      <c r="M479" t="e">
        <f>RigheOfferte[[#This Row],[nr.pezzi Telaio]]</f>
        <v>#VALUE!</v>
      </c>
      <c r="N479" t="e">
        <f>RigheOfferte[[#This Row],[nr.pezzi ora-unita]]</f>
        <v>#VALUE!</v>
      </c>
      <c r="O479" t="e">
        <f>Tabella1[[#This Row],[superificie]]*Resa</f>
        <v>#VALUE!</v>
      </c>
      <c r="P479" t="e">
        <f>Tabella1[[#This Row],[KgPezzo]]*Tabella1[[#This Row],[q.ta offerta]]</f>
        <v>#VALUE!</v>
      </c>
      <c r="Q479" t="e">
        <f>RigheOfferte[[#This Row],[QtaProtez]]</f>
        <v>#VALUE!</v>
      </c>
      <c r="R479" t="e">
        <f>RigheOfferte[[#This Row],[Tipo Protezione]]</f>
        <v>#VALUE!</v>
      </c>
    </row>
    <row r="480" spans="1:18">
      <c r="A480" t="e">
        <f>RigheOfferte[[#This Row],[Nprev]]</f>
        <v>#VALUE!</v>
      </c>
      <c r="B480" t="e">
        <f>RigheOfferte[[#This Row],[Nriga]]</f>
        <v>#VALUE!</v>
      </c>
      <c r="C480" t="e">
        <f>RigheOfferte[[#This Row],[Cliente]]</f>
        <v>#VALUE!</v>
      </c>
      <c r="D480" t="e">
        <f>RigheOfferte[[#This Row],[sub_cliente]]</f>
        <v>#VALUE!</v>
      </c>
      <c r="E480" t="e">
        <f>RigheOfferte[[#This Row],[cod.Art.]]</f>
        <v>#VALUE!</v>
      </c>
      <c r="F480" t="e">
        <f>RigheOfferte[[#This Row],[Descrizione]]</f>
        <v>#VALUE!</v>
      </c>
      <c r="G480" t="e">
        <f>RigheOfferte[[#This Row],[Q.ta'']]</f>
        <v>#VALUE!</v>
      </c>
      <c r="H480" t="e">
        <f>RigheOfferte[[#This Row],[Lavorazione]]</f>
        <v>#VALUE!</v>
      </c>
      <c r="I480" t="e">
        <f>RigheOfferte[[#This Row],[Colore]]</f>
        <v>#VALUE!</v>
      </c>
      <c r="J480" t="e">
        <f>RigheOfferte[[#This Row],[Velocità]]</f>
        <v>#VALUE!</v>
      </c>
      <c r="K480" t="e">
        <f>RigheOfferte[[#This Row],[Superf.pz Mq]]</f>
        <v>#VALUE!</v>
      </c>
      <c r="L480" t="e">
        <f>RigheOfferte[[#This Row],[passo]]</f>
        <v>#VALUE!</v>
      </c>
      <c r="M480" t="e">
        <f>RigheOfferte[[#This Row],[nr.pezzi Telaio]]</f>
        <v>#VALUE!</v>
      </c>
      <c r="N480" t="e">
        <f>RigheOfferte[[#This Row],[nr.pezzi ora-unita]]</f>
        <v>#VALUE!</v>
      </c>
      <c r="O480" t="e">
        <f>Tabella1[[#This Row],[superificie]]*Resa</f>
        <v>#VALUE!</v>
      </c>
      <c r="P480" t="e">
        <f>Tabella1[[#This Row],[KgPezzo]]*Tabella1[[#This Row],[q.ta offerta]]</f>
        <v>#VALUE!</v>
      </c>
      <c r="Q480" t="e">
        <f>RigheOfferte[[#This Row],[QtaProtez]]</f>
        <v>#VALUE!</v>
      </c>
      <c r="R480" t="e">
        <f>RigheOfferte[[#This Row],[Tipo Protezione]]</f>
        <v>#VALUE!</v>
      </c>
    </row>
    <row r="481" spans="1:18">
      <c r="A481" t="e">
        <f>RigheOfferte[[#This Row],[Nprev]]</f>
        <v>#VALUE!</v>
      </c>
      <c r="B481" t="e">
        <f>RigheOfferte[[#This Row],[Nriga]]</f>
        <v>#VALUE!</v>
      </c>
      <c r="C481" t="e">
        <f>RigheOfferte[[#This Row],[Cliente]]</f>
        <v>#VALUE!</v>
      </c>
      <c r="D481" t="e">
        <f>RigheOfferte[[#This Row],[sub_cliente]]</f>
        <v>#VALUE!</v>
      </c>
      <c r="E481" t="e">
        <f>RigheOfferte[[#This Row],[cod.Art.]]</f>
        <v>#VALUE!</v>
      </c>
      <c r="F481" t="e">
        <f>RigheOfferte[[#This Row],[Descrizione]]</f>
        <v>#VALUE!</v>
      </c>
      <c r="G481" t="e">
        <f>RigheOfferte[[#This Row],[Q.ta'']]</f>
        <v>#VALUE!</v>
      </c>
      <c r="H481" t="e">
        <f>RigheOfferte[[#This Row],[Lavorazione]]</f>
        <v>#VALUE!</v>
      </c>
      <c r="I481" t="e">
        <f>RigheOfferte[[#This Row],[Colore]]</f>
        <v>#VALUE!</v>
      </c>
      <c r="J481" t="e">
        <f>RigheOfferte[[#This Row],[Velocità]]</f>
        <v>#VALUE!</v>
      </c>
      <c r="K481" t="e">
        <f>RigheOfferte[[#This Row],[Superf.pz Mq]]</f>
        <v>#VALUE!</v>
      </c>
      <c r="L481" t="e">
        <f>RigheOfferte[[#This Row],[passo]]</f>
        <v>#VALUE!</v>
      </c>
      <c r="M481" t="e">
        <f>RigheOfferte[[#This Row],[nr.pezzi Telaio]]</f>
        <v>#VALUE!</v>
      </c>
      <c r="N481" t="e">
        <f>RigheOfferte[[#This Row],[nr.pezzi ora-unita]]</f>
        <v>#VALUE!</v>
      </c>
      <c r="O481" t="e">
        <f>Tabella1[[#This Row],[superificie]]*Resa</f>
        <v>#VALUE!</v>
      </c>
      <c r="P481" t="e">
        <f>Tabella1[[#This Row],[KgPezzo]]*Tabella1[[#This Row],[q.ta offerta]]</f>
        <v>#VALUE!</v>
      </c>
      <c r="Q481" t="e">
        <f>RigheOfferte[[#This Row],[QtaProtez]]</f>
        <v>#VALUE!</v>
      </c>
      <c r="R481" t="e">
        <f>RigheOfferte[[#This Row],[Tipo Protezione]]</f>
        <v>#VALUE!</v>
      </c>
    </row>
    <row r="482" spans="1:18">
      <c r="A482" t="e">
        <f>RigheOfferte[[#This Row],[Nprev]]</f>
        <v>#VALUE!</v>
      </c>
      <c r="B482" t="e">
        <f>RigheOfferte[[#This Row],[Nriga]]</f>
        <v>#VALUE!</v>
      </c>
      <c r="C482" t="e">
        <f>RigheOfferte[[#This Row],[Cliente]]</f>
        <v>#VALUE!</v>
      </c>
      <c r="D482" t="e">
        <f>RigheOfferte[[#This Row],[sub_cliente]]</f>
        <v>#VALUE!</v>
      </c>
      <c r="E482" t="e">
        <f>RigheOfferte[[#This Row],[cod.Art.]]</f>
        <v>#VALUE!</v>
      </c>
      <c r="F482" t="e">
        <f>RigheOfferte[[#This Row],[Descrizione]]</f>
        <v>#VALUE!</v>
      </c>
      <c r="G482" t="e">
        <f>RigheOfferte[[#This Row],[Q.ta'']]</f>
        <v>#VALUE!</v>
      </c>
      <c r="H482" t="e">
        <f>RigheOfferte[[#This Row],[Lavorazione]]</f>
        <v>#VALUE!</v>
      </c>
      <c r="I482" t="e">
        <f>RigheOfferte[[#This Row],[Colore]]</f>
        <v>#VALUE!</v>
      </c>
      <c r="J482" t="e">
        <f>RigheOfferte[[#This Row],[Velocità]]</f>
        <v>#VALUE!</v>
      </c>
      <c r="K482" t="e">
        <f>RigheOfferte[[#This Row],[Superf.pz Mq]]</f>
        <v>#VALUE!</v>
      </c>
      <c r="L482" t="e">
        <f>RigheOfferte[[#This Row],[passo]]</f>
        <v>#VALUE!</v>
      </c>
      <c r="M482" t="e">
        <f>RigheOfferte[[#This Row],[nr.pezzi Telaio]]</f>
        <v>#VALUE!</v>
      </c>
      <c r="N482" t="e">
        <f>RigheOfferte[[#This Row],[nr.pezzi ora-unita]]</f>
        <v>#VALUE!</v>
      </c>
      <c r="O482" t="e">
        <f>Tabella1[[#This Row],[superificie]]*Resa</f>
        <v>#VALUE!</v>
      </c>
      <c r="P482" t="e">
        <f>Tabella1[[#This Row],[KgPezzo]]*Tabella1[[#This Row],[q.ta offerta]]</f>
        <v>#VALUE!</v>
      </c>
      <c r="Q482" t="e">
        <f>RigheOfferte[[#This Row],[QtaProtez]]</f>
        <v>#VALUE!</v>
      </c>
      <c r="R482" t="e">
        <f>RigheOfferte[[#This Row],[Tipo Protezione]]</f>
        <v>#VALUE!</v>
      </c>
    </row>
    <row r="483" spans="1:18">
      <c r="A483" t="e">
        <f>RigheOfferte[[#This Row],[Nprev]]</f>
        <v>#VALUE!</v>
      </c>
      <c r="B483" t="e">
        <f>RigheOfferte[[#This Row],[Nriga]]</f>
        <v>#VALUE!</v>
      </c>
      <c r="C483" t="e">
        <f>RigheOfferte[[#This Row],[Cliente]]</f>
        <v>#VALUE!</v>
      </c>
      <c r="D483" t="e">
        <f>RigheOfferte[[#This Row],[sub_cliente]]</f>
        <v>#VALUE!</v>
      </c>
      <c r="E483" t="e">
        <f>RigheOfferte[[#This Row],[cod.Art.]]</f>
        <v>#VALUE!</v>
      </c>
      <c r="F483" t="e">
        <f>RigheOfferte[[#This Row],[Descrizione]]</f>
        <v>#VALUE!</v>
      </c>
      <c r="G483" t="e">
        <f>RigheOfferte[[#This Row],[Q.ta'']]</f>
        <v>#VALUE!</v>
      </c>
      <c r="H483" t="e">
        <f>RigheOfferte[[#This Row],[Lavorazione]]</f>
        <v>#VALUE!</v>
      </c>
      <c r="I483" t="e">
        <f>RigheOfferte[[#This Row],[Colore]]</f>
        <v>#VALUE!</v>
      </c>
      <c r="J483" t="e">
        <f>RigheOfferte[[#This Row],[Velocità]]</f>
        <v>#VALUE!</v>
      </c>
      <c r="K483" t="e">
        <f>RigheOfferte[[#This Row],[Superf.pz Mq]]</f>
        <v>#VALUE!</v>
      </c>
      <c r="L483" t="e">
        <f>RigheOfferte[[#This Row],[passo]]</f>
        <v>#VALUE!</v>
      </c>
      <c r="M483" t="e">
        <f>RigheOfferte[[#This Row],[nr.pezzi Telaio]]</f>
        <v>#VALUE!</v>
      </c>
      <c r="N483" t="e">
        <f>RigheOfferte[[#This Row],[nr.pezzi ora-unita]]</f>
        <v>#VALUE!</v>
      </c>
      <c r="O483" t="e">
        <f>Tabella1[[#This Row],[superificie]]*Resa</f>
        <v>#VALUE!</v>
      </c>
      <c r="P483" t="e">
        <f>Tabella1[[#This Row],[KgPezzo]]*Tabella1[[#This Row],[q.ta offerta]]</f>
        <v>#VALUE!</v>
      </c>
      <c r="Q483" t="e">
        <f>RigheOfferte[[#This Row],[QtaProtez]]</f>
        <v>#VALUE!</v>
      </c>
      <c r="R483" t="e">
        <f>RigheOfferte[[#This Row],[Tipo Protezione]]</f>
        <v>#VALUE!</v>
      </c>
    </row>
    <row r="484" spans="1:18">
      <c r="A484" t="e">
        <f>RigheOfferte[[#This Row],[Nprev]]</f>
        <v>#VALUE!</v>
      </c>
      <c r="B484" t="e">
        <f>RigheOfferte[[#This Row],[Nriga]]</f>
        <v>#VALUE!</v>
      </c>
      <c r="C484" t="e">
        <f>RigheOfferte[[#This Row],[Cliente]]</f>
        <v>#VALUE!</v>
      </c>
      <c r="D484" t="e">
        <f>RigheOfferte[[#This Row],[sub_cliente]]</f>
        <v>#VALUE!</v>
      </c>
      <c r="E484" t="e">
        <f>RigheOfferte[[#This Row],[cod.Art.]]</f>
        <v>#VALUE!</v>
      </c>
      <c r="F484" t="e">
        <f>RigheOfferte[[#This Row],[Descrizione]]</f>
        <v>#VALUE!</v>
      </c>
      <c r="G484" t="e">
        <f>RigheOfferte[[#This Row],[Q.ta'']]</f>
        <v>#VALUE!</v>
      </c>
      <c r="H484" t="e">
        <f>RigheOfferte[[#This Row],[Lavorazione]]</f>
        <v>#VALUE!</v>
      </c>
      <c r="I484" t="e">
        <f>RigheOfferte[[#This Row],[Colore]]</f>
        <v>#VALUE!</v>
      </c>
      <c r="J484" t="e">
        <f>RigheOfferte[[#This Row],[Velocità]]</f>
        <v>#VALUE!</v>
      </c>
      <c r="K484" t="e">
        <f>RigheOfferte[[#This Row],[Superf.pz Mq]]</f>
        <v>#VALUE!</v>
      </c>
      <c r="L484" t="e">
        <f>RigheOfferte[[#This Row],[passo]]</f>
        <v>#VALUE!</v>
      </c>
      <c r="M484" t="e">
        <f>RigheOfferte[[#This Row],[nr.pezzi Telaio]]</f>
        <v>#VALUE!</v>
      </c>
      <c r="N484" t="e">
        <f>RigheOfferte[[#This Row],[nr.pezzi ora-unita]]</f>
        <v>#VALUE!</v>
      </c>
      <c r="O484" t="e">
        <f>Tabella1[[#This Row],[superificie]]*Resa</f>
        <v>#VALUE!</v>
      </c>
      <c r="P484" t="e">
        <f>Tabella1[[#This Row],[KgPezzo]]*Tabella1[[#This Row],[q.ta offerta]]</f>
        <v>#VALUE!</v>
      </c>
      <c r="Q484" t="e">
        <f>RigheOfferte[[#This Row],[QtaProtez]]</f>
        <v>#VALUE!</v>
      </c>
      <c r="R484" t="e">
        <f>RigheOfferte[[#This Row],[Tipo Protezione]]</f>
        <v>#VALUE!</v>
      </c>
    </row>
    <row r="485" spans="1:18">
      <c r="A485" t="e">
        <f>RigheOfferte[[#This Row],[Nprev]]</f>
        <v>#VALUE!</v>
      </c>
      <c r="B485" t="e">
        <f>RigheOfferte[[#This Row],[Nriga]]</f>
        <v>#VALUE!</v>
      </c>
      <c r="C485" t="e">
        <f>RigheOfferte[[#This Row],[Cliente]]</f>
        <v>#VALUE!</v>
      </c>
      <c r="D485" t="e">
        <f>RigheOfferte[[#This Row],[sub_cliente]]</f>
        <v>#VALUE!</v>
      </c>
      <c r="E485" t="e">
        <f>RigheOfferte[[#This Row],[cod.Art.]]</f>
        <v>#VALUE!</v>
      </c>
      <c r="F485" t="e">
        <f>RigheOfferte[[#This Row],[Descrizione]]</f>
        <v>#VALUE!</v>
      </c>
      <c r="G485" t="e">
        <f>RigheOfferte[[#This Row],[Q.ta'']]</f>
        <v>#VALUE!</v>
      </c>
      <c r="H485" t="e">
        <f>RigheOfferte[[#This Row],[Lavorazione]]</f>
        <v>#VALUE!</v>
      </c>
      <c r="I485" t="e">
        <f>RigheOfferte[[#This Row],[Colore]]</f>
        <v>#VALUE!</v>
      </c>
      <c r="J485" t="e">
        <f>RigheOfferte[[#This Row],[Velocità]]</f>
        <v>#VALUE!</v>
      </c>
      <c r="K485" t="e">
        <f>RigheOfferte[[#This Row],[Superf.pz Mq]]</f>
        <v>#VALUE!</v>
      </c>
      <c r="L485" t="e">
        <f>RigheOfferte[[#This Row],[passo]]</f>
        <v>#VALUE!</v>
      </c>
      <c r="M485" t="e">
        <f>RigheOfferte[[#This Row],[nr.pezzi Telaio]]</f>
        <v>#VALUE!</v>
      </c>
      <c r="N485" t="e">
        <f>RigheOfferte[[#This Row],[nr.pezzi ora-unita]]</f>
        <v>#VALUE!</v>
      </c>
      <c r="O485" t="e">
        <f>Tabella1[[#This Row],[superificie]]*Resa</f>
        <v>#VALUE!</v>
      </c>
      <c r="P485" t="e">
        <f>Tabella1[[#This Row],[KgPezzo]]*Tabella1[[#This Row],[q.ta offerta]]</f>
        <v>#VALUE!</v>
      </c>
      <c r="Q485" t="e">
        <f>RigheOfferte[[#This Row],[QtaProtez]]</f>
        <v>#VALUE!</v>
      </c>
      <c r="R485" t="e">
        <f>RigheOfferte[[#This Row],[Tipo Protezione]]</f>
        <v>#VALUE!</v>
      </c>
    </row>
    <row r="486" spans="1:18">
      <c r="A486" t="e">
        <f>RigheOfferte[[#This Row],[Nprev]]</f>
        <v>#VALUE!</v>
      </c>
      <c r="B486" t="e">
        <f>RigheOfferte[[#This Row],[Nriga]]</f>
        <v>#VALUE!</v>
      </c>
      <c r="C486" t="e">
        <f>RigheOfferte[[#This Row],[Cliente]]</f>
        <v>#VALUE!</v>
      </c>
      <c r="D486" t="e">
        <f>RigheOfferte[[#This Row],[sub_cliente]]</f>
        <v>#VALUE!</v>
      </c>
      <c r="E486" t="e">
        <f>RigheOfferte[[#This Row],[cod.Art.]]</f>
        <v>#VALUE!</v>
      </c>
      <c r="F486" t="e">
        <f>RigheOfferte[[#This Row],[Descrizione]]</f>
        <v>#VALUE!</v>
      </c>
      <c r="G486" t="e">
        <f>RigheOfferte[[#This Row],[Q.ta'']]</f>
        <v>#VALUE!</v>
      </c>
      <c r="H486" t="e">
        <f>RigheOfferte[[#This Row],[Lavorazione]]</f>
        <v>#VALUE!</v>
      </c>
      <c r="I486" t="e">
        <f>RigheOfferte[[#This Row],[Colore]]</f>
        <v>#VALUE!</v>
      </c>
      <c r="J486" t="e">
        <f>RigheOfferte[[#This Row],[Velocità]]</f>
        <v>#VALUE!</v>
      </c>
      <c r="K486" t="e">
        <f>RigheOfferte[[#This Row],[Superf.pz Mq]]</f>
        <v>#VALUE!</v>
      </c>
      <c r="L486" t="e">
        <f>RigheOfferte[[#This Row],[passo]]</f>
        <v>#VALUE!</v>
      </c>
      <c r="M486" t="e">
        <f>RigheOfferte[[#This Row],[nr.pezzi Telaio]]</f>
        <v>#VALUE!</v>
      </c>
      <c r="N486" t="e">
        <f>RigheOfferte[[#This Row],[nr.pezzi ora-unita]]</f>
        <v>#VALUE!</v>
      </c>
      <c r="O486" t="e">
        <f>Tabella1[[#This Row],[superificie]]*Resa</f>
        <v>#VALUE!</v>
      </c>
      <c r="P486" t="e">
        <f>Tabella1[[#This Row],[KgPezzo]]*Tabella1[[#This Row],[q.ta offerta]]</f>
        <v>#VALUE!</v>
      </c>
      <c r="Q486" t="e">
        <f>RigheOfferte[[#This Row],[QtaProtez]]</f>
        <v>#VALUE!</v>
      </c>
      <c r="R486" t="e">
        <f>RigheOfferte[[#This Row],[Tipo Protezione]]</f>
        <v>#VALUE!</v>
      </c>
    </row>
    <row r="487" spans="1:18">
      <c r="A487" t="e">
        <f>RigheOfferte[[#This Row],[Nprev]]</f>
        <v>#VALUE!</v>
      </c>
      <c r="B487" t="e">
        <f>RigheOfferte[[#This Row],[Nriga]]</f>
        <v>#VALUE!</v>
      </c>
      <c r="C487" t="e">
        <f>RigheOfferte[[#This Row],[Cliente]]</f>
        <v>#VALUE!</v>
      </c>
      <c r="D487" t="e">
        <f>RigheOfferte[[#This Row],[sub_cliente]]</f>
        <v>#VALUE!</v>
      </c>
      <c r="E487" t="e">
        <f>RigheOfferte[[#This Row],[cod.Art.]]</f>
        <v>#VALUE!</v>
      </c>
      <c r="F487" t="e">
        <f>RigheOfferte[[#This Row],[Descrizione]]</f>
        <v>#VALUE!</v>
      </c>
      <c r="G487" t="e">
        <f>RigheOfferte[[#This Row],[Q.ta'']]</f>
        <v>#VALUE!</v>
      </c>
      <c r="H487" t="e">
        <f>RigheOfferte[[#This Row],[Lavorazione]]</f>
        <v>#VALUE!</v>
      </c>
      <c r="I487" t="e">
        <f>RigheOfferte[[#This Row],[Colore]]</f>
        <v>#VALUE!</v>
      </c>
      <c r="J487" t="e">
        <f>RigheOfferte[[#This Row],[Velocità]]</f>
        <v>#VALUE!</v>
      </c>
      <c r="K487" t="e">
        <f>RigheOfferte[[#This Row],[Superf.pz Mq]]</f>
        <v>#VALUE!</v>
      </c>
      <c r="L487" t="e">
        <f>RigheOfferte[[#This Row],[passo]]</f>
        <v>#VALUE!</v>
      </c>
      <c r="M487" t="e">
        <f>RigheOfferte[[#This Row],[nr.pezzi Telaio]]</f>
        <v>#VALUE!</v>
      </c>
      <c r="N487" t="e">
        <f>RigheOfferte[[#This Row],[nr.pezzi ora-unita]]</f>
        <v>#VALUE!</v>
      </c>
      <c r="O487" t="e">
        <f>Tabella1[[#This Row],[superificie]]*Resa</f>
        <v>#VALUE!</v>
      </c>
      <c r="P487" t="e">
        <f>Tabella1[[#This Row],[KgPezzo]]*Tabella1[[#This Row],[q.ta offerta]]</f>
        <v>#VALUE!</v>
      </c>
      <c r="Q487" t="e">
        <f>RigheOfferte[[#This Row],[QtaProtez]]</f>
        <v>#VALUE!</v>
      </c>
      <c r="R487" t="e">
        <f>RigheOfferte[[#This Row],[Tipo Protezione]]</f>
        <v>#VALUE!</v>
      </c>
    </row>
    <row r="488" spans="1:18">
      <c r="A488" t="e">
        <f>RigheOfferte[[#This Row],[Nprev]]</f>
        <v>#VALUE!</v>
      </c>
      <c r="B488" t="e">
        <f>RigheOfferte[[#This Row],[Nriga]]</f>
        <v>#VALUE!</v>
      </c>
      <c r="C488" t="e">
        <f>RigheOfferte[[#This Row],[Cliente]]</f>
        <v>#VALUE!</v>
      </c>
      <c r="D488" t="e">
        <f>RigheOfferte[[#This Row],[sub_cliente]]</f>
        <v>#VALUE!</v>
      </c>
      <c r="E488" t="e">
        <f>RigheOfferte[[#This Row],[cod.Art.]]</f>
        <v>#VALUE!</v>
      </c>
      <c r="F488" t="e">
        <f>RigheOfferte[[#This Row],[Descrizione]]</f>
        <v>#VALUE!</v>
      </c>
      <c r="G488" t="e">
        <f>RigheOfferte[[#This Row],[Q.ta'']]</f>
        <v>#VALUE!</v>
      </c>
      <c r="H488" t="e">
        <f>RigheOfferte[[#This Row],[Lavorazione]]</f>
        <v>#VALUE!</v>
      </c>
      <c r="I488" t="e">
        <f>RigheOfferte[[#This Row],[Colore]]</f>
        <v>#VALUE!</v>
      </c>
      <c r="J488" t="e">
        <f>RigheOfferte[[#This Row],[Velocità]]</f>
        <v>#VALUE!</v>
      </c>
      <c r="K488" t="e">
        <f>RigheOfferte[[#This Row],[Superf.pz Mq]]</f>
        <v>#VALUE!</v>
      </c>
      <c r="L488" t="e">
        <f>RigheOfferte[[#This Row],[passo]]</f>
        <v>#VALUE!</v>
      </c>
      <c r="M488" t="e">
        <f>RigheOfferte[[#This Row],[nr.pezzi Telaio]]</f>
        <v>#VALUE!</v>
      </c>
      <c r="N488" t="e">
        <f>RigheOfferte[[#This Row],[nr.pezzi ora-unita]]</f>
        <v>#VALUE!</v>
      </c>
      <c r="O488" t="e">
        <f>Tabella1[[#This Row],[superificie]]*Resa</f>
        <v>#VALUE!</v>
      </c>
      <c r="P488" t="e">
        <f>Tabella1[[#This Row],[KgPezzo]]*Tabella1[[#This Row],[q.ta offerta]]</f>
        <v>#VALUE!</v>
      </c>
      <c r="Q488" t="e">
        <f>RigheOfferte[[#This Row],[QtaProtez]]</f>
        <v>#VALUE!</v>
      </c>
      <c r="R488" t="e">
        <f>RigheOfferte[[#This Row],[Tipo Protezione]]</f>
        <v>#VALUE!</v>
      </c>
    </row>
    <row r="489" spans="1:18">
      <c r="A489" t="e">
        <f>RigheOfferte[[#This Row],[Nprev]]</f>
        <v>#VALUE!</v>
      </c>
      <c r="B489" t="e">
        <f>RigheOfferte[[#This Row],[Nriga]]</f>
        <v>#VALUE!</v>
      </c>
      <c r="C489" t="e">
        <f>RigheOfferte[[#This Row],[Cliente]]</f>
        <v>#VALUE!</v>
      </c>
      <c r="D489" t="e">
        <f>RigheOfferte[[#This Row],[sub_cliente]]</f>
        <v>#VALUE!</v>
      </c>
      <c r="E489" t="e">
        <f>RigheOfferte[[#This Row],[cod.Art.]]</f>
        <v>#VALUE!</v>
      </c>
      <c r="F489" t="e">
        <f>RigheOfferte[[#This Row],[Descrizione]]</f>
        <v>#VALUE!</v>
      </c>
      <c r="G489" t="e">
        <f>RigheOfferte[[#This Row],[Q.ta'']]</f>
        <v>#VALUE!</v>
      </c>
      <c r="H489" t="e">
        <f>RigheOfferte[[#This Row],[Lavorazione]]</f>
        <v>#VALUE!</v>
      </c>
      <c r="I489" t="e">
        <f>RigheOfferte[[#This Row],[Colore]]</f>
        <v>#VALUE!</v>
      </c>
      <c r="J489" t="e">
        <f>RigheOfferte[[#This Row],[Velocità]]</f>
        <v>#VALUE!</v>
      </c>
      <c r="K489" t="e">
        <f>RigheOfferte[[#This Row],[Superf.pz Mq]]</f>
        <v>#VALUE!</v>
      </c>
      <c r="L489" t="e">
        <f>RigheOfferte[[#This Row],[passo]]</f>
        <v>#VALUE!</v>
      </c>
      <c r="M489" t="e">
        <f>RigheOfferte[[#This Row],[nr.pezzi Telaio]]</f>
        <v>#VALUE!</v>
      </c>
      <c r="N489" t="e">
        <f>RigheOfferte[[#This Row],[nr.pezzi ora-unita]]</f>
        <v>#VALUE!</v>
      </c>
      <c r="O489" t="e">
        <f>Tabella1[[#This Row],[superificie]]*Resa</f>
        <v>#VALUE!</v>
      </c>
      <c r="P489" t="e">
        <f>Tabella1[[#This Row],[KgPezzo]]*Tabella1[[#This Row],[q.ta offerta]]</f>
        <v>#VALUE!</v>
      </c>
      <c r="Q489" t="e">
        <f>RigheOfferte[[#This Row],[QtaProtez]]</f>
        <v>#VALUE!</v>
      </c>
      <c r="R489" t="e">
        <f>RigheOfferte[[#This Row],[Tipo Protezione]]</f>
        <v>#VALUE!</v>
      </c>
    </row>
    <row r="490" spans="1:18">
      <c r="A490" t="e">
        <f>RigheOfferte[[#This Row],[Nprev]]</f>
        <v>#VALUE!</v>
      </c>
      <c r="B490" t="e">
        <f>RigheOfferte[[#This Row],[Nriga]]</f>
        <v>#VALUE!</v>
      </c>
      <c r="C490" t="e">
        <f>RigheOfferte[[#This Row],[Cliente]]</f>
        <v>#VALUE!</v>
      </c>
      <c r="D490" t="e">
        <f>RigheOfferte[[#This Row],[sub_cliente]]</f>
        <v>#VALUE!</v>
      </c>
      <c r="E490" t="e">
        <f>RigheOfferte[[#This Row],[cod.Art.]]</f>
        <v>#VALUE!</v>
      </c>
      <c r="F490" t="e">
        <f>RigheOfferte[[#This Row],[Descrizione]]</f>
        <v>#VALUE!</v>
      </c>
      <c r="G490" t="e">
        <f>RigheOfferte[[#This Row],[Q.ta'']]</f>
        <v>#VALUE!</v>
      </c>
      <c r="H490" t="e">
        <f>RigheOfferte[[#This Row],[Lavorazione]]</f>
        <v>#VALUE!</v>
      </c>
      <c r="I490" t="e">
        <f>RigheOfferte[[#This Row],[Colore]]</f>
        <v>#VALUE!</v>
      </c>
      <c r="J490" t="e">
        <f>RigheOfferte[[#This Row],[Velocità]]</f>
        <v>#VALUE!</v>
      </c>
      <c r="K490" t="e">
        <f>RigheOfferte[[#This Row],[Superf.pz Mq]]</f>
        <v>#VALUE!</v>
      </c>
      <c r="L490" t="e">
        <f>RigheOfferte[[#This Row],[passo]]</f>
        <v>#VALUE!</v>
      </c>
      <c r="M490" t="e">
        <f>RigheOfferte[[#This Row],[nr.pezzi Telaio]]</f>
        <v>#VALUE!</v>
      </c>
      <c r="N490" t="e">
        <f>RigheOfferte[[#This Row],[nr.pezzi ora-unita]]</f>
        <v>#VALUE!</v>
      </c>
      <c r="O490" t="e">
        <f>Tabella1[[#This Row],[superificie]]*Resa</f>
        <v>#VALUE!</v>
      </c>
      <c r="P490" t="e">
        <f>Tabella1[[#This Row],[KgPezzo]]*Tabella1[[#This Row],[q.ta offerta]]</f>
        <v>#VALUE!</v>
      </c>
      <c r="Q490" t="e">
        <f>RigheOfferte[[#This Row],[QtaProtez]]</f>
        <v>#VALUE!</v>
      </c>
      <c r="R490" t="e">
        <f>RigheOfferte[[#This Row],[Tipo Protezione]]</f>
        <v>#VALUE!</v>
      </c>
    </row>
    <row r="491" spans="1:18">
      <c r="A491" t="e">
        <f>RigheOfferte[[#This Row],[Nprev]]</f>
        <v>#VALUE!</v>
      </c>
      <c r="B491" t="e">
        <f>RigheOfferte[[#This Row],[Nriga]]</f>
        <v>#VALUE!</v>
      </c>
      <c r="C491" t="e">
        <f>RigheOfferte[[#This Row],[Cliente]]</f>
        <v>#VALUE!</v>
      </c>
      <c r="D491" t="e">
        <f>RigheOfferte[[#This Row],[sub_cliente]]</f>
        <v>#VALUE!</v>
      </c>
      <c r="E491" t="e">
        <f>RigheOfferte[[#This Row],[cod.Art.]]</f>
        <v>#VALUE!</v>
      </c>
      <c r="F491" t="e">
        <f>RigheOfferte[[#This Row],[Descrizione]]</f>
        <v>#VALUE!</v>
      </c>
      <c r="G491" t="e">
        <f>RigheOfferte[[#This Row],[Q.ta'']]</f>
        <v>#VALUE!</v>
      </c>
      <c r="H491" t="e">
        <f>RigheOfferte[[#This Row],[Lavorazione]]</f>
        <v>#VALUE!</v>
      </c>
      <c r="I491" t="e">
        <f>RigheOfferte[[#This Row],[Colore]]</f>
        <v>#VALUE!</v>
      </c>
      <c r="J491" t="e">
        <f>RigheOfferte[[#This Row],[Velocità]]</f>
        <v>#VALUE!</v>
      </c>
      <c r="K491" t="e">
        <f>RigheOfferte[[#This Row],[Superf.pz Mq]]</f>
        <v>#VALUE!</v>
      </c>
      <c r="L491" t="e">
        <f>RigheOfferte[[#This Row],[passo]]</f>
        <v>#VALUE!</v>
      </c>
      <c r="M491" t="e">
        <f>RigheOfferte[[#This Row],[nr.pezzi Telaio]]</f>
        <v>#VALUE!</v>
      </c>
      <c r="N491" t="e">
        <f>RigheOfferte[[#This Row],[nr.pezzi ora-unita]]</f>
        <v>#VALUE!</v>
      </c>
      <c r="O491" t="e">
        <f>Tabella1[[#This Row],[superificie]]*Resa</f>
        <v>#VALUE!</v>
      </c>
      <c r="P491" t="e">
        <f>Tabella1[[#This Row],[KgPezzo]]*Tabella1[[#This Row],[q.ta offerta]]</f>
        <v>#VALUE!</v>
      </c>
      <c r="Q491" t="e">
        <f>RigheOfferte[[#This Row],[QtaProtez]]</f>
        <v>#VALUE!</v>
      </c>
      <c r="R491" t="e">
        <f>RigheOfferte[[#This Row],[Tipo Protezione]]</f>
        <v>#VALUE!</v>
      </c>
    </row>
    <row r="492" spans="1:18">
      <c r="A492" t="e">
        <f>RigheOfferte[[#This Row],[Nprev]]</f>
        <v>#VALUE!</v>
      </c>
      <c r="B492" t="e">
        <f>RigheOfferte[[#This Row],[Nriga]]</f>
        <v>#VALUE!</v>
      </c>
      <c r="C492" t="e">
        <f>RigheOfferte[[#This Row],[Cliente]]</f>
        <v>#VALUE!</v>
      </c>
      <c r="D492" t="e">
        <f>RigheOfferte[[#This Row],[sub_cliente]]</f>
        <v>#VALUE!</v>
      </c>
      <c r="E492" t="e">
        <f>RigheOfferte[[#This Row],[cod.Art.]]</f>
        <v>#VALUE!</v>
      </c>
      <c r="F492" t="e">
        <f>RigheOfferte[[#This Row],[Descrizione]]</f>
        <v>#VALUE!</v>
      </c>
      <c r="G492" t="e">
        <f>RigheOfferte[[#This Row],[Q.ta'']]</f>
        <v>#VALUE!</v>
      </c>
      <c r="H492" t="e">
        <f>RigheOfferte[[#This Row],[Lavorazione]]</f>
        <v>#VALUE!</v>
      </c>
      <c r="I492" t="e">
        <f>RigheOfferte[[#This Row],[Colore]]</f>
        <v>#VALUE!</v>
      </c>
      <c r="J492" t="e">
        <f>RigheOfferte[[#This Row],[Velocità]]</f>
        <v>#VALUE!</v>
      </c>
      <c r="K492" t="e">
        <f>RigheOfferte[[#This Row],[Superf.pz Mq]]</f>
        <v>#VALUE!</v>
      </c>
      <c r="L492" t="e">
        <f>RigheOfferte[[#This Row],[passo]]</f>
        <v>#VALUE!</v>
      </c>
      <c r="M492" t="e">
        <f>RigheOfferte[[#This Row],[nr.pezzi Telaio]]</f>
        <v>#VALUE!</v>
      </c>
      <c r="N492" t="e">
        <f>RigheOfferte[[#This Row],[nr.pezzi ora-unita]]</f>
        <v>#VALUE!</v>
      </c>
      <c r="O492" t="e">
        <f>Tabella1[[#This Row],[superificie]]*Resa</f>
        <v>#VALUE!</v>
      </c>
      <c r="P492" t="e">
        <f>Tabella1[[#This Row],[KgPezzo]]*Tabella1[[#This Row],[q.ta offerta]]</f>
        <v>#VALUE!</v>
      </c>
      <c r="Q492" t="e">
        <f>RigheOfferte[[#This Row],[QtaProtez]]</f>
        <v>#VALUE!</v>
      </c>
      <c r="R492" t="e">
        <f>RigheOfferte[[#This Row],[Tipo Protezione]]</f>
        <v>#VALUE!</v>
      </c>
    </row>
    <row r="493" spans="1:18">
      <c r="A493" t="e">
        <f>RigheOfferte[[#This Row],[Nprev]]</f>
        <v>#VALUE!</v>
      </c>
      <c r="B493" t="e">
        <f>RigheOfferte[[#This Row],[Nriga]]</f>
        <v>#VALUE!</v>
      </c>
      <c r="C493" t="e">
        <f>RigheOfferte[[#This Row],[Cliente]]</f>
        <v>#VALUE!</v>
      </c>
      <c r="D493" t="e">
        <f>RigheOfferte[[#This Row],[sub_cliente]]</f>
        <v>#VALUE!</v>
      </c>
      <c r="E493" t="e">
        <f>RigheOfferte[[#This Row],[cod.Art.]]</f>
        <v>#VALUE!</v>
      </c>
      <c r="F493" t="e">
        <f>RigheOfferte[[#This Row],[Descrizione]]</f>
        <v>#VALUE!</v>
      </c>
      <c r="G493" t="e">
        <f>RigheOfferte[[#This Row],[Q.ta'']]</f>
        <v>#VALUE!</v>
      </c>
      <c r="H493" t="e">
        <f>RigheOfferte[[#This Row],[Lavorazione]]</f>
        <v>#VALUE!</v>
      </c>
      <c r="I493" t="e">
        <f>RigheOfferte[[#This Row],[Colore]]</f>
        <v>#VALUE!</v>
      </c>
      <c r="J493" t="e">
        <f>RigheOfferte[[#This Row],[Velocità]]</f>
        <v>#VALUE!</v>
      </c>
      <c r="K493" t="e">
        <f>RigheOfferte[[#This Row],[Superf.pz Mq]]</f>
        <v>#VALUE!</v>
      </c>
      <c r="L493" t="e">
        <f>RigheOfferte[[#This Row],[passo]]</f>
        <v>#VALUE!</v>
      </c>
      <c r="M493" t="e">
        <f>RigheOfferte[[#This Row],[nr.pezzi Telaio]]</f>
        <v>#VALUE!</v>
      </c>
      <c r="N493" t="e">
        <f>RigheOfferte[[#This Row],[nr.pezzi ora-unita]]</f>
        <v>#VALUE!</v>
      </c>
      <c r="O493" t="e">
        <f>Tabella1[[#This Row],[superificie]]*Resa</f>
        <v>#VALUE!</v>
      </c>
      <c r="P493" t="e">
        <f>Tabella1[[#This Row],[KgPezzo]]*Tabella1[[#This Row],[q.ta offerta]]</f>
        <v>#VALUE!</v>
      </c>
      <c r="Q493" t="e">
        <f>RigheOfferte[[#This Row],[QtaProtez]]</f>
        <v>#VALUE!</v>
      </c>
      <c r="R493" t="e">
        <f>RigheOfferte[[#This Row],[Tipo Protezione]]</f>
        <v>#VALUE!</v>
      </c>
    </row>
    <row r="494" spans="1:18">
      <c r="A494" t="e">
        <f>RigheOfferte[[#This Row],[Nprev]]</f>
        <v>#VALUE!</v>
      </c>
      <c r="B494" t="e">
        <f>RigheOfferte[[#This Row],[Nriga]]</f>
        <v>#VALUE!</v>
      </c>
      <c r="C494" t="e">
        <f>RigheOfferte[[#This Row],[Cliente]]</f>
        <v>#VALUE!</v>
      </c>
      <c r="D494" t="e">
        <f>RigheOfferte[[#This Row],[sub_cliente]]</f>
        <v>#VALUE!</v>
      </c>
      <c r="E494" t="e">
        <f>RigheOfferte[[#This Row],[cod.Art.]]</f>
        <v>#VALUE!</v>
      </c>
      <c r="F494" t="e">
        <f>RigheOfferte[[#This Row],[Descrizione]]</f>
        <v>#VALUE!</v>
      </c>
      <c r="G494" t="e">
        <f>RigheOfferte[[#This Row],[Q.ta'']]</f>
        <v>#VALUE!</v>
      </c>
      <c r="H494" t="e">
        <f>RigheOfferte[[#This Row],[Lavorazione]]</f>
        <v>#VALUE!</v>
      </c>
      <c r="I494" t="e">
        <f>RigheOfferte[[#This Row],[Colore]]</f>
        <v>#VALUE!</v>
      </c>
      <c r="J494" t="e">
        <f>RigheOfferte[[#This Row],[Velocità]]</f>
        <v>#VALUE!</v>
      </c>
      <c r="K494" t="e">
        <f>RigheOfferte[[#This Row],[Superf.pz Mq]]</f>
        <v>#VALUE!</v>
      </c>
      <c r="L494" t="e">
        <f>RigheOfferte[[#This Row],[passo]]</f>
        <v>#VALUE!</v>
      </c>
      <c r="M494" t="e">
        <f>RigheOfferte[[#This Row],[nr.pezzi Telaio]]</f>
        <v>#VALUE!</v>
      </c>
      <c r="N494" t="e">
        <f>RigheOfferte[[#This Row],[nr.pezzi ora-unita]]</f>
        <v>#VALUE!</v>
      </c>
      <c r="O494" t="e">
        <f>Tabella1[[#This Row],[superificie]]*Resa</f>
        <v>#VALUE!</v>
      </c>
      <c r="P494" t="e">
        <f>Tabella1[[#This Row],[KgPezzo]]*Tabella1[[#This Row],[q.ta offerta]]</f>
        <v>#VALUE!</v>
      </c>
      <c r="Q494" t="e">
        <f>RigheOfferte[[#This Row],[QtaProtez]]</f>
        <v>#VALUE!</v>
      </c>
      <c r="R494" t="e">
        <f>RigheOfferte[[#This Row],[Tipo Protezione]]</f>
        <v>#VALUE!</v>
      </c>
    </row>
    <row r="495" spans="1:18">
      <c r="A495" t="e">
        <f>RigheOfferte[[#This Row],[Nprev]]</f>
        <v>#VALUE!</v>
      </c>
      <c r="B495" t="e">
        <f>RigheOfferte[[#This Row],[Nriga]]</f>
        <v>#VALUE!</v>
      </c>
      <c r="C495" t="e">
        <f>RigheOfferte[[#This Row],[Cliente]]</f>
        <v>#VALUE!</v>
      </c>
      <c r="D495" t="e">
        <f>RigheOfferte[[#This Row],[sub_cliente]]</f>
        <v>#VALUE!</v>
      </c>
      <c r="E495" t="e">
        <f>RigheOfferte[[#This Row],[cod.Art.]]</f>
        <v>#VALUE!</v>
      </c>
      <c r="F495" t="e">
        <f>RigheOfferte[[#This Row],[Descrizione]]</f>
        <v>#VALUE!</v>
      </c>
      <c r="G495" t="e">
        <f>RigheOfferte[[#This Row],[Q.ta'']]</f>
        <v>#VALUE!</v>
      </c>
      <c r="H495" t="e">
        <f>RigheOfferte[[#This Row],[Lavorazione]]</f>
        <v>#VALUE!</v>
      </c>
      <c r="I495" t="e">
        <f>RigheOfferte[[#This Row],[Colore]]</f>
        <v>#VALUE!</v>
      </c>
      <c r="J495" t="e">
        <f>RigheOfferte[[#This Row],[Velocità]]</f>
        <v>#VALUE!</v>
      </c>
      <c r="K495" t="e">
        <f>RigheOfferte[[#This Row],[Superf.pz Mq]]</f>
        <v>#VALUE!</v>
      </c>
      <c r="L495" t="e">
        <f>RigheOfferte[[#This Row],[passo]]</f>
        <v>#VALUE!</v>
      </c>
      <c r="M495" t="e">
        <f>RigheOfferte[[#This Row],[nr.pezzi Telaio]]</f>
        <v>#VALUE!</v>
      </c>
      <c r="N495" t="e">
        <f>RigheOfferte[[#This Row],[nr.pezzi ora-unita]]</f>
        <v>#VALUE!</v>
      </c>
      <c r="O495" t="e">
        <f>Tabella1[[#This Row],[superificie]]*Resa</f>
        <v>#VALUE!</v>
      </c>
      <c r="P495" t="e">
        <f>Tabella1[[#This Row],[KgPezzo]]*Tabella1[[#This Row],[q.ta offerta]]</f>
        <v>#VALUE!</v>
      </c>
      <c r="Q495" t="e">
        <f>RigheOfferte[[#This Row],[QtaProtez]]</f>
        <v>#VALUE!</v>
      </c>
      <c r="R495" t="e">
        <f>RigheOfferte[[#This Row],[Tipo Protezione]]</f>
        <v>#VALUE!</v>
      </c>
    </row>
    <row r="496" spans="1:18">
      <c r="A496" t="e">
        <f>RigheOfferte[[#This Row],[Nprev]]</f>
        <v>#VALUE!</v>
      </c>
      <c r="B496" t="e">
        <f>RigheOfferte[[#This Row],[Nriga]]</f>
        <v>#VALUE!</v>
      </c>
      <c r="C496" t="e">
        <f>RigheOfferte[[#This Row],[Cliente]]</f>
        <v>#VALUE!</v>
      </c>
      <c r="D496" t="e">
        <f>RigheOfferte[[#This Row],[sub_cliente]]</f>
        <v>#VALUE!</v>
      </c>
      <c r="E496" t="e">
        <f>RigheOfferte[[#This Row],[cod.Art.]]</f>
        <v>#VALUE!</v>
      </c>
      <c r="F496" t="e">
        <f>RigheOfferte[[#This Row],[Descrizione]]</f>
        <v>#VALUE!</v>
      </c>
      <c r="G496" t="e">
        <f>RigheOfferte[[#This Row],[Q.ta'']]</f>
        <v>#VALUE!</v>
      </c>
      <c r="H496" t="e">
        <f>RigheOfferte[[#This Row],[Lavorazione]]</f>
        <v>#VALUE!</v>
      </c>
      <c r="I496" t="e">
        <f>RigheOfferte[[#This Row],[Colore]]</f>
        <v>#VALUE!</v>
      </c>
      <c r="J496" t="e">
        <f>RigheOfferte[[#This Row],[Velocità]]</f>
        <v>#VALUE!</v>
      </c>
      <c r="K496" t="e">
        <f>RigheOfferte[[#This Row],[Superf.pz Mq]]</f>
        <v>#VALUE!</v>
      </c>
      <c r="L496" t="e">
        <f>RigheOfferte[[#This Row],[passo]]</f>
        <v>#VALUE!</v>
      </c>
      <c r="M496" t="e">
        <f>RigheOfferte[[#This Row],[nr.pezzi Telaio]]</f>
        <v>#VALUE!</v>
      </c>
      <c r="N496" t="e">
        <f>RigheOfferte[[#This Row],[nr.pezzi ora-unita]]</f>
        <v>#VALUE!</v>
      </c>
      <c r="O496" t="e">
        <f>Tabella1[[#This Row],[superificie]]*Resa</f>
        <v>#VALUE!</v>
      </c>
      <c r="P496" t="e">
        <f>Tabella1[[#This Row],[KgPezzo]]*Tabella1[[#This Row],[q.ta offerta]]</f>
        <v>#VALUE!</v>
      </c>
      <c r="Q496" t="e">
        <f>RigheOfferte[[#This Row],[QtaProtez]]</f>
        <v>#VALUE!</v>
      </c>
      <c r="R496" t="e">
        <f>RigheOfferte[[#This Row],[Tipo Protezione]]</f>
        <v>#VALUE!</v>
      </c>
    </row>
    <row r="497" spans="1:18">
      <c r="A497" t="e">
        <f>RigheOfferte[[#This Row],[Nprev]]</f>
        <v>#VALUE!</v>
      </c>
      <c r="B497" t="e">
        <f>RigheOfferte[[#This Row],[Nriga]]</f>
        <v>#VALUE!</v>
      </c>
      <c r="C497" t="e">
        <f>RigheOfferte[[#This Row],[Cliente]]</f>
        <v>#VALUE!</v>
      </c>
      <c r="D497" t="e">
        <f>RigheOfferte[[#This Row],[sub_cliente]]</f>
        <v>#VALUE!</v>
      </c>
      <c r="E497" t="e">
        <f>RigheOfferte[[#This Row],[cod.Art.]]</f>
        <v>#VALUE!</v>
      </c>
      <c r="F497" t="e">
        <f>RigheOfferte[[#This Row],[Descrizione]]</f>
        <v>#VALUE!</v>
      </c>
      <c r="G497" t="e">
        <f>RigheOfferte[[#This Row],[Q.ta'']]</f>
        <v>#VALUE!</v>
      </c>
      <c r="H497" t="e">
        <f>RigheOfferte[[#This Row],[Lavorazione]]</f>
        <v>#VALUE!</v>
      </c>
      <c r="I497" t="e">
        <f>RigheOfferte[[#This Row],[Colore]]</f>
        <v>#VALUE!</v>
      </c>
      <c r="J497" t="e">
        <f>RigheOfferte[[#This Row],[Velocità]]</f>
        <v>#VALUE!</v>
      </c>
      <c r="K497" t="e">
        <f>RigheOfferte[[#This Row],[Superf.pz Mq]]</f>
        <v>#VALUE!</v>
      </c>
      <c r="L497" t="e">
        <f>RigheOfferte[[#This Row],[passo]]</f>
        <v>#VALUE!</v>
      </c>
      <c r="M497" t="e">
        <f>RigheOfferte[[#This Row],[nr.pezzi Telaio]]</f>
        <v>#VALUE!</v>
      </c>
      <c r="N497" t="e">
        <f>RigheOfferte[[#This Row],[nr.pezzi ora-unita]]</f>
        <v>#VALUE!</v>
      </c>
      <c r="O497" t="e">
        <f>Tabella1[[#This Row],[superificie]]*Resa</f>
        <v>#VALUE!</v>
      </c>
      <c r="P497" t="e">
        <f>Tabella1[[#This Row],[KgPezzo]]*Tabella1[[#This Row],[q.ta offerta]]</f>
        <v>#VALUE!</v>
      </c>
      <c r="Q497" t="e">
        <f>RigheOfferte[[#This Row],[QtaProtez]]</f>
        <v>#VALUE!</v>
      </c>
      <c r="R497" t="e">
        <f>RigheOfferte[[#This Row],[Tipo Protezione]]</f>
        <v>#VALUE!</v>
      </c>
    </row>
    <row r="498" spans="1:18">
      <c r="A498" t="e">
        <f>RigheOfferte[[#This Row],[Nprev]]</f>
        <v>#VALUE!</v>
      </c>
      <c r="B498" t="e">
        <f>RigheOfferte[[#This Row],[Nriga]]</f>
        <v>#VALUE!</v>
      </c>
      <c r="C498" t="e">
        <f>RigheOfferte[[#This Row],[Cliente]]</f>
        <v>#VALUE!</v>
      </c>
      <c r="D498" t="e">
        <f>RigheOfferte[[#This Row],[sub_cliente]]</f>
        <v>#VALUE!</v>
      </c>
      <c r="E498" t="e">
        <f>RigheOfferte[[#This Row],[cod.Art.]]</f>
        <v>#VALUE!</v>
      </c>
      <c r="F498" t="e">
        <f>RigheOfferte[[#This Row],[Descrizione]]</f>
        <v>#VALUE!</v>
      </c>
      <c r="G498" t="e">
        <f>RigheOfferte[[#This Row],[Q.ta'']]</f>
        <v>#VALUE!</v>
      </c>
      <c r="H498" t="e">
        <f>RigheOfferte[[#This Row],[Lavorazione]]</f>
        <v>#VALUE!</v>
      </c>
      <c r="I498" t="e">
        <f>RigheOfferte[[#This Row],[Colore]]</f>
        <v>#VALUE!</v>
      </c>
      <c r="J498" t="e">
        <f>RigheOfferte[[#This Row],[Velocità]]</f>
        <v>#VALUE!</v>
      </c>
      <c r="K498" t="e">
        <f>RigheOfferte[[#This Row],[Superf.pz Mq]]</f>
        <v>#VALUE!</v>
      </c>
      <c r="L498" t="e">
        <f>RigheOfferte[[#This Row],[passo]]</f>
        <v>#VALUE!</v>
      </c>
      <c r="M498" t="e">
        <f>RigheOfferte[[#This Row],[nr.pezzi Telaio]]</f>
        <v>#VALUE!</v>
      </c>
      <c r="N498" t="e">
        <f>RigheOfferte[[#This Row],[nr.pezzi ora-unita]]</f>
        <v>#VALUE!</v>
      </c>
      <c r="O498" t="e">
        <f>Tabella1[[#This Row],[superificie]]*Resa</f>
        <v>#VALUE!</v>
      </c>
      <c r="P498" t="e">
        <f>Tabella1[[#This Row],[KgPezzo]]*Tabella1[[#This Row],[q.ta offerta]]</f>
        <v>#VALUE!</v>
      </c>
      <c r="Q498" t="e">
        <f>RigheOfferte[[#This Row],[QtaProtez]]</f>
        <v>#VALUE!</v>
      </c>
      <c r="R498" t="e">
        <f>RigheOfferte[[#This Row],[Tipo Protezione]]</f>
        <v>#VALUE!</v>
      </c>
    </row>
    <row r="499" spans="1:18">
      <c r="A499" t="e">
        <f>RigheOfferte[[#This Row],[Nprev]]</f>
        <v>#VALUE!</v>
      </c>
      <c r="B499" t="e">
        <f>RigheOfferte[[#This Row],[Nriga]]</f>
        <v>#VALUE!</v>
      </c>
      <c r="C499" t="e">
        <f>RigheOfferte[[#This Row],[Cliente]]</f>
        <v>#VALUE!</v>
      </c>
      <c r="D499" t="e">
        <f>RigheOfferte[[#This Row],[sub_cliente]]</f>
        <v>#VALUE!</v>
      </c>
      <c r="E499" t="e">
        <f>RigheOfferte[[#This Row],[cod.Art.]]</f>
        <v>#VALUE!</v>
      </c>
      <c r="F499" t="e">
        <f>RigheOfferte[[#This Row],[Descrizione]]</f>
        <v>#VALUE!</v>
      </c>
      <c r="G499" t="e">
        <f>RigheOfferte[[#This Row],[Q.ta'']]</f>
        <v>#VALUE!</v>
      </c>
      <c r="H499" t="e">
        <f>RigheOfferte[[#This Row],[Lavorazione]]</f>
        <v>#VALUE!</v>
      </c>
      <c r="I499" t="e">
        <f>RigheOfferte[[#This Row],[Colore]]</f>
        <v>#VALUE!</v>
      </c>
      <c r="J499" t="e">
        <f>RigheOfferte[[#This Row],[Velocità]]</f>
        <v>#VALUE!</v>
      </c>
      <c r="K499" t="e">
        <f>RigheOfferte[[#This Row],[Superf.pz Mq]]</f>
        <v>#VALUE!</v>
      </c>
      <c r="L499" t="e">
        <f>RigheOfferte[[#This Row],[passo]]</f>
        <v>#VALUE!</v>
      </c>
      <c r="M499" t="e">
        <f>RigheOfferte[[#This Row],[nr.pezzi Telaio]]</f>
        <v>#VALUE!</v>
      </c>
      <c r="N499" t="e">
        <f>RigheOfferte[[#This Row],[nr.pezzi ora-unita]]</f>
        <v>#VALUE!</v>
      </c>
      <c r="O499" t="e">
        <f>Tabella1[[#This Row],[superificie]]*Resa</f>
        <v>#VALUE!</v>
      </c>
      <c r="P499" t="e">
        <f>Tabella1[[#This Row],[KgPezzo]]*Tabella1[[#This Row],[q.ta offerta]]</f>
        <v>#VALUE!</v>
      </c>
      <c r="Q499" t="e">
        <f>RigheOfferte[[#This Row],[QtaProtez]]</f>
        <v>#VALUE!</v>
      </c>
      <c r="R499" t="e">
        <f>RigheOfferte[[#This Row],[Tipo Protezione]]</f>
        <v>#VALUE!</v>
      </c>
    </row>
    <row r="500" spans="1:18">
      <c r="A500" t="e">
        <f>RigheOfferte[[#This Row],[Nprev]]</f>
        <v>#VALUE!</v>
      </c>
      <c r="B500" t="e">
        <f>RigheOfferte[[#This Row],[Nriga]]</f>
        <v>#VALUE!</v>
      </c>
      <c r="C500" t="e">
        <f>RigheOfferte[[#This Row],[Cliente]]</f>
        <v>#VALUE!</v>
      </c>
      <c r="D500" t="e">
        <f>RigheOfferte[[#This Row],[sub_cliente]]</f>
        <v>#VALUE!</v>
      </c>
      <c r="E500" t="e">
        <f>RigheOfferte[[#This Row],[cod.Art.]]</f>
        <v>#VALUE!</v>
      </c>
      <c r="F500" t="e">
        <f>RigheOfferte[[#This Row],[Descrizione]]</f>
        <v>#VALUE!</v>
      </c>
      <c r="G500" t="e">
        <f>RigheOfferte[[#This Row],[Q.ta'']]</f>
        <v>#VALUE!</v>
      </c>
      <c r="H500" t="e">
        <f>RigheOfferte[[#This Row],[Lavorazione]]</f>
        <v>#VALUE!</v>
      </c>
      <c r="I500" t="e">
        <f>RigheOfferte[[#This Row],[Colore]]</f>
        <v>#VALUE!</v>
      </c>
      <c r="J500" t="e">
        <f>RigheOfferte[[#This Row],[Velocità]]</f>
        <v>#VALUE!</v>
      </c>
      <c r="K500" t="e">
        <f>RigheOfferte[[#This Row],[Superf.pz Mq]]</f>
        <v>#VALUE!</v>
      </c>
      <c r="L500" t="e">
        <f>RigheOfferte[[#This Row],[passo]]</f>
        <v>#VALUE!</v>
      </c>
      <c r="M500" t="e">
        <f>RigheOfferte[[#This Row],[nr.pezzi Telaio]]</f>
        <v>#VALUE!</v>
      </c>
      <c r="N500" t="e">
        <f>RigheOfferte[[#This Row],[nr.pezzi ora-unita]]</f>
        <v>#VALUE!</v>
      </c>
      <c r="O500" t="e">
        <f>Tabella1[[#This Row],[superificie]]*Resa</f>
        <v>#VALUE!</v>
      </c>
      <c r="P500" t="e">
        <f>Tabella1[[#This Row],[KgPezzo]]*Tabella1[[#This Row],[q.ta offerta]]</f>
        <v>#VALUE!</v>
      </c>
      <c r="Q500" t="e">
        <f>RigheOfferte[[#This Row],[QtaProtez]]</f>
        <v>#VALUE!</v>
      </c>
      <c r="R500" t="e">
        <f>RigheOfferte[[#This Row],[Tipo Protezione]]</f>
        <v>#VALUE!</v>
      </c>
    </row>
    <row r="501" spans="1:18">
      <c r="A501" t="e">
        <f>RigheOfferte[[#This Row],[Nprev]]</f>
        <v>#VALUE!</v>
      </c>
      <c r="B501" t="e">
        <f>RigheOfferte[[#This Row],[Nriga]]</f>
        <v>#VALUE!</v>
      </c>
      <c r="C501" t="e">
        <f>RigheOfferte[[#This Row],[Cliente]]</f>
        <v>#VALUE!</v>
      </c>
      <c r="D501" t="e">
        <f>RigheOfferte[[#This Row],[sub_cliente]]</f>
        <v>#VALUE!</v>
      </c>
      <c r="E501" t="e">
        <f>RigheOfferte[[#This Row],[cod.Art.]]</f>
        <v>#VALUE!</v>
      </c>
      <c r="F501" t="e">
        <f>RigheOfferte[[#This Row],[Descrizione]]</f>
        <v>#VALUE!</v>
      </c>
      <c r="G501" t="e">
        <f>RigheOfferte[[#This Row],[Q.ta'']]</f>
        <v>#VALUE!</v>
      </c>
      <c r="H501" t="e">
        <f>RigheOfferte[[#This Row],[Lavorazione]]</f>
        <v>#VALUE!</v>
      </c>
      <c r="I501" t="e">
        <f>RigheOfferte[[#This Row],[Colore]]</f>
        <v>#VALUE!</v>
      </c>
      <c r="J501" t="e">
        <f>RigheOfferte[[#This Row],[Velocità]]</f>
        <v>#VALUE!</v>
      </c>
      <c r="K501" t="e">
        <f>RigheOfferte[[#This Row],[Superf.pz Mq]]</f>
        <v>#VALUE!</v>
      </c>
      <c r="L501" t="e">
        <f>RigheOfferte[[#This Row],[passo]]</f>
        <v>#VALUE!</v>
      </c>
      <c r="M501" t="e">
        <f>RigheOfferte[[#This Row],[nr.pezzi Telaio]]</f>
        <v>#VALUE!</v>
      </c>
      <c r="N501" t="e">
        <f>RigheOfferte[[#This Row],[nr.pezzi ora-unita]]</f>
        <v>#VALUE!</v>
      </c>
      <c r="O501" t="e">
        <f>Tabella1[[#This Row],[superificie]]*Resa</f>
        <v>#VALUE!</v>
      </c>
      <c r="P501" t="e">
        <f>Tabella1[[#This Row],[KgPezzo]]*Tabella1[[#This Row],[q.ta offerta]]</f>
        <v>#VALUE!</v>
      </c>
      <c r="Q501" t="e">
        <f>RigheOfferte[[#This Row],[QtaProtez]]</f>
        <v>#VALUE!</v>
      </c>
      <c r="R501" t="e">
        <f>RigheOfferte[[#This Row],[Tipo Protezione]]</f>
        <v>#VALUE!</v>
      </c>
    </row>
    <row r="502" spans="1:18">
      <c r="A502" t="e">
        <f>RigheOfferte[[#This Row],[Nprev]]</f>
        <v>#VALUE!</v>
      </c>
      <c r="B502" t="e">
        <f>RigheOfferte[[#This Row],[Nriga]]</f>
        <v>#VALUE!</v>
      </c>
      <c r="C502" t="e">
        <f>RigheOfferte[[#This Row],[Cliente]]</f>
        <v>#VALUE!</v>
      </c>
      <c r="D502" t="e">
        <f>RigheOfferte[[#This Row],[sub_cliente]]</f>
        <v>#VALUE!</v>
      </c>
      <c r="E502" t="e">
        <f>RigheOfferte[[#This Row],[cod.Art.]]</f>
        <v>#VALUE!</v>
      </c>
      <c r="F502" t="e">
        <f>RigheOfferte[[#This Row],[Descrizione]]</f>
        <v>#VALUE!</v>
      </c>
      <c r="G502" t="e">
        <f>RigheOfferte[[#This Row],[Q.ta'']]</f>
        <v>#VALUE!</v>
      </c>
      <c r="H502" t="e">
        <f>RigheOfferte[[#This Row],[Lavorazione]]</f>
        <v>#VALUE!</v>
      </c>
      <c r="I502" t="e">
        <f>RigheOfferte[[#This Row],[Colore]]</f>
        <v>#VALUE!</v>
      </c>
      <c r="J502" t="e">
        <f>RigheOfferte[[#This Row],[Velocità]]</f>
        <v>#VALUE!</v>
      </c>
      <c r="K502" t="e">
        <f>RigheOfferte[[#This Row],[Superf.pz Mq]]</f>
        <v>#VALUE!</v>
      </c>
      <c r="L502" t="e">
        <f>RigheOfferte[[#This Row],[passo]]</f>
        <v>#VALUE!</v>
      </c>
      <c r="M502" t="e">
        <f>RigheOfferte[[#This Row],[nr.pezzi Telaio]]</f>
        <v>#VALUE!</v>
      </c>
      <c r="N502" t="e">
        <f>RigheOfferte[[#This Row],[nr.pezzi ora-unita]]</f>
        <v>#VALUE!</v>
      </c>
      <c r="O502" t="e">
        <f>Tabella1[[#This Row],[superificie]]*Resa</f>
        <v>#VALUE!</v>
      </c>
      <c r="P502" t="e">
        <f>Tabella1[[#This Row],[KgPezzo]]*Tabella1[[#This Row],[q.ta offerta]]</f>
        <v>#VALUE!</v>
      </c>
      <c r="Q502" t="e">
        <f>RigheOfferte[[#This Row],[QtaProtez]]</f>
        <v>#VALUE!</v>
      </c>
      <c r="R502" t="e">
        <f>RigheOfferte[[#This Row],[Tipo Protezione]]</f>
        <v>#VALUE!</v>
      </c>
    </row>
    <row r="503" spans="1:18">
      <c r="A503" t="e">
        <f>RigheOfferte[[#This Row],[Nprev]]</f>
        <v>#VALUE!</v>
      </c>
      <c r="B503" t="e">
        <f>RigheOfferte[[#This Row],[Nriga]]</f>
        <v>#VALUE!</v>
      </c>
      <c r="C503" t="e">
        <f>RigheOfferte[[#This Row],[Cliente]]</f>
        <v>#VALUE!</v>
      </c>
      <c r="D503" t="e">
        <f>RigheOfferte[[#This Row],[sub_cliente]]</f>
        <v>#VALUE!</v>
      </c>
      <c r="E503" t="e">
        <f>RigheOfferte[[#This Row],[cod.Art.]]</f>
        <v>#VALUE!</v>
      </c>
      <c r="F503" t="e">
        <f>RigheOfferte[[#This Row],[Descrizione]]</f>
        <v>#VALUE!</v>
      </c>
      <c r="G503" t="e">
        <f>RigheOfferte[[#This Row],[Q.ta'']]</f>
        <v>#VALUE!</v>
      </c>
      <c r="H503" t="e">
        <f>RigheOfferte[[#This Row],[Lavorazione]]</f>
        <v>#VALUE!</v>
      </c>
      <c r="I503" t="e">
        <f>RigheOfferte[[#This Row],[Colore]]</f>
        <v>#VALUE!</v>
      </c>
      <c r="J503" t="e">
        <f>RigheOfferte[[#This Row],[Velocità]]</f>
        <v>#VALUE!</v>
      </c>
      <c r="K503" t="e">
        <f>RigheOfferte[[#This Row],[Superf.pz Mq]]</f>
        <v>#VALUE!</v>
      </c>
      <c r="L503" t="e">
        <f>RigheOfferte[[#This Row],[passo]]</f>
        <v>#VALUE!</v>
      </c>
      <c r="M503" t="e">
        <f>RigheOfferte[[#This Row],[nr.pezzi Telaio]]</f>
        <v>#VALUE!</v>
      </c>
      <c r="N503" t="e">
        <f>RigheOfferte[[#This Row],[nr.pezzi ora-unita]]</f>
        <v>#VALUE!</v>
      </c>
      <c r="O503" t="e">
        <f>Tabella1[[#This Row],[superificie]]*Resa</f>
        <v>#VALUE!</v>
      </c>
      <c r="P503" t="e">
        <f>Tabella1[[#This Row],[KgPezzo]]*Tabella1[[#This Row],[q.ta offerta]]</f>
        <v>#VALUE!</v>
      </c>
      <c r="Q503" t="e">
        <f>RigheOfferte[[#This Row],[QtaProtez]]</f>
        <v>#VALUE!</v>
      </c>
      <c r="R503" t="e">
        <f>RigheOfferte[[#This Row],[Tipo Protezione]]</f>
        <v>#VALUE!</v>
      </c>
    </row>
    <row r="504" spans="1:18">
      <c r="A504" t="e">
        <f>RigheOfferte[[#This Row],[Nprev]]</f>
        <v>#VALUE!</v>
      </c>
      <c r="B504" t="e">
        <f>RigheOfferte[[#This Row],[Nriga]]</f>
        <v>#VALUE!</v>
      </c>
      <c r="C504" t="e">
        <f>RigheOfferte[[#This Row],[Cliente]]</f>
        <v>#VALUE!</v>
      </c>
      <c r="D504" t="e">
        <f>RigheOfferte[[#This Row],[sub_cliente]]</f>
        <v>#VALUE!</v>
      </c>
      <c r="E504" t="e">
        <f>RigheOfferte[[#This Row],[cod.Art.]]</f>
        <v>#VALUE!</v>
      </c>
      <c r="F504" t="e">
        <f>RigheOfferte[[#This Row],[Descrizione]]</f>
        <v>#VALUE!</v>
      </c>
      <c r="G504" t="e">
        <f>RigheOfferte[[#This Row],[Q.ta'']]</f>
        <v>#VALUE!</v>
      </c>
      <c r="H504" t="e">
        <f>RigheOfferte[[#This Row],[Lavorazione]]</f>
        <v>#VALUE!</v>
      </c>
      <c r="I504" t="e">
        <f>RigheOfferte[[#This Row],[Colore]]</f>
        <v>#VALUE!</v>
      </c>
      <c r="J504" t="e">
        <f>RigheOfferte[[#This Row],[Velocità]]</f>
        <v>#VALUE!</v>
      </c>
      <c r="K504" t="e">
        <f>RigheOfferte[[#This Row],[Superf.pz Mq]]</f>
        <v>#VALUE!</v>
      </c>
      <c r="L504" t="e">
        <f>RigheOfferte[[#This Row],[passo]]</f>
        <v>#VALUE!</v>
      </c>
      <c r="M504" t="e">
        <f>RigheOfferte[[#This Row],[nr.pezzi Telaio]]</f>
        <v>#VALUE!</v>
      </c>
      <c r="N504" t="e">
        <f>RigheOfferte[[#This Row],[nr.pezzi ora-unita]]</f>
        <v>#VALUE!</v>
      </c>
      <c r="O504" t="e">
        <f>Tabella1[[#This Row],[superificie]]*Resa</f>
        <v>#VALUE!</v>
      </c>
      <c r="P504" t="e">
        <f>Tabella1[[#This Row],[KgPezzo]]*Tabella1[[#This Row],[q.ta offerta]]</f>
        <v>#VALUE!</v>
      </c>
      <c r="Q504" t="e">
        <f>RigheOfferte[[#This Row],[QtaProtez]]</f>
        <v>#VALUE!</v>
      </c>
      <c r="R504" t="e">
        <f>RigheOfferte[[#This Row],[Tipo Protezione]]</f>
        <v>#VALUE!</v>
      </c>
    </row>
    <row r="505" spans="1:18">
      <c r="A505" t="e">
        <f>RigheOfferte[[#This Row],[Nprev]]</f>
        <v>#VALUE!</v>
      </c>
      <c r="B505" t="e">
        <f>RigheOfferte[[#This Row],[Nriga]]</f>
        <v>#VALUE!</v>
      </c>
      <c r="C505" t="e">
        <f>RigheOfferte[[#This Row],[Cliente]]</f>
        <v>#VALUE!</v>
      </c>
      <c r="D505" t="e">
        <f>RigheOfferte[[#This Row],[sub_cliente]]</f>
        <v>#VALUE!</v>
      </c>
      <c r="E505" t="e">
        <f>RigheOfferte[[#This Row],[cod.Art.]]</f>
        <v>#VALUE!</v>
      </c>
      <c r="F505" t="e">
        <f>RigheOfferte[[#This Row],[Descrizione]]</f>
        <v>#VALUE!</v>
      </c>
      <c r="G505" t="e">
        <f>RigheOfferte[[#This Row],[Q.ta'']]</f>
        <v>#VALUE!</v>
      </c>
      <c r="H505" t="e">
        <f>RigheOfferte[[#This Row],[Lavorazione]]</f>
        <v>#VALUE!</v>
      </c>
      <c r="I505" t="e">
        <f>RigheOfferte[[#This Row],[Colore]]</f>
        <v>#VALUE!</v>
      </c>
      <c r="J505" t="e">
        <f>RigheOfferte[[#This Row],[Velocità]]</f>
        <v>#VALUE!</v>
      </c>
      <c r="K505" t="e">
        <f>RigheOfferte[[#This Row],[Superf.pz Mq]]</f>
        <v>#VALUE!</v>
      </c>
      <c r="L505" t="e">
        <f>RigheOfferte[[#This Row],[passo]]</f>
        <v>#VALUE!</v>
      </c>
      <c r="M505" t="e">
        <f>RigheOfferte[[#This Row],[nr.pezzi Telaio]]</f>
        <v>#VALUE!</v>
      </c>
      <c r="N505" t="e">
        <f>RigheOfferte[[#This Row],[nr.pezzi ora-unita]]</f>
        <v>#VALUE!</v>
      </c>
      <c r="O505" t="e">
        <f>Tabella1[[#This Row],[superificie]]*Resa</f>
        <v>#VALUE!</v>
      </c>
      <c r="P505" t="e">
        <f>Tabella1[[#This Row],[KgPezzo]]*Tabella1[[#This Row],[q.ta offerta]]</f>
        <v>#VALUE!</v>
      </c>
      <c r="Q505" t="e">
        <f>RigheOfferte[[#This Row],[QtaProtez]]</f>
        <v>#VALUE!</v>
      </c>
      <c r="R505" t="e">
        <f>RigheOfferte[[#This Row],[Tipo Protezione]]</f>
        <v>#VALUE!</v>
      </c>
    </row>
    <row r="506" spans="1:18">
      <c r="A506" t="e">
        <f>RigheOfferte[[#This Row],[Nprev]]</f>
        <v>#VALUE!</v>
      </c>
      <c r="B506" t="e">
        <f>RigheOfferte[[#This Row],[Nriga]]</f>
        <v>#VALUE!</v>
      </c>
      <c r="C506" t="e">
        <f>RigheOfferte[[#This Row],[Cliente]]</f>
        <v>#VALUE!</v>
      </c>
      <c r="D506" t="e">
        <f>RigheOfferte[[#This Row],[sub_cliente]]</f>
        <v>#VALUE!</v>
      </c>
      <c r="E506" t="e">
        <f>RigheOfferte[[#This Row],[cod.Art.]]</f>
        <v>#VALUE!</v>
      </c>
      <c r="F506" t="e">
        <f>RigheOfferte[[#This Row],[Descrizione]]</f>
        <v>#VALUE!</v>
      </c>
      <c r="G506" t="e">
        <f>RigheOfferte[[#This Row],[Q.ta'']]</f>
        <v>#VALUE!</v>
      </c>
      <c r="H506" t="e">
        <f>RigheOfferte[[#This Row],[Lavorazione]]</f>
        <v>#VALUE!</v>
      </c>
      <c r="I506" t="e">
        <f>RigheOfferte[[#This Row],[Colore]]</f>
        <v>#VALUE!</v>
      </c>
      <c r="J506" t="e">
        <f>RigheOfferte[[#This Row],[Velocità]]</f>
        <v>#VALUE!</v>
      </c>
      <c r="K506" t="e">
        <f>RigheOfferte[[#This Row],[Superf.pz Mq]]</f>
        <v>#VALUE!</v>
      </c>
      <c r="L506" t="e">
        <f>RigheOfferte[[#This Row],[passo]]</f>
        <v>#VALUE!</v>
      </c>
      <c r="M506" t="e">
        <f>RigheOfferte[[#This Row],[nr.pezzi Telaio]]</f>
        <v>#VALUE!</v>
      </c>
      <c r="N506" t="e">
        <f>RigheOfferte[[#This Row],[nr.pezzi ora-unita]]</f>
        <v>#VALUE!</v>
      </c>
      <c r="O506" t="e">
        <f>Tabella1[[#This Row],[superificie]]*Resa</f>
        <v>#VALUE!</v>
      </c>
      <c r="P506" t="e">
        <f>Tabella1[[#This Row],[KgPezzo]]*Tabella1[[#This Row],[q.ta offerta]]</f>
        <v>#VALUE!</v>
      </c>
      <c r="Q506" t="e">
        <f>RigheOfferte[[#This Row],[QtaProtez]]</f>
        <v>#VALUE!</v>
      </c>
      <c r="R506" t="e">
        <f>RigheOfferte[[#This Row],[Tipo Protezione]]</f>
        <v>#VALUE!</v>
      </c>
    </row>
    <row r="507" spans="1:18">
      <c r="A507" t="e">
        <f>RigheOfferte[[#This Row],[Nprev]]</f>
        <v>#VALUE!</v>
      </c>
      <c r="B507" t="e">
        <f>RigheOfferte[[#This Row],[Nriga]]</f>
        <v>#VALUE!</v>
      </c>
      <c r="C507" t="e">
        <f>RigheOfferte[[#This Row],[Cliente]]</f>
        <v>#VALUE!</v>
      </c>
      <c r="D507" t="e">
        <f>RigheOfferte[[#This Row],[sub_cliente]]</f>
        <v>#VALUE!</v>
      </c>
      <c r="E507" t="e">
        <f>RigheOfferte[[#This Row],[cod.Art.]]</f>
        <v>#VALUE!</v>
      </c>
      <c r="F507" t="e">
        <f>RigheOfferte[[#This Row],[Descrizione]]</f>
        <v>#VALUE!</v>
      </c>
      <c r="G507" t="e">
        <f>RigheOfferte[[#This Row],[Q.ta'']]</f>
        <v>#VALUE!</v>
      </c>
      <c r="H507" t="e">
        <f>RigheOfferte[[#This Row],[Lavorazione]]</f>
        <v>#VALUE!</v>
      </c>
      <c r="I507" t="e">
        <f>RigheOfferte[[#This Row],[Colore]]</f>
        <v>#VALUE!</v>
      </c>
      <c r="J507" t="e">
        <f>RigheOfferte[[#This Row],[Velocità]]</f>
        <v>#VALUE!</v>
      </c>
      <c r="K507" t="e">
        <f>RigheOfferte[[#This Row],[Superf.pz Mq]]</f>
        <v>#VALUE!</v>
      </c>
      <c r="L507" t="e">
        <f>RigheOfferte[[#This Row],[passo]]</f>
        <v>#VALUE!</v>
      </c>
      <c r="M507" t="e">
        <f>RigheOfferte[[#This Row],[nr.pezzi Telaio]]</f>
        <v>#VALUE!</v>
      </c>
      <c r="N507" t="e">
        <f>RigheOfferte[[#This Row],[nr.pezzi ora-unita]]</f>
        <v>#VALUE!</v>
      </c>
      <c r="O507" t="e">
        <f>Tabella1[[#This Row],[superificie]]*Resa</f>
        <v>#VALUE!</v>
      </c>
      <c r="P507" t="e">
        <f>Tabella1[[#This Row],[KgPezzo]]*Tabella1[[#This Row],[q.ta offerta]]</f>
        <v>#VALUE!</v>
      </c>
      <c r="Q507" t="e">
        <f>RigheOfferte[[#This Row],[QtaProtez]]</f>
        <v>#VALUE!</v>
      </c>
      <c r="R507" t="e">
        <f>RigheOfferte[[#This Row],[Tipo Protezione]]</f>
        <v>#VALUE!</v>
      </c>
    </row>
    <row r="508" spans="1:18">
      <c r="A508" t="e">
        <f>RigheOfferte[[#This Row],[Nprev]]</f>
        <v>#VALUE!</v>
      </c>
      <c r="B508" t="e">
        <f>RigheOfferte[[#This Row],[Nriga]]</f>
        <v>#VALUE!</v>
      </c>
      <c r="C508" t="e">
        <f>RigheOfferte[[#This Row],[Cliente]]</f>
        <v>#VALUE!</v>
      </c>
      <c r="D508" t="e">
        <f>RigheOfferte[[#This Row],[sub_cliente]]</f>
        <v>#VALUE!</v>
      </c>
      <c r="E508" t="e">
        <f>RigheOfferte[[#This Row],[cod.Art.]]</f>
        <v>#VALUE!</v>
      </c>
      <c r="F508" t="e">
        <f>RigheOfferte[[#This Row],[Descrizione]]</f>
        <v>#VALUE!</v>
      </c>
      <c r="G508" t="e">
        <f>RigheOfferte[[#This Row],[Q.ta'']]</f>
        <v>#VALUE!</v>
      </c>
      <c r="H508" t="e">
        <f>RigheOfferte[[#This Row],[Lavorazione]]</f>
        <v>#VALUE!</v>
      </c>
      <c r="I508" t="e">
        <f>RigheOfferte[[#This Row],[Colore]]</f>
        <v>#VALUE!</v>
      </c>
      <c r="J508" t="e">
        <f>RigheOfferte[[#This Row],[Velocità]]</f>
        <v>#VALUE!</v>
      </c>
      <c r="K508" t="e">
        <f>RigheOfferte[[#This Row],[Superf.pz Mq]]</f>
        <v>#VALUE!</v>
      </c>
      <c r="L508" t="e">
        <f>RigheOfferte[[#This Row],[passo]]</f>
        <v>#VALUE!</v>
      </c>
      <c r="M508" t="e">
        <f>RigheOfferte[[#This Row],[nr.pezzi Telaio]]</f>
        <v>#VALUE!</v>
      </c>
      <c r="N508" t="e">
        <f>RigheOfferte[[#This Row],[nr.pezzi ora-unita]]</f>
        <v>#VALUE!</v>
      </c>
      <c r="O508" t="e">
        <f>Tabella1[[#This Row],[superificie]]*Resa</f>
        <v>#VALUE!</v>
      </c>
      <c r="P508" t="e">
        <f>Tabella1[[#This Row],[KgPezzo]]*Tabella1[[#This Row],[q.ta offerta]]</f>
        <v>#VALUE!</v>
      </c>
      <c r="Q508" t="e">
        <f>RigheOfferte[[#This Row],[QtaProtez]]</f>
        <v>#VALUE!</v>
      </c>
      <c r="R508" t="e">
        <f>RigheOfferte[[#This Row],[Tipo Protezione]]</f>
        <v>#VALUE!</v>
      </c>
    </row>
    <row r="509" spans="1:18">
      <c r="A509" t="e">
        <f>RigheOfferte[[#This Row],[Nprev]]</f>
        <v>#VALUE!</v>
      </c>
      <c r="B509" t="e">
        <f>RigheOfferte[[#This Row],[Nriga]]</f>
        <v>#VALUE!</v>
      </c>
      <c r="C509" t="e">
        <f>RigheOfferte[[#This Row],[Cliente]]</f>
        <v>#VALUE!</v>
      </c>
      <c r="D509" t="e">
        <f>RigheOfferte[[#This Row],[sub_cliente]]</f>
        <v>#VALUE!</v>
      </c>
      <c r="E509" t="e">
        <f>RigheOfferte[[#This Row],[cod.Art.]]</f>
        <v>#VALUE!</v>
      </c>
      <c r="F509" t="e">
        <f>RigheOfferte[[#This Row],[Descrizione]]</f>
        <v>#VALUE!</v>
      </c>
      <c r="G509" t="e">
        <f>RigheOfferte[[#This Row],[Q.ta'']]</f>
        <v>#VALUE!</v>
      </c>
      <c r="H509" t="e">
        <f>RigheOfferte[[#This Row],[Lavorazione]]</f>
        <v>#VALUE!</v>
      </c>
      <c r="I509" t="e">
        <f>RigheOfferte[[#This Row],[Colore]]</f>
        <v>#VALUE!</v>
      </c>
      <c r="J509" t="e">
        <f>RigheOfferte[[#This Row],[Velocità]]</f>
        <v>#VALUE!</v>
      </c>
      <c r="K509" t="e">
        <f>RigheOfferte[[#This Row],[Superf.pz Mq]]</f>
        <v>#VALUE!</v>
      </c>
      <c r="L509" t="e">
        <f>RigheOfferte[[#This Row],[passo]]</f>
        <v>#VALUE!</v>
      </c>
      <c r="M509" t="e">
        <f>RigheOfferte[[#This Row],[nr.pezzi Telaio]]</f>
        <v>#VALUE!</v>
      </c>
      <c r="N509" t="e">
        <f>RigheOfferte[[#This Row],[nr.pezzi ora-unita]]</f>
        <v>#VALUE!</v>
      </c>
      <c r="O509" t="e">
        <f>Tabella1[[#This Row],[superificie]]*Resa</f>
        <v>#VALUE!</v>
      </c>
      <c r="P509" t="e">
        <f>Tabella1[[#This Row],[KgPezzo]]*Tabella1[[#This Row],[q.ta offerta]]</f>
        <v>#VALUE!</v>
      </c>
      <c r="Q509" t="e">
        <f>RigheOfferte[[#This Row],[QtaProtez]]</f>
        <v>#VALUE!</v>
      </c>
      <c r="R509" t="e">
        <f>RigheOfferte[[#This Row],[Tipo Protezione]]</f>
        <v>#VALUE!</v>
      </c>
    </row>
    <row r="510" spans="1:18">
      <c r="A510" t="e">
        <f>RigheOfferte[[#This Row],[Nprev]]</f>
        <v>#VALUE!</v>
      </c>
      <c r="B510" t="e">
        <f>RigheOfferte[[#This Row],[Nriga]]</f>
        <v>#VALUE!</v>
      </c>
      <c r="C510" t="e">
        <f>RigheOfferte[[#This Row],[Cliente]]</f>
        <v>#VALUE!</v>
      </c>
      <c r="D510" t="e">
        <f>RigheOfferte[[#This Row],[sub_cliente]]</f>
        <v>#VALUE!</v>
      </c>
      <c r="E510" t="e">
        <f>RigheOfferte[[#This Row],[cod.Art.]]</f>
        <v>#VALUE!</v>
      </c>
      <c r="F510" t="e">
        <f>RigheOfferte[[#This Row],[Descrizione]]</f>
        <v>#VALUE!</v>
      </c>
      <c r="G510" t="e">
        <f>RigheOfferte[[#This Row],[Q.ta'']]</f>
        <v>#VALUE!</v>
      </c>
      <c r="H510" t="e">
        <f>RigheOfferte[[#This Row],[Lavorazione]]</f>
        <v>#VALUE!</v>
      </c>
      <c r="I510" t="e">
        <f>RigheOfferte[[#This Row],[Colore]]</f>
        <v>#VALUE!</v>
      </c>
      <c r="J510" t="e">
        <f>RigheOfferte[[#This Row],[Velocità]]</f>
        <v>#VALUE!</v>
      </c>
      <c r="K510" t="e">
        <f>RigheOfferte[[#This Row],[Superf.pz Mq]]</f>
        <v>#VALUE!</v>
      </c>
      <c r="L510" t="e">
        <f>RigheOfferte[[#This Row],[passo]]</f>
        <v>#VALUE!</v>
      </c>
      <c r="M510" t="e">
        <f>RigheOfferte[[#This Row],[nr.pezzi Telaio]]</f>
        <v>#VALUE!</v>
      </c>
      <c r="N510" t="e">
        <f>RigheOfferte[[#This Row],[nr.pezzi ora-unita]]</f>
        <v>#VALUE!</v>
      </c>
      <c r="O510" t="e">
        <f>Tabella1[[#This Row],[superificie]]*Resa</f>
        <v>#VALUE!</v>
      </c>
      <c r="P510" t="e">
        <f>Tabella1[[#This Row],[KgPezzo]]*Tabella1[[#This Row],[q.ta offerta]]</f>
        <v>#VALUE!</v>
      </c>
      <c r="Q510" t="e">
        <f>RigheOfferte[[#This Row],[QtaProtez]]</f>
        <v>#VALUE!</v>
      </c>
      <c r="R510" t="e">
        <f>RigheOfferte[[#This Row],[Tipo Protezione]]</f>
        <v>#VALUE!</v>
      </c>
    </row>
    <row r="511" spans="1:18">
      <c r="A511" t="e">
        <f>RigheOfferte[[#This Row],[Nprev]]</f>
        <v>#VALUE!</v>
      </c>
      <c r="B511" t="e">
        <f>RigheOfferte[[#This Row],[Nriga]]</f>
        <v>#VALUE!</v>
      </c>
      <c r="C511" t="e">
        <f>RigheOfferte[[#This Row],[Cliente]]</f>
        <v>#VALUE!</v>
      </c>
      <c r="D511" t="e">
        <f>RigheOfferte[[#This Row],[sub_cliente]]</f>
        <v>#VALUE!</v>
      </c>
      <c r="E511" t="e">
        <f>RigheOfferte[[#This Row],[cod.Art.]]</f>
        <v>#VALUE!</v>
      </c>
      <c r="F511" t="e">
        <f>RigheOfferte[[#This Row],[Descrizione]]</f>
        <v>#VALUE!</v>
      </c>
      <c r="G511" t="e">
        <f>RigheOfferte[[#This Row],[Q.ta'']]</f>
        <v>#VALUE!</v>
      </c>
      <c r="H511" t="e">
        <f>RigheOfferte[[#This Row],[Lavorazione]]</f>
        <v>#VALUE!</v>
      </c>
      <c r="I511" t="e">
        <f>RigheOfferte[[#This Row],[Colore]]</f>
        <v>#VALUE!</v>
      </c>
      <c r="J511" t="e">
        <f>RigheOfferte[[#This Row],[Velocità]]</f>
        <v>#VALUE!</v>
      </c>
      <c r="K511" t="e">
        <f>RigheOfferte[[#This Row],[Superf.pz Mq]]</f>
        <v>#VALUE!</v>
      </c>
      <c r="L511" t="e">
        <f>RigheOfferte[[#This Row],[passo]]</f>
        <v>#VALUE!</v>
      </c>
      <c r="M511" t="e">
        <f>RigheOfferte[[#This Row],[nr.pezzi Telaio]]</f>
        <v>#VALUE!</v>
      </c>
      <c r="N511" t="e">
        <f>RigheOfferte[[#This Row],[nr.pezzi ora-unita]]</f>
        <v>#VALUE!</v>
      </c>
      <c r="O511" t="e">
        <f>Tabella1[[#This Row],[superificie]]*Resa</f>
        <v>#VALUE!</v>
      </c>
      <c r="P511" t="e">
        <f>Tabella1[[#This Row],[KgPezzo]]*Tabella1[[#This Row],[q.ta offerta]]</f>
        <v>#VALUE!</v>
      </c>
      <c r="Q511" t="e">
        <f>RigheOfferte[[#This Row],[QtaProtez]]</f>
        <v>#VALUE!</v>
      </c>
      <c r="R511" t="e">
        <f>RigheOfferte[[#This Row],[Tipo Protezione]]</f>
        <v>#VALUE!</v>
      </c>
    </row>
    <row r="512" spans="1:18">
      <c r="A512" t="e">
        <f>RigheOfferte[[#This Row],[Nprev]]</f>
        <v>#VALUE!</v>
      </c>
      <c r="B512" t="e">
        <f>RigheOfferte[[#This Row],[Nriga]]</f>
        <v>#VALUE!</v>
      </c>
      <c r="C512" t="e">
        <f>RigheOfferte[[#This Row],[Cliente]]</f>
        <v>#VALUE!</v>
      </c>
      <c r="D512" t="e">
        <f>RigheOfferte[[#This Row],[sub_cliente]]</f>
        <v>#VALUE!</v>
      </c>
      <c r="E512" t="e">
        <f>RigheOfferte[[#This Row],[cod.Art.]]</f>
        <v>#VALUE!</v>
      </c>
      <c r="F512" t="e">
        <f>RigheOfferte[[#This Row],[Descrizione]]</f>
        <v>#VALUE!</v>
      </c>
      <c r="G512" t="e">
        <f>RigheOfferte[[#This Row],[Q.ta'']]</f>
        <v>#VALUE!</v>
      </c>
      <c r="H512" t="e">
        <f>RigheOfferte[[#This Row],[Lavorazione]]</f>
        <v>#VALUE!</v>
      </c>
      <c r="I512" t="e">
        <f>RigheOfferte[[#This Row],[Colore]]</f>
        <v>#VALUE!</v>
      </c>
      <c r="J512" t="e">
        <f>RigheOfferte[[#This Row],[Velocità]]</f>
        <v>#VALUE!</v>
      </c>
      <c r="K512" t="e">
        <f>RigheOfferte[[#This Row],[Superf.pz Mq]]</f>
        <v>#VALUE!</v>
      </c>
      <c r="L512" t="e">
        <f>RigheOfferte[[#This Row],[passo]]</f>
        <v>#VALUE!</v>
      </c>
      <c r="M512" t="e">
        <f>RigheOfferte[[#This Row],[nr.pezzi Telaio]]</f>
        <v>#VALUE!</v>
      </c>
      <c r="N512" t="e">
        <f>RigheOfferte[[#This Row],[nr.pezzi ora-unita]]</f>
        <v>#VALUE!</v>
      </c>
      <c r="O512" t="e">
        <f>Tabella1[[#This Row],[superificie]]*Resa</f>
        <v>#VALUE!</v>
      </c>
      <c r="P512" t="e">
        <f>Tabella1[[#This Row],[KgPezzo]]*Tabella1[[#This Row],[q.ta offerta]]</f>
        <v>#VALUE!</v>
      </c>
      <c r="Q512" t="e">
        <f>RigheOfferte[[#This Row],[QtaProtez]]</f>
        <v>#VALUE!</v>
      </c>
      <c r="R512" t="e">
        <f>RigheOfferte[[#This Row],[Tipo Protezione]]</f>
        <v>#VALUE!</v>
      </c>
    </row>
    <row r="513" spans="1:18">
      <c r="A513" t="e">
        <f>RigheOfferte[[#This Row],[Nprev]]</f>
        <v>#VALUE!</v>
      </c>
      <c r="B513" t="e">
        <f>RigheOfferte[[#This Row],[Nriga]]</f>
        <v>#VALUE!</v>
      </c>
      <c r="C513" t="e">
        <f>RigheOfferte[[#This Row],[Cliente]]</f>
        <v>#VALUE!</v>
      </c>
      <c r="D513" t="e">
        <f>RigheOfferte[[#This Row],[sub_cliente]]</f>
        <v>#VALUE!</v>
      </c>
      <c r="E513" t="e">
        <f>RigheOfferte[[#This Row],[cod.Art.]]</f>
        <v>#VALUE!</v>
      </c>
      <c r="F513" t="e">
        <f>RigheOfferte[[#This Row],[Descrizione]]</f>
        <v>#VALUE!</v>
      </c>
      <c r="G513" t="e">
        <f>RigheOfferte[[#This Row],[Q.ta'']]</f>
        <v>#VALUE!</v>
      </c>
      <c r="H513" t="e">
        <f>RigheOfferte[[#This Row],[Lavorazione]]</f>
        <v>#VALUE!</v>
      </c>
      <c r="I513" t="e">
        <f>RigheOfferte[[#This Row],[Colore]]</f>
        <v>#VALUE!</v>
      </c>
      <c r="J513" t="e">
        <f>RigheOfferte[[#This Row],[Velocità]]</f>
        <v>#VALUE!</v>
      </c>
      <c r="K513" t="e">
        <f>RigheOfferte[[#This Row],[Superf.pz Mq]]</f>
        <v>#VALUE!</v>
      </c>
      <c r="L513" t="e">
        <f>RigheOfferte[[#This Row],[passo]]</f>
        <v>#VALUE!</v>
      </c>
      <c r="M513" t="e">
        <f>RigheOfferte[[#This Row],[nr.pezzi Telaio]]</f>
        <v>#VALUE!</v>
      </c>
      <c r="N513" t="e">
        <f>RigheOfferte[[#This Row],[nr.pezzi ora-unita]]</f>
        <v>#VALUE!</v>
      </c>
      <c r="O513" t="e">
        <f>Tabella1[[#This Row],[superificie]]*Resa</f>
        <v>#VALUE!</v>
      </c>
      <c r="P513" t="e">
        <f>Tabella1[[#This Row],[KgPezzo]]*Tabella1[[#This Row],[q.ta offerta]]</f>
        <v>#VALUE!</v>
      </c>
      <c r="Q513" t="e">
        <f>RigheOfferte[[#This Row],[QtaProtez]]</f>
        <v>#VALUE!</v>
      </c>
      <c r="R513" t="e">
        <f>RigheOfferte[[#This Row],[Tipo Protezione]]</f>
        <v>#VALUE!</v>
      </c>
    </row>
    <row r="514" spans="1:18">
      <c r="A514" t="e">
        <f>RigheOfferte[[#This Row],[Nprev]]</f>
        <v>#VALUE!</v>
      </c>
      <c r="B514" t="e">
        <f>RigheOfferte[[#This Row],[Nriga]]</f>
        <v>#VALUE!</v>
      </c>
      <c r="C514" t="e">
        <f>RigheOfferte[[#This Row],[Cliente]]</f>
        <v>#VALUE!</v>
      </c>
      <c r="D514" t="e">
        <f>RigheOfferte[[#This Row],[sub_cliente]]</f>
        <v>#VALUE!</v>
      </c>
      <c r="E514" t="e">
        <f>RigheOfferte[[#This Row],[cod.Art.]]</f>
        <v>#VALUE!</v>
      </c>
      <c r="F514" t="e">
        <f>RigheOfferte[[#This Row],[Descrizione]]</f>
        <v>#VALUE!</v>
      </c>
      <c r="G514" t="e">
        <f>RigheOfferte[[#This Row],[Q.ta'']]</f>
        <v>#VALUE!</v>
      </c>
      <c r="H514" t="e">
        <f>RigheOfferte[[#This Row],[Lavorazione]]</f>
        <v>#VALUE!</v>
      </c>
      <c r="I514" t="e">
        <f>RigheOfferte[[#This Row],[Colore]]</f>
        <v>#VALUE!</v>
      </c>
      <c r="J514" t="e">
        <f>RigheOfferte[[#This Row],[Velocità]]</f>
        <v>#VALUE!</v>
      </c>
      <c r="K514" t="e">
        <f>RigheOfferte[[#This Row],[Superf.pz Mq]]</f>
        <v>#VALUE!</v>
      </c>
      <c r="L514" t="e">
        <f>RigheOfferte[[#This Row],[passo]]</f>
        <v>#VALUE!</v>
      </c>
      <c r="M514" t="e">
        <f>RigheOfferte[[#This Row],[nr.pezzi Telaio]]</f>
        <v>#VALUE!</v>
      </c>
      <c r="N514" t="e">
        <f>RigheOfferte[[#This Row],[nr.pezzi ora-unita]]</f>
        <v>#VALUE!</v>
      </c>
      <c r="O514" t="e">
        <f>Tabella1[[#This Row],[superificie]]*Resa</f>
        <v>#VALUE!</v>
      </c>
      <c r="P514" t="e">
        <f>Tabella1[[#This Row],[KgPezzo]]*Tabella1[[#This Row],[q.ta offerta]]</f>
        <v>#VALUE!</v>
      </c>
      <c r="Q514" t="e">
        <f>RigheOfferte[[#This Row],[QtaProtez]]</f>
        <v>#VALUE!</v>
      </c>
      <c r="R514" t="e">
        <f>RigheOfferte[[#This Row],[Tipo Protezione]]</f>
        <v>#VALUE!</v>
      </c>
    </row>
    <row r="515" spans="1:18">
      <c r="A515" t="e">
        <f>RigheOfferte[[#This Row],[Nprev]]</f>
        <v>#VALUE!</v>
      </c>
      <c r="B515" t="e">
        <f>RigheOfferte[[#This Row],[Nriga]]</f>
        <v>#VALUE!</v>
      </c>
      <c r="C515" t="e">
        <f>RigheOfferte[[#This Row],[Cliente]]</f>
        <v>#VALUE!</v>
      </c>
      <c r="D515" t="e">
        <f>RigheOfferte[[#This Row],[sub_cliente]]</f>
        <v>#VALUE!</v>
      </c>
      <c r="E515" t="e">
        <f>RigheOfferte[[#This Row],[cod.Art.]]</f>
        <v>#VALUE!</v>
      </c>
      <c r="F515" t="e">
        <f>RigheOfferte[[#This Row],[Descrizione]]</f>
        <v>#VALUE!</v>
      </c>
      <c r="G515" t="e">
        <f>RigheOfferte[[#This Row],[Q.ta'']]</f>
        <v>#VALUE!</v>
      </c>
      <c r="H515" t="e">
        <f>RigheOfferte[[#This Row],[Lavorazione]]</f>
        <v>#VALUE!</v>
      </c>
      <c r="I515" t="e">
        <f>RigheOfferte[[#This Row],[Colore]]</f>
        <v>#VALUE!</v>
      </c>
      <c r="J515" t="e">
        <f>RigheOfferte[[#This Row],[Velocità]]</f>
        <v>#VALUE!</v>
      </c>
      <c r="K515" t="e">
        <f>RigheOfferte[[#This Row],[Superf.pz Mq]]</f>
        <v>#VALUE!</v>
      </c>
      <c r="L515" t="e">
        <f>RigheOfferte[[#This Row],[passo]]</f>
        <v>#VALUE!</v>
      </c>
      <c r="M515" t="e">
        <f>RigheOfferte[[#This Row],[nr.pezzi Telaio]]</f>
        <v>#VALUE!</v>
      </c>
      <c r="N515" t="e">
        <f>RigheOfferte[[#This Row],[nr.pezzi ora-unita]]</f>
        <v>#VALUE!</v>
      </c>
      <c r="O515" t="e">
        <f>Tabella1[[#This Row],[superificie]]*Resa</f>
        <v>#VALUE!</v>
      </c>
      <c r="P515" t="e">
        <f>Tabella1[[#This Row],[KgPezzo]]*Tabella1[[#This Row],[q.ta offerta]]</f>
        <v>#VALUE!</v>
      </c>
      <c r="Q515" t="e">
        <f>RigheOfferte[[#This Row],[QtaProtez]]</f>
        <v>#VALUE!</v>
      </c>
      <c r="R515" t="e">
        <f>RigheOfferte[[#This Row],[Tipo Protezione]]</f>
        <v>#VALUE!</v>
      </c>
    </row>
    <row r="516" spans="1:18">
      <c r="A516" t="e">
        <f>RigheOfferte[[#This Row],[Nprev]]</f>
        <v>#VALUE!</v>
      </c>
      <c r="B516" t="e">
        <f>RigheOfferte[[#This Row],[Nriga]]</f>
        <v>#VALUE!</v>
      </c>
      <c r="C516" t="e">
        <f>RigheOfferte[[#This Row],[Cliente]]</f>
        <v>#VALUE!</v>
      </c>
      <c r="D516" t="e">
        <f>RigheOfferte[[#This Row],[sub_cliente]]</f>
        <v>#VALUE!</v>
      </c>
      <c r="E516" t="e">
        <f>RigheOfferte[[#This Row],[cod.Art.]]</f>
        <v>#VALUE!</v>
      </c>
      <c r="F516" t="e">
        <f>RigheOfferte[[#This Row],[Descrizione]]</f>
        <v>#VALUE!</v>
      </c>
      <c r="G516" t="e">
        <f>RigheOfferte[[#This Row],[Q.ta'']]</f>
        <v>#VALUE!</v>
      </c>
      <c r="H516" t="e">
        <f>RigheOfferte[[#This Row],[Lavorazione]]</f>
        <v>#VALUE!</v>
      </c>
      <c r="I516" t="e">
        <f>RigheOfferte[[#This Row],[Colore]]</f>
        <v>#VALUE!</v>
      </c>
      <c r="J516" t="e">
        <f>RigheOfferte[[#This Row],[Velocità]]</f>
        <v>#VALUE!</v>
      </c>
      <c r="K516" t="e">
        <f>RigheOfferte[[#This Row],[Superf.pz Mq]]</f>
        <v>#VALUE!</v>
      </c>
      <c r="L516" t="e">
        <f>RigheOfferte[[#This Row],[passo]]</f>
        <v>#VALUE!</v>
      </c>
      <c r="M516" t="e">
        <f>RigheOfferte[[#This Row],[nr.pezzi Telaio]]</f>
        <v>#VALUE!</v>
      </c>
      <c r="N516" t="e">
        <f>RigheOfferte[[#This Row],[nr.pezzi ora-unita]]</f>
        <v>#VALUE!</v>
      </c>
      <c r="O516" t="e">
        <f>Tabella1[[#This Row],[superificie]]*Resa</f>
        <v>#VALUE!</v>
      </c>
      <c r="P516" t="e">
        <f>Tabella1[[#This Row],[KgPezzo]]*Tabella1[[#This Row],[q.ta offerta]]</f>
        <v>#VALUE!</v>
      </c>
      <c r="Q516" t="e">
        <f>RigheOfferte[[#This Row],[QtaProtez]]</f>
        <v>#VALUE!</v>
      </c>
      <c r="R516" t="e">
        <f>RigheOfferte[[#This Row],[Tipo Protezione]]</f>
        <v>#VALUE!</v>
      </c>
    </row>
    <row r="517" spans="1:18">
      <c r="A517" t="e">
        <f>RigheOfferte[[#This Row],[Nprev]]</f>
        <v>#VALUE!</v>
      </c>
      <c r="B517" t="e">
        <f>RigheOfferte[[#This Row],[Nriga]]</f>
        <v>#VALUE!</v>
      </c>
      <c r="C517" t="e">
        <f>RigheOfferte[[#This Row],[Cliente]]</f>
        <v>#VALUE!</v>
      </c>
      <c r="D517" t="e">
        <f>RigheOfferte[[#This Row],[sub_cliente]]</f>
        <v>#VALUE!</v>
      </c>
      <c r="E517" t="e">
        <f>RigheOfferte[[#This Row],[cod.Art.]]</f>
        <v>#VALUE!</v>
      </c>
      <c r="F517" t="e">
        <f>RigheOfferte[[#This Row],[Descrizione]]</f>
        <v>#VALUE!</v>
      </c>
      <c r="G517" t="e">
        <f>RigheOfferte[[#This Row],[Q.ta'']]</f>
        <v>#VALUE!</v>
      </c>
      <c r="H517" t="e">
        <f>RigheOfferte[[#This Row],[Lavorazione]]</f>
        <v>#VALUE!</v>
      </c>
      <c r="I517" t="e">
        <f>RigheOfferte[[#This Row],[Colore]]</f>
        <v>#VALUE!</v>
      </c>
      <c r="J517" t="e">
        <f>RigheOfferte[[#This Row],[Velocità]]</f>
        <v>#VALUE!</v>
      </c>
      <c r="K517" t="e">
        <f>RigheOfferte[[#This Row],[Superf.pz Mq]]</f>
        <v>#VALUE!</v>
      </c>
      <c r="L517" t="e">
        <f>RigheOfferte[[#This Row],[passo]]</f>
        <v>#VALUE!</v>
      </c>
      <c r="M517" t="e">
        <f>RigheOfferte[[#This Row],[nr.pezzi Telaio]]</f>
        <v>#VALUE!</v>
      </c>
      <c r="N517" t="e">
        <f>RigheOfferte[[#This Row],[nr.pezzi ora-unita]]</f>
        <v>#VALUE!</v>
      </c>
      <c r="O517" t="e">
        <f>Tabella1[[#This Row],[superificie]]*Resa</f>
        <v>#VALUE!</v>
      </c>
      <c r="P517" t="e">
        <f>Tabella1[[#This Row],[KgPezzo]]*Tabella1[[#This Row],[q.ta offerta]]</f>
        <v>#VALUE!</v>
      </c>
      <c r="Q517" t="e">
        <f>RigheOfferte[[#This Row],[QtaProtez]]</f>
        <v>#VALUE!</v>
      </c>
      <c r="R517" t="e">
        <f>RigheOfferte[[#This Row],[Tipo Protezione]]</f>
        <v>#VALUE!</v>
      </c>
    </row>
    <row r="518" spans="1:18">
      <c r="A518" t="e">
        <f>RigheOfferte[[#This Row],[Nprev]]</f>
        <v>#VALUE!</v>
      </c>
      <c r="B518" t="e">
        <f>RigheOfferte[[#This Row],[Nriga]]</f>
        <v>#VALUE!</v>
      </c>
      <c r="C518" t="e">
        <f>RigheOfferte[[#This Row],[Cliente]]</f>
        <v>#VALUE!</v>
      </c>
      <c r="D518" t="e">
        <f>RigheOfferte[[#This Row],[sub_cliente]]</f>
        <v>#VALUE!</v>
      </c>
      <c r="E518" t="e">
        <f>RigheOfferte[[#This Row],[cod.Art.]]</f>
        <v>#VALUE!</v>
      </c>
      <c r="F518" t="e">
        <f>RigheOfferte[[#This Row],[Descrizione]]</f>
        <v>#VALUE!</v>
      </c>
      <c r="G518" t="e">
        <f>RigheOfferte[[#This Row],[Q.ta'']]</f>
        <v>#VALUE!</v>
      </c>
      <c r="H518" t="e">
        <f>RigheOfferte[[#This Row],[Lavorazione]]</f>
        <v>#VALUE!</v>
      </c>
      <c r="I518" t="e">
        <f>RigheOfferte[[#This Row],[Colore]]</f>
        <v>#VALUE!</v>
      </c>
      <c r="J518" t="e">
        <f>RigheOfferte[[#This Row],[Velocità]]</f>
        <v>#VALUE!</v>
      </c>
      <c r="K518" t="e">
        <f>RigheOfferte[[#This Row],[Superf.pz Mq]]</f>
        <v>#VALUE!</v>
      </c>
      <c r="L518" t="e">
        <f>RigheOfferte[[#This Row],[passo]]</f>
        <v>#VALUE!</v>
      </c>
      <c r="M518" t="e">
        <f>RigheOfferte[[#This Row],[nr.pezzi Telaio]]</f>
        <v>#VALUE!</v>
      </c>
      <c r="N518" t="e">
        <f>RigheOfferte[[#This Row],[nr.pezzi ora-unita]]</f>
        <v>#VALUE!</v>
      </c>
      <c r="O518" t="e">
        <f>Tabella1[[#This Row],[superificie]]*Resa</f>
        <v>#VALUE!</v>
      </c>
      <c r="P518" t="e">
        <f>Tabella1[[#This Row],[KgPezzo]]*Tabella1[[#This Row],[q.ta offerta]]</f>
        <v>#VALUE!</v>
      </c>
      <c r="Q518" t="e">
        <f>RigheOfferte[[#This Row],[QtaProtez]]</f>
        <v>#VALUE!</v>
      </c>
      <c r="R518" t="e">
        <f>RigheOfferte[[#This Row],[Tipo Protezione]]</f>
        <v>#VALUE!</v>
      </c>
    </row>
    <row r="519" spans="1:18">
      <c r="A519" t="e">
        <f>RigheOfferte[[#This Row],[Nprev]]</f>
        <v>#VALUE!</v>
      </c>
      <c r="B519" t="e">
        <f>RigheOfferte[[#This Row],[Nriga]]</f>
        <v>#VALUE!</v>
      </c>
      <c r="C519" t="e">
        <f>RigheOfferte[[#This Row],[Cliente]]</f>
        <v>#VALUE!</v>
      </c>
      <c r="D519" t="e">
        <f>RigheOfferte[[#This Row],[sub_cliente]]</f>
        <v>#VALUE!</v>
      </c>
      <c r="E519" t="e">
        <f>RigheOfferte[[#This Row],[cod.Art.]]</f>
        <v>#VALUE!</v>
      </c>
      <c r="F519" t="e">
        <f>RigheOfferte[[#This Row],[Descrizione]]</f>
        <v>#VALUE!</v>
      </c>
      <c r="G519" t="e">
        <f>RigheOfferte[[#This Row],[Q.ta'']]</f>
        <v>#VALUE!</v>
      </c>
      <c r="H519" t="e">
        <f>RigheOfferte[[#This Row],[Lavorazione]]</f>
        <v>#VALUE!</v>
      </c>
      <c r="I519" t="e">
        <f>RigheOfferte[[#This Row],[Colore]]</f>
        <v>#VALUE!</v>
      </c>
      <c r="J519" t="e">
        <f>RigheOfferte[[#This Row],[Velocità]]</f>
        <v>#VALUE!</v>
      </c>
      <c r="K519" t="e">
        <f>RigheOfferte[[#This Row],[Superf.pz Mq]]</f>
        <v>#VALUE!</v>
      </c>
      <c r="L519" t="e">
        <f>RigheOfferte[[#This Row],[passo]]</f>
        <v>#VALUE!</v>
      </c>
      <c r="M519" t="e">
        <f>RigheOfferte[[#This Row],[nr.pezzi Telaio]]</f>
        <v>#VALUE!</v>
      </c>
      <c r="N519" t="e">
        <f>RigheOfferte[[#This Row],[nr.pezzi ora-unita]]</f>
        <v>#VALUE!</v>
      </c>
      <c r="O519" t="e">
        <f>Tabella1[[#This Row],[superificie]]*Resa</f>
        <v>#VALUE!</v>
      </c>
      <c r="P519" t="e">
        <f>Tabella1[[#This Row],[KgPezzo]]*Tabella1[[#This Row],[q.ta offerta]]</f>
        <v>#VALUE!</v>
      </c>
      <c r="Q519" t="e">
        <f>RigheOfferte[[#This Row],[QtaProtez]]</f>
        <v>#VALUE!</v>
      </c>
      <c r="R519" t="e">
        <f>RigheOfferte[[#This Row],[Tipo Protezione]]</f>
        <v>#VALUE!</v>
      </c>
    </row>
    <row r="520" spans="1:18">
      <c r="A520" t="e">
        <f>RigheOfferte[[#This Row],[Nprev]]</f>
        <v>#VALUE!</v>
      </c>
      <c r="B520" t="e">
        <f>RigheOfferte[[#This Row],[Nriga]]</f>
        <v>#VALUE!</v>
      </c>
      <c r="C520" t="e">
        <f>RigheOfferte[[#This Row],[Cliente]]</f>
        <v>#VALUE!</v>
      </c>
      <c r="D520" t="e">
        <f>RigheOfferte[[#This Row],[sub_cliente]]</f>
        <v>#VALUE!</v>
      </c>
      <c r="E520" t="e">
        <f>RigheOfferte[[#This Row],[cod.Art.]]</f>
        <v>#VALUE!</v>
      </c>
      <c r="F520" t="e">
        <f>RigheOfferte[[#This Row],[Descrizione]]</f>
        <v>#VALUE!</v>
      </c>
      <c r="G520" t="e">
        <f>RigheOfferte[[#This Row],[Q.ta'']]</f>
        <v>#VALUE!</v>
      </c>
      <c r="H520" t="e">
        <f>RigheOfferte[[#This Row],[Lavorazione]]</f>
        <v>#VALUE!</v>
      </c>
      <c r="I520" t="e">
        <f>RigheOfferte[[#This Row],[Colore]]</f>
        <v>#VALUE!</v>
      </c>
      <c r="J520" t="e">
        <f>RigheOfferte[[#This Row],[Velocità]]</f>
        <v>#VALUE!</v>
      </c>
      <c r="K520" t="e">
        <f>RigheOfferte[[#This Row],[Superf.pz Mq]]</f>
        <v>#VALUE!</v>
      </c>
      <c r="L520" t="e">
        <f>RigheOfferte[[#This Row],[passo]]</f>
        <v>#VALUE!</v>
      </c>
      <c r="M520" t="e">
        <f>RigheOfferte[[#This Row],[nr.pezzi Telaio]]</f>
        <v>#VALUE!</v>
      </c>
      <c r="N520" t="e">
        <f>RigheOfferte[[#This Row],[nr.pezzi ora-unita]]</f>
        <v>#VALUE!</v>
      </c>
      <c r="O520" t="e">
        <f>Tabella1[[#This Row],[superificie]]*Resa</f>
        <v>#VALUE!</v>
      </c>
      <c r="P520" t="e">
        <f>Tabella1[[#This Row],[KgPezzo]]*Tabella1[[#This Row],[q.ta offerta]]</f>
        <v>#VALUE!</v>
      </c>
      <c r="Q520" t="e">
        <f>RigheOfferte[[#This Row],[QtaProtez]]</f>
        <v>#VALUE!</v>
      </c>
      <c r="R520" t="e">
        <f>RigheOfferte[[#This Row],[Tipo Protezione]]</f>
        <v>#VALUE!</v>
      </c>
    </row>
    <row r="521" spans="1:18">
      <c r="A521" t="e">
        <f>RigheOfferte[[#This Row],[Nprev]]</f>
        <v>#VALUE!</v>
      </c>
      <c r="B521" t="e">
        <f>RigheOfferte[[#This Row],[Nriga]]</f>
        <v>#VALUE!</v>
      </c>
      <c r="C521" t="e">
        <f>RigheOfferte[[#This Row],[Cliente]]</f>
        <v>#VALUE!</v>
      </c>
      <c r="D521" t="e">
        <f>RigheOfferte[[#This Row],[sub_cliente]]</f>
        <v>#VALUE!</v>
      </c>
      <c r="E521" t="e">
        <f>RigheOfferte[[#This Row],[cod.Art.]]</f>
        <v>#VALUE!</v>
      </c>
      <c r="F521" t="e">
        <f>RigheOfferte[[#This Row],[Descrizione]]</f>
        <v>#VALUE!</v>
      </c>
      <c r="G521" t="e">
        <f>RigheOfferte[[#This Row],[Q.ta'']]</f>
        <v>#VALUE!</v>
      </c>
      <c r="H521" t="e">
        <f>RigheOfferte[[#This Row],[Lavorazione]]</f>
        <v>#VALUE!</v>
      </c>
      <c r="I521" t="e">
        <f>RigheOfferte[[#This Row],[Colore]]</f>
        <v>#VALUE!</v>
      </c>
      <c r="J521" t="e">
        <f>RigheOfferte[[#This Row],[Velocità]]</f>
        <v>#VALUE!</v>
      </c>
      <c r="K521" t="e">
        <f>RigheOfferte[[#This Row],[Superf.pz Mq]]</f>
        <v>#VALUE!</v>
      </c>
      <c r="L521" t="e">
        <f>RigheOfferte[[#This Row],[passo]]</f>
        <v>#VALUE!</v>
      </c>
      <c r="M521" t="e">
        <f>RigheOfferte[[#This Row],[nr.pezzi Telaio]]</f>
        <v>#VALUE!</v>
      </c>
      <c r="N521" t="e">
        <f>RigheOfferte[[#This Row],[nr.pezzi ora-unita]]</f>
        <v>#VALUE!</v>
      </c>
      <c r="O521" t="e">
        <f>Tabella1[[#This Row],[superificie]]*Resa</f>
        <v>#VALUE!</v>
      </c>
      <c r="P521" t="e">
        <f>Tabella1[[#This Row],[KgPezzo]]*Tabella1[[#This Row],[q.ta offerta]]</f>
        <v>#VALUE!</v>
      </c>
      <c r="Q521" t="e">
        <f>RigheOfferte[[#This Row],[QtaProtez]]</f>
        <v>#VALUE!</v>
      </c>
      <c r="R521" t="e">
        <f>RigheOfferte[[#This Row],[Tipo Protezione]]</f>
        <v>#VALUE!</v>
      </c>
    </row>
    <row r="522" spans="1:18">
      <c r="A522" t="e">
        <f>RigheOfferte[[#This Row],[Nprev]]</f>
        <v>#VALUE!</v>
      </c>
      <c r="B522" t="e">
        <f>RigheOfferte[[#This Row],[Nriga]]</f>
        <v>#VALUE!</v>
      </c>
      <c r="C522" t="e">
        <f>RigheOfferte[[#This Row],[Cliente]]</f>
        <v>#VALUE!</v>
      </c>
      <c r="D522" t="e">
        <f>RigheOfferte[[#This Row],[sub_cliente]]</f>
        <v>#VALUE!</v>
      </c>
      <c r="E522" t="e">
        <f>RigheOfferte[[#This Row],[cod.Art.]]</f>
        <v>#VALUE!</v>
      </c>
      <c r="F522" t="e">
        <f>RigheOfferte[[#This Row],[Descrizione]]</f>
        <v>#VALUE!</v>
      </c>
      <c r="G522" t="e">
        <f>RigheOfferte[[#This Row],[Q.ta'']]</f>
        <v>#VALUE!</v>
      </c>
      <c r="H522" t="e">
        <f>RigheOfferte[[#This Row],[Lavorazione]]</f>
        <v>#VALUE!</v>
      </c>
      <c r="I522" t="e">
        <f>RigheOfferte[[#This Row],[Colore]]</f>
        <v>#VALUE!</v>
      </c>
      <c r="J522" t="e">
        <f>RigheOfferte[[#This Row],[Velocità]]</f>
        <v>#VALUE!</v>
      </c>
      <c r="K522" t="e">
        <f>RigheOfferte[[#This Row],[Superf.pz Mq]]</f>
        <v>#VALUE!</v>
      </c>
      <c r="L522" t="e">
        <f>RigheOfferte[[#This Row],[passo]]</f>
        <v>#VALUE!</v>
      </c>
      <c r="M522" t="e">
        <f>RigheOfferte[[#This Row],[nr.pezzi Telaio]]</f>
        <v>#VALUE!</v>
      </c>
      <c r="N522" t="e">
        <f>RigheOfferte[[#This Row],[nr.pezzi ora-unita]]</f>
        <v>#VALUE!</v>
      </c>
      <c r="O522" t="e">
        <f>Tabella1[[#This Row],[superificie]]*Resa</f>
        <v>#VALUE!</v>
      </c>
      <c r="P522" t="e">
        <f>Tabella1[[#This Row],[KgPezzo]]*Tabella1[[#This Row],[q.ta offerta]]</f>
        <v>#VALUE!</v>
      </c>
      <c r="Q522" t="e">
        <f>RigheOfferte[[#This Row],[QtaProtez]]</f>
        <v>#VALUE!</v>
      </c>
      <c r="R522" t="e">
        <f>RigheOfferte[[#This Row],[Tipo Protezione]]</f>
        <v>#VALUE!</v>
      </c>
    </row>
    <row r="523" spans="1:18">
      <c r="A523" t="e">
        <f>RigheOfferte[[#This Row],[Nprev]]</f>
        <v>#VALUE!</v>
      </c>
      <c r="B523" t="e">
        <f>RigheOfferte[[#This Row],[Nriga]]</f>
        <v>#VALUE!</v>
      </c>
      <c r="C523" t="e">
        <f>RigheOfferte[[#This Row],[Cliente]]</f>
        <v>#VALUE!</v>
      </c>
      <c r="D523" t="e">
        <f>RigheOfferte[[#This Row],[sub_cliente]]</f>
        <v>#VALUE!</v>
      </c>
      <c r="E523" t="e">
        <f>RigheOfferte[[#This Row],[cod.Art.]]</f>
        <v>#VALUE!</v>
      </c>
      <c r="F523" t="e">
        <f>RigheOfferte[[#This Row],[Descrizione]]</f>
        <v>#VALUE!</v>
      </c>
      <c r="G523" t="e">
        <f>RigheOfferte[[#This Row],[Q.ta'']]</f>
        <v>#VALUE!</v>
      </c>
      <c r="H523" t="e">
        <f>RigheOfferte[[#This Row],[Lavorazione]]</f>
        <v>#VALUE!</v>
      </c>
      <c r="I523" t="e">
        <f>RigheOfferte[[#This Row],[Colore]]</f>
        <v>#VALUE!</v>
      </c>
      <c r="J523" t="e">
        <f>RigheOfferte[[#This Row],[Velocità]]</f>
        <v>#VALUE!</v>
      </c>
      <c r="K523" t="e">
        <f>RigheOfferte[[#This Row],[Superf.pz Mq]]</f>
        <v>#VALUE!</v>
      </c>
      <c r="L523" t="e">
        <f>RigheOfferte[[#This Row],[passo]]</f>
        <v>#VALUE!</v>
      </c>
      <c r="M523" t="e">
        <f>RigheOfferte[[#This Row],[nr.pezzi Telaio]]</f>
        <v>#VALUE!</v>
      </c>
      <c r="N523" t="e">
        <f>RigheOfferte[[#This Row],[nr.pezzi ora-unita]]</f>
        <v>#VALUE!</v>
      </c>
      <c r="O523" t="e">
        <f>Tabella1[[#This Row],[superificie]]*Resa</f>
        <v>#VALUE!</v>
      </c>
      <c r="P523" t="e">
        <f>Tabella1[[#This Row],[KgPezzo]]*Tabella1[[#This Row],[q.ta offerta]]</f>
        <v>#VALUE!</v>
      </c>
      <c r="Q523" t="e">
        <f>RigheOfferte[[#This Row],[QtaProtez]]</f>
        <v>#VALUE!</v>
      </c>
      <c r="R523" t="e">
        <f>RigheOfferte[[#This Row],[Tipo Protezione]]</f>
        <v>#VALUE!</v>
      </c>
    </row>
    <row r="524" spans="1:18">
      <c r="A524" t="e">
        <f>RigheOfferte[[#This Row],[Nprev]]</f>
        <v>#VALUE!</v>
      </c>
      <c r="B524" t="e">
        <f>RigheOfferte[[#This Row],[Nriga]]</f>
        <v>#VALUE!</v>
      </c>
      <c r="C524" t="e">
        <f>RigheOfferte[[#This Row],[Cliente]]</f>
        <v>#VALUE!</v>
      </c>
      <c r="D524" t="e">
        <f>RigheOfferte[[#This Row],[sub_cliente]]</f>
        <v>#VALUE!</v>
      </c>
      <c r="E524" t="e">
        <f>RigheOfferte[[#This Row],[cod.Art.]]</f>
        <v>#VALUE!</v>
      </c>
      <c r="F524" t="e">
        <f>RigheOfferte[[#This Row],[Descrizione]]</f>
        <v>#VALUE!</v>
      </c>
      <c r="G524" t="e">
        <f>RigheOfferte[[#This Row],[Q.ta'']]</f>
        <v>#VALUE!</v>
      </c>
      <c r="H524" t="e">
        <f>RigheOfferte[[#This Row],[Lavorazione]]</f>
        <v>#VALUE!</v>
      </c>
      <c r="I524" t="e">
        <f>RigheOfferte[[#This Row],[Colore]]</f>
        <v>#VALUE!</v>
      </c>
      <c r="J524" t="e">
        <f>RigheOfferte[[#This Row],[Velocità]]</f>
        <v>#VALUE!</v>
      </c>
      <c r="K524" t="e">
        <f>RigheOfferte[[#This Row],[Superf.pz Mq]]</f>
        <v>#VALUE!</v>
      </c>
      <c r="L524" t="e">
        <f>RigheOfferte[[#This Row],[passo]]</f>
        <v>#VALUE!</v>
      </c>
      <c r="M524" t="e">
        <f>RigheOfferte[[#This Row],[nr.pezzi Telaio]]</f>
        <v>#VALUE!</v>
      </c>
      <c r="N524" t="e">
        <f>RigheOfferte[[#This Row],[nr.pezzi ora-unita]]</f>
        <v>#VALUE!</v>
      </c>
      <c r="O524" t="e">
        <f>Tabella1[[#This Row],[superificie]]*Resa</f>
        <v>#VALUE!</v>
      </c>
      <c r="P524" t="e">
        <f>Tabella1[[#This Row],[KgPezzo]]*Tabella1[[#This Row],[q.ta offerta]]</f>
        <v>#VALUE!</v>
      </c>
      <c r="Q524" t="e">
        <f>RigheOfferte[[#This Row],[QtaProtez]]</f>
        <v>#VALUE!</v>
      </c>
      <c r="R524" t="e">
        <f>RigheOfferte[[#This Row],[Tipo Protezione]]</f>
        <v>#VALUE!</v>
      </c>
    </row>
    <row r="525" spans="1:18">
      <c r="A525" t="e">
        <f>RigheOfferte[[#This Row],[Nprev]]</f>
        <v>#VALUE!</v>
      </c>
      <c r="B525" t="e">
        <f>RigheOfferte[[#This Row],[Nriga]]</f>
        <v>#VALUE!</v>
      </c>
      <c r="C525" t="e">
        <f>RigheOfferte[[#This Row],[Cliente]]</f>
        <v>#VALUE!</v>
      </c>
      <c r="D525" t="e">
        <f>RigheOfferte[[#This Row],[sub_cliente]]</f>
        <v>#VALUE!</v>
      </c>
      <c r="E525" t="e">
        <f>RigheOfferte[[#This Row],[cod.Art.]]</f>
        <v>#VALUE!</v>
      </c>
      <c r="F525" t="e">
        <f>RigheOfferte[[#This Row],[Descrizione]]</f>
        <v>#VALUE!</v>
      </c>
      <c r="G525" t="e">
        <f>RigheOfferte[[#This Row],[Q.ta'']]</f>
        <v>#VALUE!</v>
      </c>
      <c r="H525" t="e">
        <f>RigheOfferte[[#This Row],[Lavorazione]]</f>
        <v>#VALUE!</v>
      </c>
      <c r="I525" t="e">
        <f>RigheOfferte[[#This Row],[Colore]]</f>
        <v>#VALUE!</v>
      </c>
      <c r="J525" t="e">
        <f>RigheOfferte[[#This Row],[Velocità]]</f>
        <v>#VALUE!</v>
      </c>
      <c r="K525" t="e">
        <f>RigheOfferte[[#This Row],[Superf.pz Mq]]</f>
        <v>#VALUE!</v>
      </c>
      <c r="L525" t="e">
        <f>RigheOfferte[[#This Row],[passo]]</f>
        <v>#VALUE!</v>
      </c>
      <c r="M525" t="e">
        <f>RigheOfferte[[#This Row],[nr.pezzi Telaio]]</f>
        <v>#VALUE!</v>
      </c>
      <c r="N525" t="e">
        <f>RigheOfferte[[#This Row],[nr.pezzi ora-unita]]</f>
        <v>#VALUE!</v>
      </c>
      <c r="O525" t="e">
        <f>Tabella1[[#This Row],[superificie]]*Resa</f>
        <v>#VALUE!</v>
      </c>
      <c r="P525" t="e">
        <f>Tabella1[[#This Row],[KgPezzo]]*Tabella1[[#This Row],[q.ta offerta]]</f>
        <v>#VALUE!</v>
      </c>
      <c r="Q525" t="e">
        <f>RigheOfferte[[#This Row],[QtaProtez]]</f>
        <v>#VALUE!</v>
      </c>
      <c r="R525" t="e">
        <f>RigheOfferte[[#This Row],[Tipo Protezione]]</f>
        <v>#VALUE!</v>
      </c>
    </row>
    <row r="526" spans="1:18">
      <c r="A526" t="e">
        <f>RigheOfferte[[#This Row],[Nprev]]</f>
        <v>#VALUE!</v>
      </c>
      <c r="B526" t="e">
        <f>RigheOfferte[[#This Row],[Nriga]]</f>
        <v>#VALUE!</v>
      </c>
      <c r="C526" t="e">
        <f>RigheOfferte[[#This Row],[Cliente]]</f>
        <v>#VALUE!</v>
      </c>
      <c r="D526" t="e">
        <f>RigheOfferte[[#This Row],[sub_cliente]]</f>
        <v>#VALUE!</v>
      </c>
      <c r="E526" t="e">
        <f>RigheOfferte[[#This Row],[cod.Art.]]</f>
        <v>#VALUE!</v>
      </c>
      <c r="F526" t="e">
        <f>RigheOfferte[[#This Row],[Descrizione]]</f>
        <v>#VALUE!</v>
      </c>
      <c r="G526" t="e">
        <f>RigheOfferte[[#This Row],[Q.ta'']]</f>
        <v>#VALUE!</v>
      </c>
      <c r="H526" t="e">
        <f>RigheOfferte[[#This Row],[Lavorazione]]</f>
        <v>#VALUE!</v>
      </c>
      <c r="I526" t="e">
        <f>RigheOfferte[[#This Row],[Colore]]</f>
        <v>#VALUE!</v>
      </c>
      <c r="J526" t="e">
        <f>RigheOfferte[[#This Row],[Velocità]]</f>
        <v>#VALUE!</v>
      </c>
      <c r="K526" t="e">
        <f>RigheOfferte[[#This Row],[Superf.pz Mq]]</f>
        <v>#VALUE!</v>
      </c>
      <c r="L526" t="e">
        <f>RigheOfferte[[#This Row],[passo]]</f>
        <v>#VALUE!</v>
      </c>
      <c r="M526" t="e">
        <f>RigheOfferte[[#This Row],[nr.pezzi Telaio]]</f>
        <v>#VALUE!</v>
      </c>
      <c r="N526" t="e">
        <f>RigheOfferte[[#This Row],[nr.pezzi ora-unita]]</f>
        <v>#VALUE!</v>
      </c>
      <c r="O526" t="e">
        <f>Tabella1[[#This Row],[superificie]]*Resa</f>
        <v>#VALUE!</v>
      </c>
      <c r="P526" t="e">
        <f>Tabella1[[#This Row],[KgPezzo]]*Tabella1[[#This Row],[q.ta offerta]]</f>
        <v>#VALUE!</v>
      </c>
      <c r="Q526" t="e">
        <f>RigheOfferte[[#This Row],[QtaProtez]]</f>
        <v>#VALUE!</v>
      </c>
      <c r="R526" t="e">
        <f>RigheOfferte[[#This Row],[Tipo Protezione]]</f>
        <v>#VALUE!</v>
      </c>
    </row>
    <row r="527" spans="1:18">
      <c r="A527" t="e">
        <f>RigheOfferte[[#This Row],[Nprev]]</f>
        <v>#VALUE!</v>
      </c>
      <c r="B527" t="e">
        <f>RigheOfferte[[#This Row],[Nriga]]</f>
        <v>#VALUE!</v>
      </c>
      <c r="C527" t="e">
        <f>RigheOfferte[[#This Row],[Cliente]]</f>
        <v>#VALUE!</v>
      </c>
      <c r="D527" t="e">
        <f>RigheOfferte[[#This Row],[sub_cliente]]</f>
        <v>#VALUE!</v>
      </c>
      <c r="E527" t="e">
        <f>RigheOfferte[[#This Row],[cod.Art.]]</f>
        <v>#VALUE!</v>
      </c>
      <c r="F527" t="e">
        <f>RigheOfferte[[#This Row],[Descrizione]]</f>
        <v>#VALUE!</v>
      </c>
      <c r="G527" t="e">
        <f>RigheOfferte[[#This Row],[Q.ta'']]</f>
        <v>#VALUE!</v>
      </c>
      <c r="H527" t="e">
        <f>RigheOfferte[[#This Row],[Lavorazione]]</f>
        <v>#VALUE!</v>
      </c>
      <c r="I527" t="e">
        <f>RigheOfferte[[#This Row],[Colore]]</f>
        <v>#VALUE!</v>
      </c>
      <c r="J527" t="e">
        <f>RigheOfferte[[#This Row],[Velocità]]</f>
        <v>#VALUE!</v>
      </c>
      <c r="K527" t="e">
        <f>RigheOfferte[[#This Row],[Superf.pz Mq]]</f>
        <v>#VALUE!</v>
      </c>
      <c r="L527" t="e">
        <f>RigheOfferte[[#This Row],[passo]]</f>
        <v>#VALUE!</v>
      </c>
      <c r="M527" t="e">
        <f>RigheOfferte[[#This Row],[nr.pezzi Telaio]]</f>
        <v>#VALUE!</v>
      </c>
      <c r="N527" t="e">
        <f>RigheOfferte[[#This Row],[nr.pezzi ora-unita]]</f>
        <v>#VALUE!</v>
      </c>
      <c r="O527" t="e">
        <f>Tabella1[[#This Row],[superificie]]*Resa</f>
        <v>#VALUE!</v>
      </c>
      <c r="P527" t="e">
        <f>Tabella1[[#This Row],[KgPezzo]]*Tabella1[[#This Row],[q.ta offerta]]</f>
        <v>#VALUE!</v>
      </c>
      <c r="Q527" t="e">
        <f>RigheOfferte[[#This Row],[QtaProtez]]</f>
        <v>#VALUE!</v>
      </c>
      <c r="R527" t="e">
        <f>RigheOfferte[[#This Row],[Tipo Protezione]]</f>
        <v>#VALUE!</v>
      </c>
    </row>
    <row r="528" spans="1:18">
      <c r="A528" t="e">
        <f>RigheOfferte[[#This Row],[Nprev]]</f>
        <v>#VALUE!</v>
      </c>
      <c r="B528" t="e">
        <f>RigheOfferte[[#This Row],[Nriga]]</f>
        <v>#VALUE!</v>
      </c>
      <c r="C528" t="e">
        <f>RigheOfferte[[#This Row],[Cliente]]</f>
        <v>#VALUE!</v>
      </c>
      <c r="D528" t="e">
        <f>RigheOfferte[[#This Row],[sub_cliente]]</f>
        <v>#VALUE!</v>
      </c>
      <c r="E528" t="e">
        <f>RigheOfferte[[#This Row],[cod.Art.]]</f>
        <v>#VALUE!</v>
      </c>
      <c r="F528" t="e">
        <f>RigheOfferte[[#This Row],[Descrizione]]</f>
        <v>#VALUE!</v>
      </c>
      <c r="G528" t="e">
        <f>RigheOfferte[[#This Row],[Q.ta'']]</f>
        <v>#VALUE!</v>
      </c>
      <c r="H528" t="e">
        <f>RigheOfferte[[#This Row],[Lavorazione]]</f>
        <v>#VALUE!</v>
      </c>
      <c r="I528" t="e">
        <f>RigheOfferte[[#This Row],[Colore]]</f>
        <v>#VALUE!</v>
      </c>
      <c r="J528" t="e">
        <f>RigheOfferte[[#This Row],[Velocità]]</f>
        <v>#VALUE!</v>
      </c>
      <c r="K528" t="e">
        <f>RigheOfferte[[#This Row],[Superf.pz Mq]]</f>
        <v>#VALUE!</v>
      </c>
      <c r="L528" t="e">
        <f>RigheOfferte[[#This Row],[passo]]</f>
        <v>#VALUE!</v>
      </c>
      <c r="M528" t="e">
        <f>RigheOfferte[[#This Row],[nr.pezzi Telaio]]</f>
        <v>#VALUE!</v>
      </c>
      <c r="N528" t="e">
        <f>RigheOfferte[[#This Row],[nr.pezzi ora-unita]]</f>
        <v>#VALUE!</v>
      </c>
      <c r="O528" t="e">
        <f>Tabella1[[#This Row],[superificie]]*Resa</f>
        <v>#VALUE!</v>
      </c>
      <c r="P528" t="e">
        <f>Tabella1[[#This Row],[KgPezzo]]*Tabella1[[#This Row],[q.ta offerta]]</f>
        <v>#VALUE!</v>
      </c>
      <c r="Q528" t="e">
        <f>RigheOfferte[[#This Row],[QtaProtez]]</f>
        <v>#VALUE!</v>
      </c>
      <c r="R528" t="e">
        <f>RigheOfferte[[#This Row],[Tipo Protezione]]</f>
        <v>#VALUE!</v>
      </c>
    </row>
    <row r="529" spans="1:18">
      <c r="A529" t="e">
        <f>RigheOfferte[[#This Row],[Nprev]]</f>
        <v>#VALUE!</v>
      </c>
      <c r="B529" t="e">
        <f>RigheOfferte[[#This Row],[Nriga]]</f>
        <v>#VALUE!</v>
      </c>
      <c r="C529" t="e">
        <f>RigheOfferte[[#This Row],[Cliente]]</f>
        <v>#VALUE!</v>
      </c>
      <c r="D529" t="e">
        <f>RigheOfferte[[#This Row],[sub_cliente]]</f>
        <v>#VALUE!</v>
      </c>
      <c r="E529" t="e">
        <f>RigheOfferte[[#This Row],[cod.Art.]]</f>
        <v>#VALUE!</v>
      </c>
      <c r="F529" t="e">
        <f>RigheOfferte[[#This Row],[Descrizione]]</f>
        <v>#VALUE!</v>
      </c>
      <c r="G529" t="e">
        <f>RigheOfferte[[#This Row],[Q.ta'']]</f>
        <v>#VALUE!</v>
      </c>
      <c r="H529" t="e">
        <f>RigheOfferte[[#This Row],[Lavorazione]]</f>
        <v>#VALUE!</v>
      </c>
      <c r="I529" t="e">
        <f>RigheOfferte[[#This Row],[Colore]]</f>
        <v>#VALUE!</v>
      </c>
      <c r="J529" t="e">
        <f>RigheOfferte[[#This Row],[Velocità]]</f>
        <v>#VALUE!</v>
      </c>
      <c r="K529" t="e">
        <f>RigheOfferte[[#This Row],[Superf.pz Mq]]</f>
        <v>#VALUE!</v>
      </c>
      <c r="L529" t="e">
        <f>RigheOfferte[[#This Row],[passo]]</f>
        <v>#VALUE!</v>
      </c>
      <c r="M529" t="e">
        <f>RigheOfferte[[#This Row],[nr.pezzi Telaio]]</f>
        <v>#VALUE!</v>
      </c>
      <c r="N529" t="e">
        <f>RigheOfferte[[#This Row],[nr.pezzi ora-unita]]</f>
        <v>#VALUE!</v>
      </c>
      <c r="O529" t="e">
        <f>Tabella1[[#This Row],[superificie]]*Resa</f>
        <v>#VALUE!</v>
      </c>
      <c r="P529" t="e">
        <f>Tabella1[[#This Row],[KgPezzo]]*Tabella1[[#This Row],[q.ta offerta]]</f>
        <v>#VALUE!</v>
      </c>
      <c r="Q529" t="e">
        <f>RigheOfferte[[#This Row],[QtaProtez]]</f>
        <v>#VALUE!</v>
      </c>
      <c r="R529" t="e">
        <f>RigheOfferte[[#This Row],[Tipo Protezione]]</f>
        <v>#VALUE!</v>
      </c>
    </row>
    <row r="530" spans="1:18">
      <c r="A530" t="e">
        <f>RigheOfferte[[#This Row],[Nprev]]</f>
        <v>#VALUE!</v>
      </c>
      <c r="B530" t="e">
        <f>RigheOfferte[[#This Row],[Nriga]]</f>
        <v>#VALUE!</v>
      </c>
      <c r="C530" t="e">
        <f>RigheOfferte[[#This Row],[Cliente]]</f>
        <v>#VALUE!</v>
      </c>
      <c r="D530" t="e">
        <f>RigheOfferte[[#This Row],[sub_cliente]]</f>
        <v>#VALUE!</v>
      </c>
      <c r="E530" t="e">
        <f>RigheOfferte[[#This Row],[cod.Art.]]</f>
        <v>#VALUE!</v>
      </c>
      <c r="F530" t="e">
        <f>RigheOfferte[[#This Row],[Descrizione]]</f>
        <v>#VALUE!</v>
      </c>
      <c r="G530" t="e">
        <f>RigheOfferte[[#This Row],[Q.ta'']]</f>
        <v>#VALUE!</v>
      </c>
      <c r="H530" t="e">
        <f>RigheOfferte[[#This Row],[Lavorazione]]</f>
        <v>#VALUE!</v>
      </c>
      <c r="I530" t="e">
        <f>RigheOfferte[[#This Row],[Colore]]</f>
        <v>#VALUE!</v>
      </c>
      <c r="J530" t="e">
        <f>RigheOfferte[[#This Row],[Velocità]]</f>
        <v>#VALUE!</v>
      </c>
      <c r="K530" t="e">
        <f>RigheOfferte[[#This Row],[Superf.pz Mq]]</f>
        <v>#VALUE!</v>
      </c>
      <c r="L530" t="e">
        <f>RigheOfferte[[#This Row],[passo]]</f>
        <v>#VALUE!</v>
      </c>
      <c r="M530" t="e">
        <f>RigheOfferte[[#This Row],[nr.pezzi Telaio]]</f>
        <v>#VALUE!</v>
      </c>
      <c r="N530" t="e">
        <f>RigheOfferte[[#This Row],[nr.pezzi ora-unita]]</f>
        <v>#VALUE!</v>
      </c>
      <c r="O530" t="e">
        <f>Tabella1[[#This Row],[superificie]]*Resa</f>
        <v>#VALUE!</v>
      </c>
      <c r="P530" t="e">
        <f>Tabella1[[#This Row],[KgPezzo]]*Tabella1[[#This Row],[q.ta offerta]]</f>
        <v>#VALUE!</v>
      </c>
      <c r="Q530" t="e">
        <f>RigheOfferte[[#This Row],[QtaProtez]]</f>
        <v>#VALUE!</v>
      </c>
      <c r="R530" t="e">
        <f>RigheOfferte[[#This Row],[Tipo Protezione]]</f>
        <v>#VALUE!</v>
      </c>
    </row>
    <row r="531" spans="1:18">
      <c r="A531" t="e">
        <f>RigheOfferte[[#This Row],[Nprev]]</f>
        <v>#VALUE!</v>
      </c>
      <c r="B531" t="e">
        <f>RigheOfferte[[#This Row],[Nriga]]</f>
        <v>#VALUE!</v>
      </c>
      <c r="C531" t="e">
        <f>RigheOfferte[[#This Row],[Cliente]]</f>
        <v>#VALUE!</v>
      </c>
      <c r="D531" t="e">
        <f>RigheOfferte[[#This Row],[sub_cliente]]</f>
        <v>#VALUE!</v>
      </c>
      <c r="E531" t="e">
        <f>RigheOfferte[[#This Row],[cod.Art.]]</f>
        <v>#VALUE!</v>
      </c>
      <c r="F531" t="e">
        <f>RigheOfferte[[#This Row],[Descrizione]]</f>
        <v>#VALUE!</v>
      </c>
      <c r="G531" t="e">
        <f>RigheOfferte[[#This Row],[Q.ta'']]</f>
        <v>#VALUE!</v>
      </c>
      <c r="H531" t="e">
        <f>RigheOfferte[[#This Row],[Lavorazione]]</f>
        <v>#VALUE!</v>
      </c>
      <c r="I531" t="e">
        <f>RigheOfferte[[#This Row],[Colore]]</f>
        <v>#VALUE!</v>
      </c>
      <c r="J531" t="e">
        <f>RigheOfferte[[#This Row],[Velocità]]</f>
        <v>#VALUE!</v>
      </c>
      <c r="K531" t="e">
        <f>RigheOfferte[[#This Row],[Superf.pz Mq]]</f>
        <v>#VALUE!</v>
      </c>
      <c r="L531" t="e">
        <f>RigheOfferte[[#This Row],[passo]]</f>
        <v>#VALUE!</v>
      </c>
      <c r="M531" t="e">
        <f>RigheOfferte[[#This Row],[nr.pezzi Telaio]]</f>
        <v>#VALUE!</v>
      </c>
      <c r="N531" t="e">
        <f>RigheOfferte[[#This Row],[nr.pezzi ora-unita]]</f>
        <v>#VALUE!</v>
      </c>
      <c r="O531" t="e">
        <f>Tabella1[[#This Row],[superificie]]*Resa</f>
        <v>#VALUE!</v>
      </c>
      <c r="P531" t="e">
        <f>Tabella1[[#This Row],[KgPezzo]]*Tabella1[[#This Row],[q.ta offerta]]</f>
        <v>#VALUE!</v>
      </c>
      <c r="Q531" t="e">
        <f>RigheOfferte[[#This Row],[QtaProtez]]</f>
        <v>#VALUE!</v>
      </c>
      <c r="R531" t="e">
        <f>RigheOfferte[[#This Row],[Tipo Protezione]]</f>
        <v>#VALUE!</v>
      </c>
    </row>
    <row r="532" spans="1:18">
      <c r="A532" t="e">
        <f>RigheOfferte[[#This Row],[Nprev]]</f>
        <v>#VALUE!</v>
      </c>
      <c r="B532" t="e">
        <f>RigheOfferte[[#This Row],[Nriga]]</f>
        <v>#VALUE!</v>
      </c>
      <c r="C532" t="e">
        <f>RigheOfferte[[#This Row],[Cliente]]</f>
        <v>#VALUE!</v>
      </c>
      <c r="D532" t="e">
        <f>RigheOfferte[[#This Row],[sub_cliente]]</f>
        <v>#VALUE!</v>
      </c>
      <c r="E532" t="e">
        <f>RigheOfferte[[#This Row],[cod.Art.]]</f>
        <v>#VALUE!</v>
      </c>
      <c r="F532" t="e">
        <f>RigheOfferte[[#This Row],[Descrizione]]</f>
        <v>#VALUE!</v>
      </c>
      <c r="G532" t="e">
        <f>RigheOfferte[[#This Row],[Q.ta'']]</f>
        <v>#VALUE!</v>
      </c>
      <c r="H532" t="e">
        <f>RigheOfferte[[#This Row],[Lavorazione]]</f>
        <v>#VALUE!</v>
      </c>
      <c r="I532" t="e">
        <f>RigheOfferte[[#This Row],[Colore]]</f>
        <v>#VALUE!</v>
      </c>
      <c r="J532" t="e">
        <f>RigheOfferte[[#This Row],[Velocità]]</f>
        <v>#VALUE!</v>
      </c>
      <c r="K532" t="e">
        <f>RigheOfferte[[#This Row],[Superf.pz Mq]]</f>
        <v>#VALUE!</v>
      </c>
      <c r="L532" t="e">
        <f>RigheOfferte[[#This Row],[passo]]</f>
        <v>#VALUE!</v>
      </c>
      <c r="M532" t="e">
        <f>RigheOfferte[[#This Row],[nr.pezzi Telaio]]</f>
        <v>#VALUE!</v>
      </c>
      <c r="N532" t="e">
        <f>RigheOfferte[[#This Row],[nr.pezzi ora-unita]]</f>
        <v>#VALUE!</v>
      </c>
      <c r="O532" t="e">
        <f>Tabella1[[#This Row],[superificie]]*Resa</f>
        <v>#VALUE!</v>
      </c>
      <c r="P532" t="e">
        <f>Tabella1[[#This Row],[KgPezzo]]*Tabella1[[#This Row],[q.ta offerta]]</f>
        <v>#VALUE!</v>
      </c>
      <c r="Q532" t="e">
        <f>RigheOfferte[[#This Row],[QtaProtez]]</f>
        <v>#VALUE!</v>
      </c>
      <c r="R532" t="e">
        <f>RigheOfferte[[#This Row],[Tipo Protezione]]</f>
        <v>#VALUE!</v>
      </c>
    </row>
    <row r="533" spans="1:18">
      <c r="A533" t="e">
        <f>RigheOfferte[[#This Row],[Nprev]]</f>
        <v>#VALUE!</v>
      </c>
      <c r="B533" t="e">
        <f>RigheOfferte[[#This Row],[Nriga]]</f>
        <v>#VALUE!</v>
      </c>
      <c r="C533" t="e">
        <f>RigheOfferte[[#This Row],[Cliente]]</f>
        <v>#VALUE!</v>
      </c>
      <c r="D533" t="e">
        <f>RigheOfferte[[#This Row],[sub_cliente]]</f>
        <v>#VALUE!</v>
      </c>
      <c r="E533" t="e">
        <f>RigheOfferte[[#This Row],[cod.Art.]]</f>
        <v>#VALUE!</v>
      </c>
      <c r="F533" t="e">
        <f>RigheOfferte[[#This Row],[Descrizione]]</f>
        <v>#VALUE!</v>
      </c>
      <c r="G533" t="e">
        <f>RigheOfferte[[#This Row],[Q.ta'']]</f>
        <v>#VALUE!</v>
      </c>
      <c r="H533" t="e">
        <f>RigheOfferte[[#This Row],[Lavorazione]]</f>
        <v>#VALUE!</v>
      </c>
      <c r="I533" t="e">
        <f>RigheOfferte[[#This Row],[Colore]]</f>
        <v>#VALUE!</v>
      </c>
      <c r="J533" t="e">
        <f>RigheOfferte[[#This Row],[Velocità]]</f>
        <v>#VALUE!</v>
      </c>
      <c r="K533" t="e">
        <f>RigheOfferte[[#This Row],[Superf.pz Mq]]</f>
        <v>#VALUE!</v>
      </c>
      <c r="L533" t="e">
        <f>RigheOfferte[[#This Row],[passo]]</f>
        <v>#VALUE!</v>
      </c>
      <c r="M533" t="e">
        <f>RigheOfferte[[#This Row],[nr.pezzi Telaio]]</f>
        <v>#VALUE!</v>
      </c>
      <c r="N533" t="e">
        <f>RigheOfferte[[#This Row],[nr.pezzi ora-unita]]</f>
        <v>#VALUE!</v>
      </c>
      <c r="O533" t="e">
        <f>Tabella1[[#This Row],[superificie]]*Resa</f>
        <v>#VALUE!</v>
      </c>
      <c r="P533" t="e">
        <f>Tabella1[[#This Row],[KgPezzo]]*Tabella1[[#This Row],[q.ta offerta]]</f>
        <v>#VALUE!</v>
      </c>
      <c r="Q533" t="e">
        <f>RigheOfferte[[#This Row],[QtaProtez]]</f>
        <v>#VALUE!</v>
      </c>
      <c r="R533" t="e">
        <f>RigheOfferte[[#This Row],[Tipo Protezione]]</f>
        <v>#VALUE!</v>
      </c>
    </row>
    <row r="534" spans="1:18">
      <c r="A534" t="e">
        <f>RigheOfferte[[#This Row],[Nprev]]</f>
        <v>#VALUE!</v>
      </c>
      <c r="B534" t="e">
        <f>RigheOfferte[[#This Row],[Nriga]]</f>
        <v>#VALUE!</v>
      </c>
      <c r="C534" t="e">
        <f>RigheOfferte[[#This Row],[Cliente]]</f>
        <v>#VALUE!</v>
      </c>
      <c r="D534" t="e">
        <f>RigheOfferte[[#This Row],[sub_cliente]]</f>
        <v>#VALUE!</v>
      </c>
      <c r="E534" t="e">
        <f>RigheOfferte[[#This Row],[cod.Art.]]</f>
        <v>#VALUE!</v>
      </c>
      <c r="F534" t="e">
        <f>RigheOfferte[[#This Row],[Descrizione]]</f>
        <v>#VALUE!</v>
      </c>
      <c r="G534" t="e">
        <f>RigheOfferte[[#This Row],[Q.ta'']]</f>
        <v>#VALUE!</v>
      </c>
      <c r="H534" t="e">
        <f>RigheOfferte[[#This Row],[Lavorazione]]</f>
        <v>#VALUE!</v>
      </c>
      <c r="I534" t="e">
        <f>RigheOfferte[[#This Row],[Colore]]</f>
        <v>#VALUE!</v>
      </c>
      <c r="J534" t="e">
        <f>RigheOfferte[[#This Row],[Velocità]]</f>
        <v>#VALUE!</v>
      </c>
      <c r="K534" t="e">
        <f>RigheOfferte[[#This Row],[Superf.pz Mq]]</f>
        <v>#VALUE!</v>
      </c>
      <c r="L534" t="e">
        <f>RigheOfferte[[#This Row],[passo]]</f>
        <v>#VALUE!</v>
      </c>
      <c r="M534" t="e">
        <f>RigheOfferte[[#This Row],[nr.pezzi Telaio]]</f>
        <v>#VALUE!</v>
      </c>
      <c r="N534" t="e">
        <f>RigheOfferte[[#This Row],[nr.pezzi ora-unita]]</f>
        <v>#VALUE!</v>
      </c>
      <c r="O534" t="e">
        <f>Tabella1[[#This Row],[superificie]]*Resa</f>
        <v>#VALUE!</v>
      </c>
      <c r="P534" t="e">
        <f>Tabella1[[#This Row],[KgPezzo]]*Tabella1[[#This Row],[q.ta offerta]]</f>
        <v>#VALUE!</v>
      </c>
      <c r="Q534" t="e">
        <f>RigheOfferte[[#This Row],[QtaProtez]]</f>
        <v>#VALUE!</v>
      </c>
      <c r="R534" t="e">
        <f>RigheOfferte[[#This Row],[Tipo Protezione]]</f>
        <v>#VALUE!</v>
      </c>
    </row>
    <row r="535" spans="1:18">
      <c r="A535" t="e">
        <f>RigheOfferte[[#This Row],[Nprev]]</f>
        <v>#VALUE!</v>
      </c>
      <c r="B535" t="e">
        <f>RigheOfferte[[#This Row],[Nriga]]</f>
        <v>#VALUE!</v>
      </c>
      <c r="C535" t="e">
        <f>RigheOfferte[[#This Row],[Cliente]]</f>
        <v>#VALUE!</v>
      </c>
      <c r="D535" t="e">
        <f>RigheOfferte[[#This Row],[sub_cliente]]</f>
        <v>#VALUE!</v>
      </c>
      <c r="E535" t="e">
        <f>RigheOfferte[[#This Row],[cod.Art.]]</f>
        <v>#VALUE!</v>
      </c>
      <c r="F535" t="e">
        <f>RigheOfferte[[#This Row],[Descrizione]]</f>
        <v>#VALUE!</v>
      </c>
      <c r="G535" t="e">
        <f>RigheOfferte[[#This Row],[Q.ta'']]</f>
        <v>#VALUE!</v>
      </c>
      <c r="H535" t="e">
        <f>RigheOfferte[[#This Row],[Lavorazione]]</f>
        <v>#VALUE!</v>
      </c>
      <c r="I535" t="e">
        <f>RigheOfferte[[#This Row],[Colore]]</f>
        <v>#VALUE!</v>
      </c>
      <c r="J535" t="e">
        <f>RigheOfferte[[#This Row],[Velocità]]</f>
        <v>#VALUE!</v>
      </c>
      <c r="K535" t="e">
        <f>RigheOfferte[[#This Row],[Superf.pz Mq]]</f>
        <v>#VALUE!</v>
      </c>
      <c r="L535" t="e">
        <f>RigheOfferte[[#This Row],[passo]]</f>
        <v>#VALUE!</v>
      </c>
      <c r="M535" t="e">
        <f>RigheOfferte[[#This Row],[nr.pezzi Telaio]]</f>
        <v>#VALUE!</v>
      </c>
      <c r="N535" t="e">
        <f>RigheOfferte[[#This Row],[nr.pezzi ora-unita]]</f>
        <v>#VALUE!</v>
      </c>
      <c r="O535" t="e">
        <f>Tabella1[[#This Row],[superificie]]*Resa</f>
        <v>#VALUE!</v>
      </c>
      <c r="P535" t="e">
        <f>Tabella1[[#This Row],[KgPezzo]]*Tabella1[[#This Row],[q.ta offerta]]</f>
        <v>#VALUE!</v>
      </c>
      <c r="Q535" t="e">
        <f>RigheOfferte[[#This Row],[QtaProtez]]</f>
        <v>#VALUE!</v>
      </c>
      <c r="R535" t="e">
        <f>RigheOfferte[[#This Row],[Tipo Protezione]]</f>
        <v>#VALUE!</v>
      </c>
    </row>
    <row r="536" spans="1:18">
      <c r="A536" t="e">
        <f>RigheOfferte[[#This Row],[Nprev]]</f>
        <v>#VALUE!</v>
      </c>
      <c r="B536" t="e">
        <f>RigheOfferte[[#This Row],[Nriga]]</f>
        <v>#VALUE!</v>
      </c>
      <c r="C536" t="e">
        <f>RigheOfferte[[#This Row],[Cliente]]</f>
        <v>#VALUE!</v>
      </c>
      <c r="D536" t="e">
        <f>RigheOfferte[[#This Row],[sub_cliente]]</f>
        <v>#VALUE!</v>
      </c>
      <c r="E536" t="e">
        <f>RigheOfferte[[#This Row],[cod.Art.]]</f>
        <v>#VALUE!</v>
      </c>
      <c r="F536" t="e">
        <f>RigheOfferte[[#This Row],[Descrizione]]</f>
        <v>#VALUE!</v>
      </c>
      <c r="G536" t="e">
        <f>RigheOfferte[[#This Row],[Q.ta'']]</f>
        <v>#VALUE!</v>
      </c>
      <c r="H536" t="e">
        <f>RigheOfferte[[#This Row],[Lavorazione]]</f>
        <v>#VALUE!</v>
      </c>
      <c r="I536" t="e">
        <f>RigheOfferte[[#This Row],[Colore]]</f>
        <v>#VALUE!</v>
      </c>
      <c r="J536" t="e">
        <f>RigheOfferte[[#This Row],[Velocità]]</f>
        <v>#VALUE!</v>
      </c>
      <c r="K536" t="e">
        <f>RigheOfferte[[#This Row],[Superf.pz Mq]]</f>
        <v>#VALUE!</v>
      </c>
      <c r="L536" t="e">
        <f>RigheOfferte[[#This Row],[passo]]</f>
        <v>#VALUE!</v>
      </c>
      <c r="M536" t="e">
        <f>RigheOfferte[[#This Row],[nr.pezzi Telaio]]</f>
        <v>#VALUE!</v>
      </c>
      <c r="N536" t="e">
        <f>RigheOfferte[[#This Row],[nr.pezzi ora-unita]]</f>
        <v>#VALUE!</v>
      </c>
      <c r="O536" t="e">
        <f>Tabella1[[#This Row],[superificie]]*Resa</f>
        <v>#VALUE!</v>
      </c>
      <c r="P536" t="e">
        <f>Tabella1[[#This Row],[KgPezzo]]*Tabella1[[#This Row],[q.ta offerta]]</f>
        <v>#VALUE!</v>
      </c>
      <c r="Q536" t="e">
        <f>RigheOfferte[[#This Row],[QtaProtez]]</f>
        <v>#VALUE!</v>
      </c>
      <c r="R536" t="e">
        <f>RigheOfferte[[#This Row],[Tipo Protezione]]</f>
        <v>#VALUE!</v>
      </c>
    </row>
    <row r="537" spans="1:18">
      <c r="A537" t="e">
        <f>RigheOfferte[[#This Row],[Nprev]]</f>
        <v>#VALUE!</v>
      </c>
      <c r="B537" t="e">
        <f>RigheOfferte[[#This Row],[Nriga]]</f>
        <v>#VALUE!</v>
      </c>
      <c r="C537" t="e">
        <f>RigheOfferte[[#This Row],[Cliente]]</f>
        <v>#VALUE!</v>
      </c>
      <c r="D537" t="e">
        <f>RigheOfferte[[#This Row],[sub_cliente]]</f>
        <v>#VALUE!</v>
      </c>
      <c r="E537" t="e">
        <f>RigheOfferte[[#This Row],[cod.Art.]]</f>
        <v>#VALUE!</v>
      </c>
      <c r="F537" t="e">
        <f>RigheOfferte[[#This Row],[Descrizione]]</f>
        <v>#VALUE!</v>
      </c>
      <c r="G537" t="e">
        <f>RigheOfferte[[#This Row],[Q.ta'']]</f>
        <v>#VALUE!</v>
      </c>
      <c r="H537" t="e">
        <f>RigheOfferte[[#This Row],[Lavorazione]]</f>
        <v>#VALUE!</v>
      </c>
      <c r="I537" t="e">
        <f>RigheOfferte[[#This Row],[Colore]]</f>
        <v>#VALUE!</v>
      </c>
      <c r="J537" t="e">
        <f>RigheOfferte[[#This Row],[Velocità]]</f>
        <v>#VALUE!</v>
      </c>
      <c r="K537" t="e">
        <f>RigheOfferte[[#This Row],[Superf.pz Mq]]</f>
        <v>#VALUE!</v>
      </c>
      <c r="L537" t="e">
        <f>RigheOfferte[[#This Row],[passo]]</f>
        <v>#VALUE!</v>
      </c>
      <c r="M537" t="e">
        <f>RigheOfferte[[#This Row],[nr.pezzi Telaio]]</f>
        <v>#VALUE!</v>
      </c>
      <c r="N537" t="e">
        <f>RigheOfferte[[#This Row],[nr.pezzi ora-unita]]</f>
        <v>#VALUE!</v>
      </c>
      <c r="O537" t="e">
        <f>Tabella1[[#This Row],[superificie]]*Resa</f>
        <v>#VALUE!</v>
      </c>
      <c r="P537" t="e">
        <f>Tabella1[[#This Row],[KgPezzo]]*Tabella1[[#This Row],[q.ta offerta]]</f>
        <v>#VALUE!</v>
      </c>
      <c r="Q537" t="e">
        <f>RigheOfferte[[#This Row],[QtaProtez]]</f>
        <v>#VALUE!</v>
      </c>
      <c r="R537" t="e">
        <f>RigheOfferte[[#This Row],[Tipo Protezione]]</f>
        <v>#VALUE!</v>
      </c>
    </row>
    <row r="538" spans="1:18">
      <c r="A538" t="e">
        <f>RigheOfferte[[#This Row],[Nprev]]</f>
        <v>#VALUE!</v>
      </c>
      <c r="B538" t="e">
        <f>RigheOfferte[[#This Row],[Nriga]]</f>
        <v>#VALUE!</v>
      </c>
      <c r="C538" t="e">
        <f>RigheOfferte[[#This Row],[Cliente]]</f>
        <v>#VALUE!</v>
      </c>
      <c r="D538" t="e">
        <f>RigheOfferte[[#This Row],[sub_cliente]]</f>
        <v>#VALUE!</v>
      </c>
      <c r="E538" t="e">
        <f>RigheOfferte[[#This Row],[cod.Art.]]</f>
        <v>#VALUE!</v>
      </c>
      <c r="F538" t="e">
        <f>RigheOfferte[[#This Row],[Descrizione]]</f>
        <v>#VALUE!</v>
      </c>
      <c r="G538" t="e">
        <f>RigheOfferte[[#This Row],[Q.ta'']]</f>
        <v>#VALUE!</v>
      </c>
      <c r="H538" t="e">
        <f>RigheOfferte[[#This Row],[Lavorazione]]</f>
        <v>#VALUE!</v>
      </c>
      <c r="I538" t="e">
        <f>RigheOfferte[[#This Row],[Colore]]</f>
        <v>#VALUE!</v>
      </c>
      <c r="J538" t="e">
        <f>RigheOfferte[[#This Row],[Velocità]]</f>
        <v>#VALUE!</v>
      </c>
      <c r="K538" t="e">
        <f>RigheOfferte[[#This Row],[Superf.pz Mq]]</f>
        <v>#VALUE!</v>
      </c>
      <c r="L538" t="e">
        <f>RigheOfferte[[#This Row],[passo]]</f>
        <v>#VALUE!</v>
      </c>
      <c r="M538" t="e">
        <f>RigheOfferte[[#This Row],[nr.pezzi Telaio]]</f>
        <v>#VALUE!</v>
      </c>
      <c r="N538" t="e">
        <f>RigheOfferte[[#This Row],[nr.pezzi ora-unita]]</f>
        <v>#VALUE!</v>
      </c>
      <c r="O538" t="e">
        <f>Tabella1[[#This Row],[superificie]]*Resa</f>
        <v>#VALUE!</v>
      </c>
      <c r="P538" t="e">
        <f>Tabella1[[#This Row],[KgPezzo]]*Tabella1[[#This Row],[q.ta offerta]]</f>
        <v>#VALUE!</v>
      </c>
      <c r="Q538" t="e">
        <f>RigheOfferte[[#This Row],[QtaProtez]]</f>
        <v>#VALUE!</v>
      </c>
      <c r="R538" t="e">
        <f>RigheOfferte[[#This Row],[Tipo Protezione]]</f>
        <v>#VALUE!</v>
      </c>
    </row>
    <row r="539" spans="1:18">
      <c r="A539" t="e">
        <f>RigheOfferte[[#This Row],[Nprev]]</f>
        <v>#VALUE!</v>
      </c>
      <c r="B539" t="e">
        <f>RigheOfferte[[#This Row],[Nriga]]</f>
        <v>#VALUE!</v>
      </c>
      <c r="C539" t="e">
        <f>RigheOfferte[[#This Row],[Cliente]]</f>
        <v>#VALUE!</v>
      </c>
      <c r="D539" t="e">
        <f>RigheOfferte[[#This Row],[sub_cliente]]</f>
        <v>#VALUE!</v>
      </c>
      <c r="E539" t="e">
        <f>RigheOfferte[[#This Row],[cod.Art.]]</f>
        <v>#VALUE!</v>
      </c>
      <c r="F539" t="e">
        <f>RigheOfferte[[#This Row],[Descrizione]]</f>
        <v>#VALUE!</v>
      </c>
      <c r="G539" t="e">
        <f>RigheOfferte[[#This Row],[Q.ta'']]</f>
        <v>#VALUE!</v>
      </c>
      <c r="H539" t="e">
        <f>RigheOfferte[[#This Row],[Lavorazione]]</f>
        <v>#VALUE!</v>
      </c>
      <c r="I539" t="e">
        <f>RigheOfferte[[#This Row],[Colore]]</f>
        <v>#VALUE!</v>
      </c>
      <c r="J539" t="e">
        <f>RigheOfferte[[#This Row],[Velocità]]</f>
        <v>#VALUE!</v>
      </c>
      <c r="K539" t="e">
        <f>RigheOfferte[[#This Row],[Superf.pz Mq]]</f>
        <v>#VALUE!</v>
      </c>
      <c r="L539" t="e">
        <f>RigheOfferte[[#This Row],[passo]]</f>
        <v>#VALUE!</v>
      </c>
      <c r="M539" t="e">
        <f>RigheOfferte[[#This Row],[nr.pezzi Telaio]]</f>
        <v>#VALUE!</v>
      </c>
      <c r="N539" t="e">
        <f>RigheOfferte[[#This Row],[nr.pezzi ora-unita]]</f>
        <v>#VALUE!</v>
      </c>
      <c r="O539" t="e">
        <f>Tabella1[[#This Row],[superificie]]*Resa</f>
        <v>#VALUE!</v>
      </c>
      <c r="P539" t="e">
        <f>Tabella1[[#This Row],[KgPezzo]]*Tabella1[[#This Row],[q.ta offerta]]</f>
        <v>#VALUE!</v>
      </c>
      <c r="Q539" t="e">
        <f>RigheOfferte[[#This Row],[QtaProtez]]</f>
        <v>#VALUE!</v>
      </c>
      <c r="R539" t="e">
        <f>RigheOfferte[[#This Row],[Tipo Protezione]]</f>
        <v>#VALUE!</v>
      </c>
    </row>
    <row r="540" spans="1:18">
      <c r="A540" t="e">
        <f>RigheOfferte[[#This Row],[Nprev]]</f>
        <v>#VALUE!</v>
      </c>
      <c r="B540" t="e">
        <f>RigheOfferte[[#This Row],[Nriga]]</f>
        <v>#VALUE!</v>
      </c>
      <c r="C540" t="e">
        <f>RigheOfferte[[#This Row],[Cliente]]</f>
        <v>#VALUE!</v>
      </c>
      <c r="D540" t="e">
        <f>RigheOfferte[[#This Row],[sub_cliente]]</f>
        <v>#VALUE!</v>
      </c>
      <c r="E540" t="e">
        <f>RigheOfferte[[#This Row],[cod.Art.]]</f>
        <v>#VALUE!</v>
      </c>
      <c r="F540" t="e">
        <f>RigheOfferte[[#This Row],[Descrizione]]</f>
        <v>#VALUE!</v>
      </c>
      <c r="G540" t="e">
        <f>RigheOfferte[[#This Row],[Q.ta'']]</f>
        <v>#VALUE!</v>
      </c>
      <c r="H540" t="e">
        <f>RigheOfferte[[#This Row],[Lavorazione]]</f>
        <v>#VALUE!</v>
      </c>
      <c r="I540" t="e">
        <f>RigheOfferte[[#This Row],[Colore]]</f>
        <v>#VALUE!</v>
      </c>
      <c r="J540" t="e">
        <f>RigheOfferte[[#This Row],[Velocità]]</f>
        <v>#VALUE!</v>
      </c>
      <c r="K540" t="e">
        <f>RigheOfferte[[#This Row],[Superf.pz Mq]]</f>
        <v>#VALUE!</v>
      </c>
      <c r="L540" t="e">
        <f>RigheOfferte[[#This Row],[passo]]</f>
        <v>#VALUE!</v>
      </c>
      <c r="M540" t="e">
        <f>RigheOfferte[[#This Row],[nr.pezzi Telaio]]</f>
        <v>#VALUE!</v>
      </c>
      <c r="N540" t="e">
        <f>RigheOfferte[[#This Row],[nr.pezzi ora-unita]]</f>
        <v>#VALUE!</v>
      </c>
      <c r="O540" t="e">
        <f>Tabella1[[#This Row],[superificie]]*Resa</f>
        <v>#VALUE!</v>
      </c>
      <c r="P540" t="e">
        <f>Tabella1[[#This Row],[KgPezzo]]*Tabella1[[#This Row],[q.ta offerta]]</f>
        <v>#VALUE!</v>
      </c>
      <c r="Q540" t="e">
        <f>RigheOfferte[[#This Row],[QtaProtez]]</f>
        <v>#VALUE!</v>
      </c>
      <c r="R540" t="e">
        <f>RigheOfferte[[#This Row],[Tipo Protezione]]</f>
        <v>#VALUE!</v>
      </c>
    </row>
    <row r="541" spans="1:18">
      <c r="A541" t="e">
        <f>RigheOfferte[[#This Row],[Nprev]]</f>
        <v>#VALUE!</v>
      </c>
      <c r="B541" t="e">
        <f>RigheOfferte[[#This Row],[Nriga]]</f>
        <v>#VALUE!</v>
      </c>
      <c r="C541" t="e">
        <f>RigheOfferte[[#This Row],[Cliente]]</f>
        <v>#VALUE!</v>
      </c>
      <c r="D541" t="e">
        <f>RigheOfferte[[#This Row],[sub_cliente]]</f>
        <v>#VALUE!</v>
      </c>
      <c r="E541" t="e">
        <f>RigheOfferte[[#This Row],[cod.Art.]]</f>
        <v>#VALUE!</v>
      </c>
      <c r="F541" t="e">
        <f>RigheOfferte[[#This Row],[Descrizione]]</f>
        <v>#VALUE!</v>
      </c>
      <c r="G541" t="e">
        <f>RigheOfferte[[#This Row],[Q.ta'']]</f>
        <v>#VALUE!</v>
      </c>
      <c r="H541" t="e">
        <f>RigheOfferte[[#This Row],[Lavorazione]]</f>
        <v>#VALUE!</v>
      </c>
      <c r="I541" t="e">
        <f>RigheOfferte[[#This Row],[Colore]]</f>
        <v>#VALUE!</v>
      </c>
      <c r="J541" t="e">
        <f>RigheOfferte[[#This Row],[Velocità]]</f>
        <v>#VALUE!</v>
      </c>
      <c r="K541" t="e">
        <f>RigheOfferte[[#This Row],[Superf.pz Mq]]</f>
        <v>#VALUE!</v>
      </c>
      <c r="L541" t="e">
        <f>RigheOfferte[[#This Row],[passo]]</f>
        <v>#VALUE!</v>
      </c>
      <c r="M541" t="e">
        <f>RigheOfferte[[#This Row],[nr.pezzi Telaio]]</f>
        <v>#VALUE!</v>
      </c>
      <c r="N541" t="e">
        <f>RigheOfferte[[#This Row],[nr.pezzi ora-unita]]</f>
        <v>#VALUE!</v>
      </c>
      <c r="O541" t="e">
        <f>Tabella1[[#This Row],[superificie]]*Resa</f>
        <v>#VALUE!</v>
      </c>
      <c r="P541" t="e">
        <f>Tabella1[[#This Row],[KgPezzo]]*Tabella1[[#This Row],[q.ta offerta]]</f>
        <v>#VALUE!</v>
      </c>
      <c r="Q541" t="e">
        <f>RigheOfferte[[#This Row],[QtaProtez]]</f>
        <v>#VALUE!</v>
      </c>
      <c r="R541" t="e">
        <f>RigheOfferte[[#This Row],[Tipo Protezione]]</f>
        <v>#VALUE!</v>
      </c>
    </row>
    <row r="542" spans="1:18">
      <c r="A542" t="e">
        <f>RigheOfferte[[#This Row],[Nprev]]</f>
        <v>#VALUE!</v>
      </c>
      <c r="B542" t="e">
        <f>RigheOfferte[[#This Row],[Nriga]]</f>
        <v>#VALUE!</v>
      </c>
      <c r="C542" t="e">
        <f>RigheOfferte[[#This Row],[Cliente]]</f>
        <v>#VALUE!</v>
      </c>
      <c r="D542" t="e">
        <f>RigheOfferte[[#This Row],[sub_cliente]]</f>
        <v>#VALUE!</v>
      </c>
      <c r="E542" t="e">
        <f>RigheOfferte[[#This Row],[cod.Art.]]</f>
        <v>#VALUE!</v>
      </c>
      <c r="F542" t="e">
        <f>RigheOfferte[[#This Row],[Descrizione]]</f>
        <v>#VALUE!</v>
      </c>
      <c r="G542" t="e">
        <f>RigheOfferte[[#This Row],[Q.ta'']]</f>
        <v>#VALUE!</v>
      </c>
      <c r="H542" t="e">
        <f>RigheOfferte[[#This Row],[Lavorazione]]</f>
        <v>#VALUE!</v>
      </c>
      <c r="I542" t="e">
        <f>RigheOfferte[[#This Row],[Colore]]</f>
        <v>#VALUE!</v>
      </c>
      <c r="J542" t="e">
        <f>RigheOfferte[[#This Row],[Velocità]]</f>
        <v>#VALUE!</v>
      </c>
      <c r="K542" t="e">
        <f>RigheOfferte[[#This Row],[Superf.pz Mq]]</f>
        <v>#VALUE!</v>
      </c>
      <c r="L542" t="e">
        <f>RigheOfferte[[#This Row],[passo]]</f>
        <v>#VALUE!</v>
      </c>
      <c r="M542" t="e">
        <f>RigheOfferte[[#This Row],[nr.pezzi Telaio]]</f>
        <v>#VALUE!</v>
      </c>
      <c r="N542" t="e">
        <f>RigheOfferte[[#This Row],[nr.pezzi ora-unita]]</f>
        <v>#VALUE!</v>
      </c>
      <c r="O542" t="e">
        <f>Tabella1[[#This Row],[superificie]]*Resa</f>
        <v>#VALUE!</v>
      </c>
      <c r="P542" t="e">
        <f>Tabella1[[#This Row],[KgPezzo]]*Tabella1[[#This Row],[q.ta offerta]]</f>
        <v>#VALUE!</v>
      </c>
      <c r="Q542" t="e">
        <f>RigheOfferte[[#This Row],[QtaProtez]]</f>
        <v>#VALUE!</v>
      </c>
      <c r="R542" t="e">
        <f>RigheOfferte[[#This Row],[Tipo Protezione]]</f>
        <v>#VALUE!</v>
      </c>
    </row>
    <row r="543" spans="1:18">
      <c r="A543" t="e">
        <f>RigheOfferte[[#This Row],[Nprev]]</f>
        <v>#VALUE!</v>
      </c>
      <c r="B543" t="e">
        <f>RigheOfferte[[#This Row],[Nriga]]</f>
        <v>#VALUE!</v>
      </c>
      <c r="C543" t="e">
        <f>RigheOfferte[[#This Row],[Cliente]]</f>
        <v>#VALUE!</v>
      </c>
      <c r="D543" t="e">
        <f>RigheOfferte[[#This Row],[sub_cliente]]</f>
        <v>#VALUE!</v>
      </c>
      <c r="E543" t="e">
        <f>RigheOfferte[[#This Row],[cod.Art.]]</f>
        <v>#VALUE!</v>
      </c>
      <c r="F543" t="e">
        <f>RigheOfferte[[#This Row],[Descrizione]]</f>
        <v>#VALUE!</v>
      </c>
      <c r="G543" t="e">
        <f>RigheOfferte[[#This Row],[Q.ta'']]</f>
        <v>#VALUE!</v>
      </c>
      <c r="H543" t="e">
        <f>RigheOfferte[[#This Row],[Lavorazione]]</f>
        <v>#VALUE!</v>
      </c>
      <c r="I543" t="e">
        <f>RigheOfferte[[#This Row],[Colore]]</f>
        <v>#VALUE!</v>
      </c>
      <c r="J543" t="e">
        <f>RigheOfferte[[#This Row],[Velocità]]</f>
        <v>#VALUE!</v>
      </c>
      <c r="K543" t="e">
        <f>RigheOfferte[[#This Row],[Superf.pz Mq]]</f>
        <v>#VALUE!</v>
      </c>
      <c r="L543" t="e">
        <f>RigheOfferte[[#This Row],[passo]]</f>
        <v>#VALUE!</v>
      </c>
      <c r="M543" t="e">
        <f>RigheOfferte[[#This Row],[nr.pezzi Telaio]]</f>
        <v>#VALUE!</v>
      </c>
      <c r="N543" t="e">
        <f>RigheOfferte[[#This Row],[nr.pezzi ora-unita]]</f>
        <v>#VALUE!</v>
      </c>
      <c r="O543" t="e">
        <f>Tabella1[[#This Row],[superificie]]*Resa</f>
        <v>#VALUE!</v>
      </c>
      <c r="P543" t="e">
        <f>Tabella1[[#This Row],[KgPezzo]]*Tabella1[[#This Row],[q.ta offerta]]</f>
        <v>#VALUE!</v>
      </c>
      <c r="Q543" t="e">
        <f>RigheOfferte[[#This Row],[QtaProtez]]</f>
        <v>#VALUE!</v>
      </c>
      <c r="R543" t="e">
        <f>RigheOfferte[[#This Row],[Tipo Protezione]]</f>
        <v>#VALUE!</v>
      </c>
    </row>
    <row r="544" spans="1:18">
      <c r="A544" t="e">
        <f>RigheOfferte[[#This Row],[Nprev]]</f>
        <v>#VALUE!</v>
      </c>
      <c r="B544" t="e">
        <f>RigheOfferte[[#This Row],[Nriga]]</f>
        <v>#VALUE!</v>
      </c>
      <c r="C544" t="e">
        <f>RigheOfferte[[#This Row],[Cliente]]</f>
        <v>#VALUE!</v>
      </c>
      <c r="D544" t="e">
        <f>RigheOfferte[[#This Row],[sub_cliente]]</f>
        <v>#VALUE!</v>
      </c>
      <c r="E544" t="e">
        <f>RigheOfferte[[#This Row],[cod.Art.]]</f>
        <v>#VALUE!</v>
      </c>
      <c r="F544" t="e">
        <f>RigheOfferte[[#This Row],[Descrizione]]</f>
        <v>#VALUE!</v>
      </c>
      <c r="G544" t="e">
        <f>RigheOfferte[[#This Row],[Q.ta'']]</f>
        <v>#VALUE!</v>
      </c>
      <c r="H544" t="e">
        <f>RigheOfferte[[#This Row],[Lavorazione]]</f>
        <v>#VALUE!</v>
      </c>
      <c r="I544" t="e">
        <f>RigheOfferte[[#This Row],[Colore]]</f>
        <v>#VALUE!</v>
      </c>
      <c r="J544" t="e">
        <f>RigheOfferte[[#This Row],[Velocità]]</f>
        <v>#VALUE!</v>
      </c>
      <c r="K544" t="e">
        <f>RigheOfferte[[#This Row],[Superf.pz Mq]]</f>
        <v>#VALUE!</v>
      </c>
      <c r="L544" t="e">
        <f>RigheOfferte[[#This Row],[passo]]</f>
        <v>#VALUE!</v>
      </c>
      <c r="M544" t="e">
        <f>RigheOfferte[[#This Row],[nr.pezzi Telaio]]</f>
        <v>#VALUE!</v>
      </c>
      <c r="N544" t="e">
        <f>RigheOfferte[[#This Row],[nr.pezzi ora-unita]]</f>
        <v>#VALUE!</v>
      </c>
      <c r="O544" t="e">
        <f>Tabella1[[#This Row],[superificie]]*Resa</f>
        <v>#VALUE!</v>
      </c>
      <c r="P544" t="e">
        <f>Tabella1[[#This Row],[KgPezzo]]*Tabella1[[#This Row],[q.ta offerta]]</f>
        <v>#VALUE!</v>
      </c>
      <c r="Q544" t="e">
        <f>RigheOfferte[[#This Row],[QtaProtez]]</f>
        <v>#VALUE!</v>
      </c>
      <c r="R544" t="e">
        <f>RigheOfferte[[#This Row],[Tipo Protezione]]</f>
        <v>#VALUE!</v>
      </c>
    </row>
    <row r="545" spans="1:18">
      <c r="A545" t="e">
        <f>RigheOfferte[[#This Row],[Nprev]]</f>
        <v>#VALUE!</v>
      </c>
      <c r="B545" t="e">
        <f>RigheOfferte[[#This Row],[Nriga]]</f>
        <v>#VALUE!</v>
      </c>
      <c r="C545" t="e">
        <f>RigheOfferte[[#This Row],[Cliente]]</f>
        <v>#VALUE!</v>
      </c>
      <c r="D545" t="e">
        <f>RigheOfferte[[#This Row],[sub_cliente]]</f>
        <v>#VALUE!</v>
      </c>
      <c r="E545" t="e">
        <f>RigheOfferte[[#This Row],[cod.Art.]]</f>
        <v>#VALUE!</v>
      </c>
      <c r="F545" t="e">
        <f>RigheOfferte[[#This Row],[Descrizione]]</f>
        <v>#VALUE!</v>
      </c>
      <c r="G545" t="e">
        <f>RigheOfferte[[#This Row],[Q.ta'']]</f>
        <v>#VALUE!</v>
      </c>
      <c r="H545" t="e">
        <f>RigheOfferte[[#This Row],[Lavorazione]]</f>
        <v>#VALUE!</v>
      </c>
      <c r="I545" t="e">
        <f>RigheOfferte[[#This Row],[Colore]]</f>
        <v>#VALUE!</v>
      </c>
      <c r="J545" t="e">
        <f>RigheOfferte[[#This Row],[Velocità]]</f>
        <v>#VALUE!</v>
      </c>
      <c r="K545" t="e">
        <f>RigheOfferte[[#This Row],[Superf.pz Mq]]</f>
        <v>#VALUE!</v>
      </c>
      <c r="L545" t="e">
        <f>RigheOfferte[[#This Row],[passo]]</f>
        <v>#VALUE!</v>
      </c>
      <c r="M545" t="e">
        <f>RigheOfferte[[#This Row],[nr.pezzi Telaio]]</f>
        <v>#VALUE!</v>
      </c>
      <c r="N545" t="e">
        <f>RigheOfferte[[#This Row],[nr.pezzi ora-unita]]</f>
        <v>#VALUE!</v>
      </c>
      <c r="O545" t="e">
        <f>Tabella1[[#This Row],[superificie]]*Resa</f>
        <v>#VALUE!</v>
      </c>
      <c r="P545" t="e">
        <f>Tabella1[[#This Row],[KgPezzo]]*Tabella1[[#This Row],[q.ta offerta]]</f>
        <v>#VALUE!</v>
      </c>
      <c r="Q545" t="e">
        <f>RigheOfferte[[#This Row],[QtaProtez]]</f>
        <v>#VALUE!</v>
      </c>
      <c r="R545" t="e">
        <f>RigheOfferte[[#This Row],[Tipo Protezione]]</f>
        <v>#VALUE!</v>
      </c>
    </row>
    <row r="546" spans="1:18">
      <c r="A546" t="e">
        <f>RigheOfferte[[#This Row],[Nprev]]</f>
        <v>#VALUE!</v>
      </c>
      <c r="B546" t="e">
        <f>RigheOfferte[[#This Row],[Nriga]]</f>
        <v>#VALUE!</v>
      </c>
      <c r="C546" t="e">
        <f>RigheOfferte[[#This Row],[Cliente]]</f>
        <v>#VALUE!</v>
      </c>
      <c r="D546" t="e">
        <f>RigheOfferte[[#This Row],[sub_cliente]]</f>
        <v>#VALUE!</v>
      </c>
      <c r="E546" t="e">
        <f>RigheOfferte[[#This Row],[cod.Art.]]</f>
        <v>#VALUE!</v>
      </c>
      <c r="F546" t="e">
        <f>RigheOfferte[[#This Row],[Descrizione]]</f>
        <v>#VALUE!</v>
      </c>
      <c r="G546" t="e">
        <f>RigheOfferte[[#This Row],[Q.ta'']]</f>
        <v>#VALUE!</v>
      </c>
      <c r="H546" t="e">
        <f>RigheOfferte[[#This Row],[Lavorazione]]</f>
        <v>#VALUE!</v>
      </c>
      <c r="I546" t="e">
        <f>RigheOfferte[[#This Row],[Colore]]</f>
        <v>#VALUE!</v>
      </c>
      <c r="J546" t="e">
        <f>RigheOfferte[[#This Row],[Velocità]]</f>
        <v>#VALUE!</v>
      </c>
      <c r="K546" t="e">
        <f>RigheOfferte[[#This Row],[Superf.pz Mq]]</f>
        <v>#VALUE!</v>
      </c>
      <c r="L546" t="e">
        <f>RigheOfferte[[#This Row],[passo]]</f>
        <v>#VALUE!</v>
      </c>
      <c r="M546" t="e">
        <f>RigheOfferte[[#This Row],[nr.pezzi Telaio]]</f>
        <v>#VALUE!</v>
      </c>
      <c r="N546" t="e">
        <f>RigheOfferte[[#This Row],[nr.pezzi ora-unita]]</f>
        <v>#VALUE!</v>
      </c>
      <c r="O546" t="e">
        <f>Tabella1[[#This Row],[superificie]]*Resa</f>
        <v>#VALUE!</v>
      </c>
      <c r="P546" t="e">
        <f>Tabella1[[#This Row],[KgPezzo]]*Tabella1[[#This Row],[q.ta offerta]]</f>
        <v>#VALUE!</v>
      </c>
      <c r="Q546" t="e">
        <f>RigheOfferte[[#This Row],[QtaProtez]]</f>
        <v>#VALUE!</v>
      </c>
      <c r="R546" t="e">
        <f>RigheOfferte[[#This Row],[Tipo Protezione]]</f>
        <v>#VALUE!</v>
      </c>
    </row>
    <row r="547" spans="1:18">
      <c r="A547" t="e">
        <f>RigheOfferte[[#This Row],[Nprev]]</f>
        <v>#VALUE!</v>
      </c>
      <c r="B547" t="e">
        <f>RigheOfferte[[#This Row],[Nriga]]</f>
        <v>#VALUE!</v>
      </c>
      <c r="C547" t="e">
        <f>RigheOfferte[[#This Row],[Cliente]]</f>
        <v>#VALUE!</v>
      </c>
      <c r="D547" t="e">
        <f>RigheOfferte[[#This Row],[sub_cliente]]</f>
        <v>#VALUE!</v>
      </c>
      <c r="E547" t="e">
        <f>RigheOfferte[[#This Row],[cod.Art.]]</f>
        <v>#VALUE!</v>
      </c>
      <c r="F547" t="e">
        <f>RigheOfferte[[#This Row],[Descrizione]]</f>
        <v>#VALUE!</v>
      </c>
      <c r="G547" t="e">
        <f>RigheOfferte[[#This Row],[Q.ta'']]</f>
        <v>#VALUE!</v>
      </c>
      <c r="H547" t="e">
        <f>RigheOfferte[[#This Row],[Lavorazione]]</f>
        <v>#VALUE!</v>
      </c>
      <c r="I547" t="e">
        <f>RigheOfferte[[#This Row],[Colore]]</f>
        <v>#VALUE!</v>
      </c>
      <c r="J547" t="e">
        <f>RigheOfferte[[#This Row],[Velocità]]</f>
        <v>#VALUE!</v>
      </c>
      <c r="K547" t="e">
        <f>RigheOfferte[[#This Row],[Superf.pz Mq]]</f>
        <v>#VALUE!</v>
      </c>
      <c r="L547" t="e">
        <f>RigheOfferte[[#This Row],[passo]]</f>
        <v>#VALUE!</v>
      </c>
      <c r="M547" t="e">
        <f>RigheOfferte[[#This Row],[nr.pezzi Telaio]]</f>
        <v>#VALUE!</v>
      </c>
      <c r="N547" t="e">
        <f>RigheOfferte[[#This Row],[nr.pezzi ora-unita]]</f>
        <v>#VALUE!</v>
      </c>
      <c r="O547" t="e">
        <f>Tabella1[[#This Row],[superificie]]*Resa</f>
        <v>#VALUE!</v>
      </c>
      <c r="P547" t="e">
        <f>Tabella1[[#This Row],[KgPezzo]]*Tabella1[[#This Row],[q.ta offerta]]</f>
        <v>#VALUE!</v>
      </c>
      <c r="Q547" t="e">
        <f>RigheOfferte[[#This Row],[QtaProtez]]</f>
        <v>#VALUE!</v>
      </c>
      <c r="R547" t="e">
        <f>RigheOfferte[[#This Row],[Tipo Protezione]]</f>
        <v>#VALUE!</v>
      </c>
    </row>
    <row r="548" spans="1:18">
      <c r="A548" t="e">
        <f>RigheOfferte[[#This Row],[Nprev]]</f>
        <v>#VALUE!</v>
      </c>
      <c r="B548" t="e">
        <f>RigheOfferte[[#This Row],[Nriga]]</f>
        <v>#VALUE!</v>
      </c>
      <c r="C548" t="e">
        <f>RigheOfferte[[#This Row],[Cliente]]</f>
        <v>#VALUE!</v>
      </c>
      <c r="D548" t="e">
        <f>RigheOfferte[[#This Row],[sub_cliente]]</f>
        <v>#VALUE!</v>
      </c>
      <c r="E548" t="e">
        <f>RigheOfferte[[#This Row],[cod.Art.]]</f>
        <v>#VALUE!</v>
      </c>
      <c r="F548" t="e">
        <f>RigheOfferte[[#This Row],[Descrizione]]</f>
        <v>#VALUE!</v>
      </c>
      <c r="G548" t="e">
        <f>RigheOfferte[[#This Row],[Q.ta'']]</f>
        <v>#VALUE!</v>
      </c>
      <c r="H548" t="e">
        <f>RigheOfferte[[#This Row],[Lavorazione]]</f>
        <v>#VALUE!</v>
      </c>
      <c r="I548" t="e">
        <f>RigheOfferte[[#This Row],[Colore]]</f>
        <v>#VALUE!</v>
      </c>
      <c r="J548" t="e">
        <f>RigheOfferte[[#This Row],[Velocità]]</f>
        <v>#VALUE!</v>
      </c>
      <c r="K548" t="e">
        <f>RigheOfferte[[#This Row],[Superf.pz Mq]]</f>
        <v>#VALUE!</v>
      </c>
      <c r="L548" t="e">
        <f>RigheOfferte[[#This Row],[passo]]</f>
        <v>#VALUE!</v>
      </c>
      <c r="M548" t="e">
        <f>RigheOfferte[[#This Row],[nr.pezzi Telaio]]</f>
        <v>#VALUE!</v>
      </c>
      <c r="N548" t="e">
        <f>RigheOfferte[[#This Row],[nr.pezzi ora-unita]]</f>
        <v>#VALUE!</v>
      </c>
      <c r="O548" t="e">
        <f>Tabella1[[#This Row],[superificie]]*Resa</f>
        <v>#VALUE!</v>
      </c>
      <c r="P548" t="e">
        <f>Tabella1[[#This Row],[KgPezzo]]*Tabella1[[#This Row],[q.ta offerta]]</f>
        <v>#VALUE!</v>
      </c>
      <c r="Q548" t="e">
        <f>RigheOfferte[[#This Row],[QtaProtez]]</f>
        <v>#VALUE!</v>
      </c>
      <c r="R548" t="e">
        <f>RigheOfferte[[#This Row],[Tipo Protezione]]</f>
        <v>#VALUE!</v>
      </c>
    </row>
    <row r="549" spans="1:18">
      <c r="A549" t="e">
        <f>RigheOfferte[[#This Row],[Nprev]]</f>
        <v>#VALUE!</v>
      </c>
      <c r="B549" t="e">
        <f>RigheOfferte[[#This Row],[Nriga]]</f>
        <v>#VALUE!</v>
      </c>
      <c r="C549" t="e">
        <f>RigheOfferte[[#This Row],[Cliente]]</f>
        <v>#VALUE!</v>
      </c>
      <c r="D549" t="e">
        <f>RigheOfferte[[#This Row],[sub_cliente]]</f>
        <v>#VALUE!</v>
      </c>
      <c r="E549" t="e">
        <f>RigheOfferte[[#This Row],[cod.Art.]]</f>
        <v>#VALUE!</v>
      </c>
      <c r="F549" t="e">
        <f>RigheOfferte[[#This Row],[Descrizione]]</f>
        <v>#VALUE!</v>
      </c>
      <c r="G549" t="e">
        <f>RigheOfferte[[#This Row],[Q.ta'']]</f>
        <v>#VALUE!</v>
      </c>
      <c r="H549" t="e">
        <f>RigheOfferte[[#This Row],[Lavorazione]]</f>
        <v>#VALUE!</v>
      </c>
      <c r="I549" t="e">
        <f>RigheOfferte[[#This Row],[Colore]]</f>
        <v>#VALUE!</v>
      </c>
      <c r="J549" t="e">
        <f>RigheOfferte[[#This Row],[Velocità]]</f>
        <v>#VALUE!</v>
      </c>
      <c r="K549" t="e">
        <f>RigheOfferte[[#This Row],[Superf.pz Mq]]</f>
        <v>#VALUE!</v>
      </c>
      <c r="L549" t="e">
        <f>RigheOfferte[[#This Row],[passo]]</f>
        <v>#VALUE!</v>
      </c>
      <c r="M549" t="e">
        <f>RigheOfferte[[#This Row],[nr.pezzi Telaio]]</f>
        <v>#VALUE!</v>
      </c>
      <c r="N549" t="e">
        <f>RigheOfferte[[#This Row],[nr.pezzi ora-unita]]</f>
        <v>#VALUE!</v>
      </c>
      <c r="O549" t="e">
        <f>Tabella1[[#This Row],[superificie]]*Resa</f>
        <v>#VALUE!</v>
      </c>
      <c r="P549" t="e">
        <f>Tabella1[[#This Row],[KgPezzo]]*Tabella1[[#This Row],[q.ta offerta]]</f>
        <v>#VALUE!</v>
      </c>
      <c r="Q549" t="e">
        <f>RigheOfferte[[#This Row],[QtaProtez]]</f>
        <v>#VALUE!</v>
      </c>
      <c r="R549" t="e">
        <f>RigheOfferte[[#This Row],[Tipo Protezione]]</f>
        <v>#VALUE!</v>
      </c>
    </row>
    <row r="550" spans="1:18">
      <c r="A550" t="e">
        <f>RigheOfferte[[#This Row],[Nprev]]</f>
        <v>#VALUE!</v>
      </c>
      <c r="B550" t="e">
        <f>RigheOfferte[[#This Row],[Nriga]]</f>
        <v>#VALUE!</v>
      </c>
      <c r="C550" t="e">
        <f>RigheOfferte[[#This Row],[Cliente]]</f>
        <v>#VALUE!</v>
      </c>
      <c r="D550" t="e">
        <f>RigheOfferte[[#This Row],[sub_cliente]]</f>
        <v>#VALUE!</v>
      </c>
      <c r="E550" t="e">
        <f>RigheOfferte[[#This Row],[cod.Art.]]</f>
        <v>#VALUE!</v>
      </c>
      <c r="F550" t="e">
        <f>RigheOfferte[[#This Row],[Descrizione]]</f>
        <v>#VALUE!</v>
      </c>
      <c r="G550" t="e">
        <f>RigheOfferte[[#This Row],[Q.ta'']]</f>
        <v>#VALUE!</v>
      </c>
      <c r="H550" t="e">
        <f>RigheOfferte[[#This Row],[Lavorazione]]</f>
        <v>#VALUE!</v>
      </c>
      <c r="I550" t="e">
        <f>RigheOfferte[[#This Row],[Colore]]</f>
        <v>#VALUE!</v>
      </c>
      <c r="J550" t="e">
        <f>RigheOfferte[[#This Row],[Velocità]]</f>
        <v>#VALUE!</v>
      </c>
      <c r="K550" t="e">
        <f>RigheOfferte[[#This Row],[Superf.pz Mq]]</f>
        <v>#VALUE!</v>
      </c>
      <c r="L550" t="e">
        <f>RigheOfferte[[#This Row],[passo]]</f>
        <v>#VALUE!</v>
      </c>
      <c r="M550" t="e">
        <f>RigheOfferte[[#This Row],[nr.pezzi Telaio]]</f>
        <v>#VALUE!</v>
      </c>
      <c r="N550" t="e">
        <f>RigheOfferte[[#This Row],[nr.pezzi ora-unita]]</f>
        <v>#VALUE!</v>
      </c>
      <c r="O550" t="e">
        <f>Tabella1[[#This Row],[superificie]]*Resa</f>
        <v>#VALUE!</v>
      </c>
      <c r="P550" t="e">
        <f>Tabella1[[#This Row],[KgPezzo]]*Tabella1[[#This Row],[q.ta offerta]]</f>
        <v>#VALUE!</v>
      </c>
      <c r="Q550" t="e">
        <f>RigheOfferte[[#This Row],[QtaProtez]]</f>
        <v>#VALUE!</v>
      </c>
      <c r="R550" t="e">
        <f>RigheOfferte[[#This Row],[Tipo Protezione]]</f>
        <v>#VALUE!</v>
      </c>
    </row>
    <row r="551" spans="1:18">
      <c r="A551" t="e">
        <f>RigheOfferte[[#This Row],[Nprev]]</f>
        <v>#VALUE!</v>
      </c>
      <c r="B551" t="e">
        <f>RigheOfferte[[#This Row],[Nriga]]</f>
        <v>#VALUE!</v>
      </c>
      <c r="C551" t="e">
        <f>RigheOfferte[[#This Row],[Cliente]]</f>
        <v>#VALUE!</v>
      </c>
      <c r="D551" t="e">
        <f>RigheOfferte[[#This Row],[sub_cliente]]</f>
        <v>#VALUE!</v>
      </c>
      <c r="E551" t="e">
        <f>RigheOfferte[[#This Row],[cod.Art.]]</f>
        <v>#VALUE!</v>
      </c>
      <c r="F551" t="e">
        <f>RigheOfferte[[#This Row],[Descrizione]]</f>
        <v>#VALUE!</v>
      </c>
      <c r="G551" t="e">
        <f>RigheOfferte[[#This Row],[Q.ta'']]</f>
        <v>#VALUE!</v>
      </c>
      <c r="H551" t="e">
        <f>RigheOfferte[[#This Row],[Lavorazione]]</f>
        <v>#VALUE!</v>
      </c>
      <c r="I551" t="e">
        <f>RigheOfferte[[#This Row],[Colore]]</f>
        <v>#VALUE!</v>
      </c>
      <c r="J551" t="e">
        <f>RigheOfferte[[#This Row],[Velocità]]</f>
        <v>#VALUE!</v>
      </c>
      <c r="K551" t="e">
        <f>RigheOfferte[[#This Row],[Superf.pz Mq]]</f>
        <v>#VALUE!</v>
      </c>
      <c r="L551" t="e">
        <f>RigheOfferte[[#This Row],[passo]]</f>
        <v>#VALUE!</v>
      </c>
      <c r="M551" t="e">
        <f>RigheOfferte[[#This Row],[nr.pezzi Telaio]]</f>
        <v>#VALUE!</v>
      </c>
      <c r="N551" t="e">
        <f>RigheOfferte[[#This Row],[nr.pezzi ora-unita]]</f>
        <v>#VALUE!</v>
      </c>
      <c r="O551" t="e">
        <f>Tabella1[[#This Row],[superificie]]*Resa</f>
        <v>#VALUE!</v>
      </c>
      <c r="P551" t="e">
        <f>Tabella1[[#This Row],[KgPezzo]]*Tabella1[[#This Row],[q.ta offerta]]</f>
        <v>#VALUE!</v>
      </c>
      <c r="Q551" t="e">
        <f>RigheOfferte[[#This Row],[QtaProtez]]</f>
        <v>#VALUE!</v>
      </c>
      <c r="R551" t="e">
        <f>RigheOfferte[[#This Row],[Tipo Protezione]]</f>
        <v>#VALUE!</v>
      </c>
    </row>
    <row r="552" spans="1:18">
      <c r="A552" t="e">
        <f>RigheOfferte[[#This Row],[Nprev]]</f>
        <v>#VALUE!</v>
      </c>
      <c r="B552" t="e">
        <f>RigheOfferte[[#This Row],[Nriga]]</f>
        <v>#VALUE!</v>
      </c>
      <c r="C552" t="e">
        <f>RigheOfferte[[#This Row],[Cliente]]</f>
        <v>#VALUE!</v>
      </c>
      <c r="D552" t="e">
        <f>RigheOfferte[[#This Row],[sub_cliente]]</f>
        <v>#VALUE!</v>
      </c>
      <c r="E552" t="e">
        <f>RigheOfferte[[#This Row],[cod.Art.]]</f>
        <v>#VALUE!</v>
      </c>
      <c r="F552" t="e">
        <f>RigheOfferte[[#This Row],[Descrizione]]</f>
        <v>#VALUE!</v>
      </c>
      <c r="G552" t="e">
        <f>RigheOfferte[[#This Row],[Q.ta'']]</f>
        <v>#VALUE!</v>
      </c>
      <c r="H552" t="e">
        <f>RigheOfferte[[#This Row],[Lavorazione]]</f>
        <v>#VALUE!</v>
      </c>
      <c r="I552" t="e">
        <f>RigheOfferte[[#This Row],[Colore]]</f>
        <v>#VALUE!</v>
      </c>
      <c r="J552" t="e">
        <f>RigheOfferte[[#This Row],[Velocità]]</f>
        <v>#VALUE!</v>
      </c>
      <c r="K552" t="e">
        <f>RigheOfferte[[#This Row],[Superf.pz Mq]]</f>
        <v>#VALUE!</v>
      </c>
      <c r="L552" t="e">
        <f>RigheOfferte[[#This Row],[passo]]</f>
        <v>#VALUE!</v>
      </c>
      <c r="M552" t="e">
        <f>RigheOfferte[[#This Row],[nr.pezzi Telaio]]</f>
        <v>#VALUE!</v>
      </c>
      <c r="N552" t="e">
        <f>RigheOfferte[[#This Row],[nr.pezzi ora-unita]]</f>
        <v>#VALUE!</v>
      </c>
      <c r="O552" t="e">
        <f>Tabella1[[#This Row],[superificie]]*Resa</f>
        <v>#VALUE!</v>
      </c>
      <c r="P552" t="e">
        <f>Tabella1[[#This Row],[KgPezzo]]*Tabella1[[#This Row],[q.ta offerta]]</f>
        <v>#VALUE!</v>
      </c>
      <c r="Q552" t="e">
        <f>RigheOfferte[[#This Row],[QtaProtez]]</f>
        <v>#VALUE!</v>
      </c>
      <c r="R552" t="e">
        <f>RigheOfferte[[#This Row],[Tipo Protezione]]</f>
        <v>#VALUE!</v>
      </c>
    </row>
    <row r="553" spans="1:18">
      <c r="A553" t="e">
        <f>RigheOfferte[[#This Row],[Nprev]]</f>
        <v>#VALUE!</v>
      </c>
      <c r="B553" t="e">
        <f>RigheOfferte[[#This Row],[Nriga]]</f>
        <v>#VALUE!</v>
      </c>
      <c r="C553" t="e">
        <f>RigheOfferte[[#This Row],[Cliente]]</f>
        <v>#VALUE!</v>
      </c>
      <c r="D553" t="e">
        <f>RigheOfferte[[#This Row],[sub_cliente]]</f>
        <v>#VALUE!</v>
      </c>
      <c r="E553" t="e">
        <f>RigheOfferte[[#This Row],[cod.Art.]]</f>
        <v>#VALUE!</v>
      </c>
      <c r="F553" t="e">
        <f>RigheOfferte[[#This Row],[Descrizione]]</f>
        <v>#VALUE!</v>
      </c>
      <c r="G553" t="e">
        <f>RigheOfferte[[#This Row],[Q.ta'']]</f>
        <v>#VALUE!</v>
      </c>
      <c r="H553" t="e">
        <f>RigheOfferte[[#This Row],[Lavorazione]]</f>
        <v>#VALUE!</v>
      </c>
      <c r="I553" t="e">
        <f>RigheOfferte[[#This Row],[Colore]]</f>
        <v>#VALUE!</v>
      </c>
      <c r="J553" t="e">
        <f>RigheOfferte[[#This Row],[Velocità]]</f>
        <v>#VALUE!</v>
      </c>
      <c r="K553" t="e">
        <f>RigheOfferte[[#This Row],[Superf.pz Mq]]</f>
        <v>#VALUE!</v>
      </c>
      <c r="L553" t="e">
        <f>RigheOfferte[[#This Row],[passo]]</f>
        <v>#VALUE!</v>
      </c>
      <c r="M553" t="e">
        <f>RigheOfferte[[#This Row],[nr.pezzi Telaio]]</f>
        <v>#VALUE!</v>
      </c>
      <c r="N553" t="e">
        <f>RigheOfferte[[#This Row],[nr.pezzi ora-unita]]</f>
        <v>#VALUE!</v>
      </c>
      <c r="O553" t="e">
        <f>Tabella1[[#This Row],[superificie]]*Resa</f>
        <v>#VALUE!</v>
      </c>
      <c r="P553" t="e">
        <f>Tabella1[[#This Row],[KgPezzo]]*Tabella1[[#This Row],[q.ta offerta]]</f>
        <v>#VALUE!</v>
      </c>
      <c r="Q553" t="e">
        <f>RigheOfferte[[#This Row],[QtaProtez]]</f>
        <v>#VALUE!</v>
      </c>
      <c r="R553" t="e">
        <f>RigheOfferte[[#This Row],[Tipo Protezione]]</f>
        <v>#VALUE!</v>
      </c>
    </row>
    <row r="554" spans="1:18">
      <c r="A554" t="e">
        <f>RigheOfferte[[#This Row],[Nprev]]</f>
        <v>#VALUE!</v>
      </c>
      <c r="B554" t="e">
        <f>RigheOfferte[[#This Row],[Nriga]]</f>
        <v>#VALUE!</v>
      </c>
      <c r="C554" t="e">
        <f>RigheOfferte[[#This Row],[Cliente]]</f>
        <v>#VALUE!</v>
      </c>
      <c r="D554" t="e">
        <f>RigheOfferte[[#This Row],[sub_cliente]]</f>
        <v>#VALUE!</v>
      </c>
      <c r="E554" t="e">
        <f>RigheOfferte[[#This Row],[cod.Art.]]</f>
        <v>#VALUE!</v>
      </c>
      <c r="F554" t="e">
        <f>RigheOfferte[[#This Row],[Descrizione]]</f>
        <v>#VALUE!</v>
      </c>
      <c r="G554" t="e">
        <f>RigheOfferte[[#This Row],[Q.ta'']]</f>
        <v>#VALUE!</v>
      </c>
      <c r="H554" t="e">
        <f>RigheOfferte[[#This Row],[Lavorazione]]</f>
        <v>#VALUE!</v>
      </c>
      <c r="I554" t="e">
        <f>RigheOfferte[[#This Row],[Colore]]</f>
        <v>#VALUE!</v>
      </c>
      <c r="J554" t="e">
        <f>RigheOfferte[[#This Row],[Velocità]]</f>
        <v>#VALUE!</v>
      </c>
      <c r="K554" t="e">
        <f>RigheOfferte[[#This Row],[Superf.pz Mq]]</f>
        <v>#VALUE!</v>
      </c>
      <c r="L554" t="e">
        <f>RigheOfferte[[#This Row],[passo]]</f>
        <v>#VALUE!</v>
      </c>
      <c r="M554" t="e">
        <f>RigheOfferte[[#This Row],[nr.pezzi Telaio]]</f>
        <v>#VALUE!</v>
      </c>
      <c r="N554" t="e">
        <f>RigheOfferte[[#This Row],[nr.pezzi ora-unita]]</f>
        <v>#VALUE!</v>
      </c>
      <c r="O554" t="e">
        <f>Tabella1[[#This Row],[superificie]]*Resa</f>
        <v>#VALUE!</v>
      </c>
      <c r="P554" t="e">
        <f>Tabella1[[#This Row],[KgPezzo]]*Tabella1[[#This Row],[q.ta offerta]]</f>
        <v>#VALUE!</v>
      </c>
      <c r="Q554" t="e">
        <f>RigheOfferte[[#This Row],[QtaProtez]]</f>
        <v>#VALUE!</v>
      </c>
      <c r="R554" t="e">
        <f>RigheOfferte[[#This Row],[Tipo Protezione]]</f>
        <v>#VALUE!</v>
      </c>
    </row>
    <row r="555" spans="1:18">
      <c r="A555" t="e">
        <f>RigheOfferte[[#This Row],[Nprev]]</f>
        <v>#VALUE!</v>
      </c>
      <c r="B555" t="e">
        <f>RigheOfferte[[#This Row],[Nriga]]</f>
        <v>#VALUE!</v>
      </c>
      <c r="C555" t="e">
        <f>RigheOfferte[[#This Row],[Cliente]]</f>
        <v>#VALUE!</v>
      </c>
      <c r="D555" t="e">
        <f>RigheOfferte[[#This Row],[sub_cliente]]</f>
        <v>#VALUE!</v>
      </c>
      <c r="E555" t="e">
        <f>RigheOfferte[[#This Row],[cod.Art.]]</f>
        <v>#VALUE!</v>
      </c>
      <c r="F555" t="e">
        <f>RigheOfferte[[#This Row],[Descrizione]]</f>
        <v>#VALUE!</v>
      </c>
      <c r="G555" t="e">
        <f>RigheOfferte[[#This Row],[Q.ta'']]</f>
        <v>#VALUE!</v>
      </c>
      <c r="H555" t="e">
        <f>RigheOfferte[[#This Row],[Lavorazione]]</f>
        <v>#VALUE!</v>
      </c>
      <c r="I555" t="e">
        <f>RigheOfferte[[#This Row],[Colore]]</f>
        <v>#VALUE!</v>
      </c>
      <c r="J555" t="e">
        <f>RigheOfferte[[#This Row],[Velocità]]</f>
        <v>#VALUE!</v>
      </c>
      <c r="K555" t="e">
        <f>RigheOfferte[[#This Row],[Superf.pz Mq]]</f>
        <v>#VALUE!</v>
      </c>
      <c r="L555" t="e">
        <f>RigheOfferte[[#This Row],[passo]]</f>
        <v>#VALUE!</v>
      </c>
      <c r="M555" t="e">
        <f>RigheOfferte[[#This Row],[nr.pezzi Telaio]]</f>
        <v>#VALUE!</v>
      </c>
      <c r="N555" t="e">
        <f>RigheOfferte[[#This Row],[nr.pezzi ora-unita]]</f>
        <v>#VALUE!</v>
      </c>
      <c r="O555" t="e">
        <f>Tabella1[[#This Row],[superificie]]*Resa</f>
        <v>#VALUE!</v>
      </c>
      <c r="P555" t="e">
        <f>Tabella1[[#This Row],[KgPezzo]]*Tabella1[[#This Row],[q.ta offerta]]</f>
        <v>#VALUE!</v>
      </c>
      <c r="Q555" t="e">
        <f>RigheOfferte[[#This Row],[QtaProtez]]</f>
        <v>#VALUE!</v>
      </c>
      <c r="R555" t="e">
        <f>RigheOfferte[[#This Row],[Tipo Protezione]]</f>
        <v>#VALUE!</v>
      </c>
    </row>
    <row r="556" spans="1:18">
      <c r="A556" t="e">
        <f>RigheOfferte[[#This Row],[Nprev]]</f>
        <v>#VALUE!</v>
      </c>
      <c r="B556" t="e">
        <f>RigheOfferte[[#This Row],[Nriga]]</f>
        <v>#VALUE!</v>
      </c>
      <c r="C556" t="e">
        <f>RigheOfferte[[#This Row],[Cliente]]</f>
        <v>#VALUE!</v>
      </c>
      <c r="D556" t="e">
        <f>RigheOfferte[[#This Row],[sub_cliente]]</f>
        <v>#VALUE!</v>
      </c>
      <c r="E556" t="e">
        <f>RigheOfferte[[#This Row],[cod.Art.]]</f>
        <v>#VALUE!</v>
      </c>
      <c r="F556" t="e">
        <f>RigheOfferte[[#This Row],[Descrizione]]</f>
        <v>#VALUE!</v>
      </c>
      <c r="G556" t="e">
        <f>RigheOfferte[[#This Row],[Q.ta'']]</f>
        <v>#VALUE!</v>
      </c>
      <c r="H556" t="e">
        <f>RigheOfferte[[#This Row],[Lavorazione]]</f>
        <v>#VALUE!</v>
      </c>
      <c r="I556" t="e">
        <f>RigheOfferte[[#This Row],[Colore]]</f>
        <v>#VALUE!</v>
      </c>
      <c r="J556" t="e">
        <f>RigheOfferte[[#This Row],[Velocità]]</f>
        <v>#VALUE!</v>
      </c>
      <c r="K556" t="e">
        <f>RigheOfferte[[#This Row],[Superf.pz Mq]]</f>
        <v>#VALUE!</v>
      </c>
      <c r="L556" t="e">
        <f>RigheOfferte[[#This Row],[passo]]</f>
        <v>#VALUE!</v>
      </c>
      <c r="M556" t="e">
        <f>RigheOfferte[[#This Row],[nr.pezzi Telaio]]</f>
        <v>#VALUE!</v>
      </c>
      <c r="N556" t="e">
        <f>RigheOfferte[[#This Row],[nr.pezzi ora-unita]]</f>
        <v>#VALUE!</v>
      </c>
      <c r="O556" t="e">
        <f>Tabella1[[#This Row],[superificie]]*Resa</f>
        <v>#VALUE!</v>
      </c>
      <c r="P556" t="e">
        <f>Tabella1[[#This Row],[KgPezzo]]*Tabella1[[#This Row],[q.ta offerta]]</f>
        <v>#VALUE!</v>
      </c>
      <c r="Q556" t="e">
        <f>RigheOfferte[[#This Row],[QtaProtez]]</f>
        <v>#VALUE!</v>
      </c>
      <c r="R556" t="e">
        <f>RigheOfferte[[#This Row],[Tipo Protezione]]</f>
        <v>#VALUE!</v>
      </c>
    </row>
    <row r="557" spans="1:18">
      <c r="A557" t="e">
        <f>RigheOfferte[[#This Row],[Nprev]]</f>
        <v>#VALUE!</v>
      </c>
      <c r="B557" t="e">
        <f>RigheOfferte[[#This Row],[Nriga]]</f>
        <v>#VALUE!</v>
      </c>
      <c r="C557" t="e">
        <f>RigheOfferte[[#This Row],[Cliente]]</f>
        <v>#VALUE!</v>
      </c>
      <c r="D557" t="e">
        <f>RigheOfferte[[#This Row],[sub_cliente]]</f>
        <v>#VALUE!</v>
      </c>
      <c r="E557" t="e">
        <f>RigheOfferte[[#This Row],[cod.Art.]]</f>
        <v>#VALUE!</v>
      </c>
      <c r="F557" t="e">
        <f>RigheOfferte[[#This Row],[Descrizione]]</f>
        <v>#VALUE!</v>
      </c>
      <c r="G557" t="e">
        <f>RigheOfferte[[#This Row],[Q.ta'']]</f>
        <v>#VALUE!</v>
      </c>
      <c r="H557" t="e">
        <f>RigheOfferte[[#This Row],[Lavorazione]]</f>
        <v>#VALUE!</v>
      </c>
      <c r="I557" t="e">
        <f>RigheOfferte[[#This Row],[Colore]]</f>
        <v>#VALUE!</v>
      </c>
      <c r="J557" t="e">
        <f>RigheOfferte[[#This Row],[Velocità]]</f>
        <v>#VALUE!</v>
      </c>
      <c r="K557" t="e">
        <f>RigheOfferte[[#This Row],[Superf.pz Mq]]</f>
        <v>#VALUE!</v>
      </c>
      <c r="L557" t="e">
        <f>RigheOfferte[[#This Row],[passo]]</f>
        <v>#VALUE!</v>
      </c>
      <c r="M557" t="e">
        <f>RigheOfferte[[#This Row],[nr.pezzi Telaio]]</f>
        <v>#VALUE!</v>
      </c>
      <c r="N557" t="e">
        <f>RigheOfferte[[#This Row],[nr.pezzi ora-unita]]</f>
        <v>#VALUE!</v>
      </c>
      <c r="O557" t="e">
        <f>Tabella1[[#This Row],[superificie]]*Resa</f>
        <v>#VALUE!</v>
      </c>
      <c r="P557" t="e">
        <f>Tabella1[[#This Row],[KgPezzo]]*Tabella1[[#This Row],[q.ta offerta]]</f>
        <v>#VALUE!</v>
      </c>
      <c r="Q557" t="e">
        <f>RigheOfferte[[#This Row],[QtaProtez]]</f>
        <v>#VALUE!</v>
      </c>
      <c r="R557" t="e">
        <f>RigheOfferte[[#This Row],[Tipo Protezione]]</f>
        <v>#VALUE!</v>
      </c>
    </row>
    <row r="558" spans="1:18">
      <c r="A558" t="e">
        <f>RigheOfferte[[#This Row],[Nprev]]</f>
        <v>#VALUE!</v>
      </c>
      <c r="B558" t="e">
        <f>RigheOfferte[[#This Row],[Nriga]]</f>
        <v>#VALUE!</v>
      </c>
      <c r="C558" t="e">
        <f>RigheOfferte[[#This Row],[Cliente]]</f>
        <v>#VALUE!</v>
      </c>
      <c r="D558" t="e">
        <f>RigheOfferte[[#This Row],[sub_cliente]]</f>
        <v>#VALUE!</v>
      </c>
      <c r="E558" t="e">
        <f>RigheOfferte[[#This Row],[cod.Art.]]</f>
        <v>#VALUE!</v>
      </c>
      <c r="F558" t="e">
        <f>RigheOfferte[[#This Row],[Descrizione]]</f>
        <v>#VALUE!</v>
      </c>
      <c r="G558" t="e">
        <f>RigheOfferte[[#This Row],[Q.ta'']]</f>
        <v>#VALUE!</v>
      </c>
      <c r="H558" t="e">
        <f>RigheOfferte[[#This Row],[Lavorazione]]</f>
        <v>#VALUE!</v>
      </c>
      <c r="I558" t="e">
        <f>RigheOfferte[[#This Row],[Colore]]</f>
        <v>#VALUE!</v>
      </c>
      <c r="J558" t="e">
        <f>RigheOfferte[[#This Row],[Velocità]]</f>
        <v>#VALUE!</v>
      </c>
      <c r="K558" t="e">
        <f>RigheOfferte[[#This Row],[Superf.pz Mq]]</f>
        <v>#VALUE!</v>
      </c>
      <c r="L558" t="e">
        <f>RigheOfferte[[#This Row],[passo]]</f>
        <v>#VALUE!</v>
      </c>
      <c r="M558" t="e">
        <f>RigheOfferte[[#This Row],[nr.pezzi Telaio]]</f>
        <v>#VALUE!</v>
      </c>
      <c r="N558" t="e">
        <f>RigheOfferte[[#This Row],[nr.pezzi ora-unita]]</f>
        <v>#VALUE!</v>
      </c>
      <c r="O558" t="e">
        <f>Tabella1[[#This Row],[superificie]]*Resa</f>
        <v>#VALUE!</v>
      </c>
      <c r="P558" t="e">
        <f>Tabella1[[#This Row],[KgPezzo]]*Tabella1[[#This Row],[q.ta offerta]]</f>
        <v>#VALUE!</v>
      </c>
      <c r="Q558" t="e">
        <f>RigheOfferte[[#This Row],[QtaProtez]]</f>
        <v>#VALUE!</v>
      </c>
      <c r="R558" t="e">
        <f>RigheOfferte[[#This Row],[Tipo Protezione]]</f>
        <v>#VALUE!</v>
      </c>
    </row>
    <row r="559" spans="1:18">
      <c r="A559" t="e">
        <f>RigheOfferte[[#This Row],[Nprev]]</f>
        <v>#VALUE!</v>
      </c>
      <c r="B559" t="e">
        <f>RigheOfferte[[#This Row],[Nriga]]</f>
        <v>#VALUE!</v>
      </c>
      <c r="C559" t="e">
        <f>RigheOfferte[[#This Row],[Cliente]]</f>
        <v>#VALUE!</v>
      </c>
      <c r="D559" t="e">
        <f>RigheOfferte[[#This Row],[sub_cliente]]</f>
        <v>#VALUE!</v>
      </c>
      <c r="E559" t="e">
        <f>RigheOfferte[[#This Row],[cod.Art.]]</f>
        <v>#VALUE!</v>
      </c>
      <c r="F559" t="e">
        <f>RigheOfferte[[#This Row],[Descrizione]]</f>
        <v>#VALUE!</v>
      </c>
      <c r="G559" t="e">
        <f>RigheOfferte[[#This Row],[Q.ta'']]</f>
        <v>#VALUE!</v>
      </c>
      <c r="H559" t="e">
        <f>RigheOfferte[[#This Row],[Lavorazione]]</f>
        <v>#VALUE!</v>
      </c>
      <c r="I559" t="e">
        <f>RigheOfferte[[#This Row],[Colore]]</f>
        <v>#VALUE!</v>
      </c>
      <c r="J559" t="e">
        <f>RigheOfferte[[#This Row],[Velocità]]</f>
        <v>#VALUE!</v>
      </c>
      <c r="K559" t="e">
        <f>RigheOfferte[[#This Row],[Superf.pz Mq]]</f>
        <v>#VALUE!</v>
      </c>
      <c r="L559" t="e">
        <f>RigheOfferte[[#This Row],[passo]]</f>
        <v>#VALUE!</v>
      </c>
      <c r="M559" t="e">
        <f>RigheOfferte[[#This Row],[nr.pezzi Telaio]]</f>
        <v>#VALUE!</v>
      </c>
      <c r="N559" t="e">
        <f>RigheOfferte[[#This Row],[nr.pezzi ora-unita]]</f>
        <v>#VALUE!</v>
      </c>
      <c r="O559" t="e">
        <f>Tabella1[[#This Row],[superificie]]*Resa</f>
        <v>#VALUE!</v>
      </c>
      <c r="P559" t="e">
        <f>Tabella1[[#This Row],[KgPezzo]]*Tabella1[[#This Row],[q.ta offerta]]</f>
        <v>#VALUE!</v>
      </c>
      <c r="Q559" t="e">
        <f>RigheOfferte[[#This Row],[QtaProtez]]</f>
        <v>#VALUE!</v>
      </c>
      <c r="R559" t="e">
        <f>RigheOfferte[[#This Row],[Tipo Protezione]]</f>
        <v>#VALUE!</v>
      </c>
    </row>
    <row r="560" spans="1:18">
      <c r="A560" t="e">
        <f>RigheOfferte[[#This Row],[Nprev]]</f>
        <v>#VALUE!</v>
      </c>
      <c r="B560" t="e">
        <f>RigheOfferte[[#This Row],[Nriga]]</f>
        <v>#VALUE!</v>
      </c>
      <c r="C560" t="e">
        <f>RigheOfferte[[#This Row],[Cliente]]</f>
        <v>#VALUE!</v>
      </c>
      <c r="D560" t="e">
        <f>RigheOfferte[[#This Row],[sub_cliente]]</f>
        <v>#VALUE!</v>
      </c>
      <c r="E560" t="e">
        <f>RigheOfferte[[#This Row],[cod.Art.]]</f>
        <v>#VALUE!</v>
      </c>
      <c r="F560" t="e">
        <f>RigheOfferte[[#This Row],[Descrizione]]</f>
        <v>#VALUE!</v>
      </c>
      <c r="G560" t="e">
        <f>RigheOfferte[[#This Row],[Q.ta'']]</f>
        <v>#VALUE!</v>
      </c>
      <c r="H560" t="e">
        <f>RigheOfferte[[#This Row],[Lavorazione]]</f>
        <v>#VALUE!</v>
      </c>
      <c r="I560" t="e">
        <f>RigheOfferte[[#This Row],[Colore]]</f>
        <v>#VALUE!</v>
      </c>
      <c r="J560" t="e">
        <f>RigheOfferte[[#This Row],[Velocità]]</f>
        <v>#VALUE!</v>
      </c>
      <c r="K560" t="e">
        <f>RigheOfferte[[#This Row],[Superf.pz Mq]]</f>
        <v>#VALUE!</v>
      </c>
      <c r="L560" t="e">
        <f>RigheOfferte[[#This Row],[passo]]</f>
        <v>#VALUE!</v>
      </c>
      <c r="M560" t="e">
        <f>RigheOfferte[[#This Row],[nr.pezzi Telaio]]</f>
        <v>#VALUE!</v>
      </c>
      <c r="N560" t="e">
        <f>RigheOfferte[[#This Row],[nr.pezzi ora-unita]]</f>
        <v>#VALUE!</v>
      </c>
      <c r="O560" t="e">
        <f>Tabella1[[#This Row],[superificie]]*Resa</f>
        <v>#VALUE!</v>
      </c>
      <c r="P560" t="e">
        <f>Tabella1[[#This Row],[KgPezzo]]*Tabella1[[#This Row],[q.ta offerta]]</f>
        <v>#VALUE!</v>
      </c>
      <c r="Q560" t="e">
        <f>RigheOfferte[[#This Row],[QtaProtez]]</f>
        <v>#VALUE!</v>
      </c>
      <c r="R560" t="e">
        <f>RigheOfferte[[#This Row],[Tipo Protezione]]</f>
        <v>#VALUE!</v>
      </c>
    </row>
    <row r="561" spans="1:18">
      <c r="A561" t="e">
        <f>RigheOfferte[[#This Row],[Nprev]]</f>
        <v>#VALUE!</v>
      </c>
      <c r="B561" t="e">
        <f>RigheOfferte[[#This Row],[Nriga]]</f>
        <v>#VALUE!</v>
      </c>
      <c r="C561" t="e">
        <f>RigheOfferte[[#This Row],[Cliente]]</f>
        <v>#VALUE!</v>
      </c>
      <c r="D561" t="e">
        <f>RigheOfferte[[#This Row],[sub_cliente]]</f>
        <v>#VALUE!</v>
      </c>
      <c r="E561" t="e">
        <f>RigheOfferte[[#This Row],[cod.Art.]]</f>
        <v>#VALUE!</v>
      </c>
      <c r="F561" t="e">
        <f>RigheOfferte[[#This Row],[Descrizione]]</f>
        <v>#VALUE!</v>
      </c>
      <c r="G561" t="e">
        <f>RigheOfferte[[#This Row],[Q.ta'']]</f>
        <v>#VALUE!</v>
      </c>
      <c r="H561" t="e">
        <f>RigheOfferte[[#This Row],[Lavorazione]]</f>
        <v>#VALUE!</v>
      </c>
      <c r="I561" t="e">
        <f>RigheOfferte[[#This Row],[Colore]]</f>
        <v>#VALUE!</v>
      </c>
      <c r="J561" t="e">
        <f>RigheOfferte[[#This Row],[Velocità]]</f>
        <v>#VALUE!</v>
      </c>
      <c r="K561" t="e">
        <f>RigheOfferte[[#This Row],[Superf.pz Mq]]</f>
        <v>#VALUE!</v>
      </c>
      <c r="L561" t="e">
        <f>RigheOfferte[[#This Row],[passo]]</f>
        <v>#VALUE!</v>
      </c>
      <c r="M561" t="e">
        <f>RigheOfferte[[#This Row],[nr.pezzi Telaio]]</f>
        <v>#VALUE!</v>
      </c>
      <c r="N561" t="e">
        <f>RigheOfferte[[#This Row],[nr.pezzi ora-unita]]</f>
        <v>#VALUE!</v>
      </c>
      <c r="O561" t="e">
        <f>Tabella1[[#This Row],[superificie]]*Resa</f>
        <v>#VALUE!</v>
      </c>
      <c r="P561" t="e">
        <f>Tabella1[[#This Row],[KgPezzo]]*Tabella1[[#This Row],[q.ta offerta]]</f>
        <v>#VALUE!</v>
      </c>
      <c r="Q561" t="e">
        <f>RigheOfferte[[#This Row],[QtaProtez]]</f>
        <v>#VALUE!</v>
      </c>
      <c r="R561" t="e">
        <f>RigheOfferte[[#This Row],[Tipo Protezione]]</f>
        <v>#VALUE!</v>
      </c>
    </row>
    <row r="562" spans="1:18">
      <c r="A562" t="e">
        <f>RigheOfferte[[#This Row],[Nprev]]</f>
        <v>#VALUE!</v>
      </c>
      <c r="B562" t="e">
        <f>RigheOfferte[[#This Row],[Nriga]]</f>
        <v>#VALUE!</v>
      </c>
      <c r="C562" t="e">
        <f>RigheOfferte[[#This Row],[Cliente]]</f>
        <v>#VALUE!</v>
      </c>
      <c r="D562" t="e">
        <f>RigheOfferte[[#This Row],[sub_cliente]]</f>
        <v>#VALUE!</v>
      </c>
      <c r="E562" t="e">
        <f>RigheOfferte[[#This Row],[cod.Art.]]</f>
        <v>#VALUE!</v>
      </c>
      <c r="F562" t="e">
        <f>RigheOfferte[[#This Row],[Descrizione]]</f>
        <v>#VALUE!</v>
      </c>
      <c r="G562" t="e">
        <f>RigheOfferte[[#This Row],[Q.ta'']]</f>
        <v>#VALUE!</v>
      </c>
      <c r="H562" t="e">
        <f>RigheOfferte[[#This Row],[Lavorazione]]</f>
        <v>#VALUE!</v>
      </c>
      <c r="I562" t="e">
        <f>RigheOfferte[[#This Row],[Colore]]</f>
        <v>#VALUE!</v>
      </c>
      <c r="J562" t="e">
        <f>RigheOfferte[[#This Row],[Velocità]]</f>
        <v>#VALUE!</v>
      </c>
      <c r="K562" t="e">
        <f>RigheOfferte[[#This Row],[Superf.pz Mq]]</f>
        <v>#VALUE!</v>
      </c>
      <c r="L562" t="e">
        <f>RigheOfferte[[#This Row],[passo]]</f>
        <v>#VALUE!</v>
      </c>
      <c r="M562" t="e">
        <f>RigheOfferte[[#This Row],[nr.pezzi Telaio]]</f>
        <v>#VALUE!</v>
      </c>
      <c r="N562" t="e">
        <f>RigheOfferte[[#This Row],[nr.pezzi ora-unita]]</f>
        <v>#VALUE!</v>
      </c>
      <c r="O562" t="e">
        <f>Tabella1[[#This Row],[superificie]]*Resa</f>
        <v>#VALUE!</v>
      </c>
      <c r="P562" t="e">
        <f>Tabella1[[#This Row],[KgPezzo]]*Tabella1[[#This Row],[q.ta offerta]]</f>
        <v>#VALUE!</v>
      </c>
      <c r="Q562" t="e">
        <f>RigheOfferte[[#This Row],[QtaProtez]]</f>
        <v>#VALUE!</v>
      </c>
      <c r="R562" t="e">
        <f>RigheOfferte[[#This Row],[Tipo Protezione]]</f>
        <v>#VALUE!</v>
      </c>
    </row>
    <row r="563" spans="1:18">
      <c r="A563" t="e">
        <f>RigheOfferte[[#This Row],[Nprev]]</f>
        <v>#VALUE!</v>
      </c>
      <c r="B563" t="e">
        <f>RigheOfferte[[#This Row],[Nriga]]</f>
        <v>#VALUE!</v>
      </c>
      <c r="C563" t="e">
        <f>RigheOfferte[[#This Row],[Cliente]]</f>
        <v>#VALUE!</v>
      </c>
      <c r="D563" t="e">
        <f>RigheOfferte[[#This Row],[sub_cliente]]</f>
        <v>#VALUE!</v>
      </c>
      <c r="E563" t="e">
        <f>RigheOfferte[[#This Row],[cod.Art.]]</f>
        <v>#VALUE!</v>
      </c>
      <c r="F563" t="e">
        <f>RigheOfferte[[#This Row],[Descrizione]]</f>
        <v>#VALUE!</v>
      </c>
      <c r="G563" t="e">
        <f>RigheOfferte[[#This Row],[Q.ta'']]</f>
        <v>#VALUE!</v>
      </c>
      <c r="H563" t="e">
        <f>RigheOfferte[[#This Row],[Lavorazione]]</f>
        <v>#VALUE!</v>
      </c>
      <c r="I563" t="e">
        <f>RigheOfferte[[#This Row],[Colore]]</f>
        <v>#VALUE!</v>
      </c>
      <c r="J563" t="e">
        <f>RigheOfferte[[#This Row],[Velocità]]</f>
        <v>#VALUE!</v>
      </c>
      <c r="K563" t="e">
        <f>RigheOfferte[[#This Row],[Superf.pz Mq]]</f>
        <v>#VALUE!</v>
      </c>
      <c r="L563" t="e">
        <f>RigheOfferte[[#This Row],[passo]]</f>
        <v>#VALUE!</v>
      </c>
      <c r="M563" t="e">
        <f>RigheOfferte[[#This Row],[nr.pezzi Telaio]]</f>
        <v>#VALUE!</v>
      </c>
      <c r="N563" t="e">
        <f>RigheOfferte[[#This Row],[nr.pezzi ora-unita]]</f>
        <v>#VALUE!</v>
      </c>
      <c r="O563" t="e">
        <f>Tabella1[[#This Row],[superificie]]*Resa</f>
        <v>#VALUE!</v>
      </c>
      <c r="P563" t="e">
        <f>Tabella1[[#This Row],[KgPezzo]]*Tabella1[[#This Row],[q.ta offerta]]</f>
        <v>#VALUE!</v>
      </c>
      <c r="Q563" t="e">
        <f>RigheOfferte[[#This Row],[QtaProtez]]</f>
        <v>#VALUE!</v>
      </c>
      <c r="R563" t="e">
        <f>RigheOfferte[[#This Row],[Tipo Protezione]]</f>
        <v>#VALUE!</v>
      </c>
    </row>
    <row r="564" spans="1:18">
      <c r="A564" t="e">
        <f>RigheOfferte[[#This Row],[Nprev]]</f>
        <v>#VALUE!</v>
      </c>
      <c r="B564" t="e">
        <f>RigheOfferte[[#This Row],[Nriga]]</f>
        <v>#VALUE!</v>
      </c>
      <c r="C564" t="e">
        <f>RigheOfferte[[#This Row],[Cliente]]</f>
        <v>#VALUE!</v>
      </c>
      <c r="D564" t="e">
        <f>RigheOfferte[[#This Row],[sub_cliente]]</f>
        <v>#VALUE!</v>
      </c>
      <c r="E564" t="e">
        <f>RigheOfferte[[#This Row],[cod.Art.]]</f>
        <v>#VALUE!</v>
      </c>
      <c r="F564" t="e">
        <f>RigheOfferte[[#This Row],[Descrizione]]</f>
        <v>#VALUE!</v>
      </c>
      <c r="G564" t="e">
        <f>RigheOfferte[[#This Row],[Q.ta'']]</f>
        <v>#VALUE!</v>
      </c>
      <c r="H564" t="e">
        <f>RigheOfferte[[#This Row],[Lavorazione]]</f>
        <v>#VALUE!</v>
      </c>
      <c r="I564" t="e">
        <f>RigheOfferte[[#This Row],[Colore]]</f>
        <v>#VALUE!</v>
      </c>
      <c r="J564" t="e">
        <f>RigheOfferte[[#This Row],[Velocità]]</f>
        <v>#VALUE!</v>
      </c>
      <c r="K564" t="e">
        <f>RigheOfferte[[#This Row],[Superf.pz Mq]]</f>
        <v>#VALUE!</v>
      </c>
      <c r="L564" t="e">
        <f>RigheOfferte[[#This Row],[passo]]</f>
        <v>#VALUE!</v>
      </c>
      <c r="M564" t="e">
        <f>RigheOfferte[[#This Row],[nr.pezzi Telaio]]</f>
        <v>#VALUE!</v>
      </c>
      <c r="N564" t="e">
        <f>RigheOfferte[[#This Row],[nr.pezzi ora-unita]]</f>
        <v>#VALUE!</v>
      </c>
      <c r="O564" t="e">
        <f>Tabella1[[#This Row],[superificie]]*Resa</f>
        <v>#VALUE!</v>
      </c>
      <c r="P564" t="e">
        <f>Tabella1[[#This Row],[KgPezzo]]*Tabella1[[#This Row],[q.ta offerta]]</f>
        <v>#VALUE!</v>
      </c>
      <c r="Q564" t="e">
        <f>RigheOfferte[[#This Row],[QtaProtez]]</f>
        <v>#VALUE!</v>
      </c>
      <c r="R564" t="e">
        <f>RigheOfferte[[#This Row],[Tipo Protezione]]</f>
        <v>#VALUE!</v>
      </c>
    </row>
    <row r="565" spans="1:18">
      <c r="A565" t="e">
        <f>RigheOfferte[[#This Row],[Nprev]]</f>
        <v>#VALUE!</v>
      </c>
      <c r="B565" t="e">
        <f>RigheOfferte[[#This Row],[Nriga]]</f>
        <v>#VALUE!</v>
      </c>
      <c r="C565" t="e">
        <f>RigheOfferte[[#This Row],[Cliente]]</f>
        <v>#VALUE!</v>
      </c>
      <c r="D565" t="e">
        <f>RigheOfferte[[#This Row],[sub_cliente]]</f>
        <v>#VALUE!</v>
      </c>
      <c r="E565" t="e">
        <f>RigheOfferte[[#This Row],[cod.Art.]]</f>
        <v>#VALUE!</v>
      </c>
      <c r="F565" t="e">
        <f>RigheOfferte[[#This Row],[Descrizione]]</f>
        <v>#VALUE!</v>
      </c>
      <c r="G565" t="e">
        <f>RigheOfferte[[#This Row],[Q.ta'']]</f>
        <v>#VALUE!</v>
      </c>
      <c r="H565" t="e">
        <f>RigheOfferte[[#This Row],[Lavorazione]]</f>
        <v>#VALUE!</v>
      </c>
      <c r="I565" t="e">
        <f>RigheOfferte[[#This Row],[Colore]]</f>
        <v>#VALUE!</v>
      </c>
      <c r="J565" t="e">
        <f>RigheOfferte[[#This Row],[Velocità]]</f>
        <v>#VALUE!</v>
      </c>
      <c r="K565" t="e">
        <f>RigheOfferte[[#This Row],[Superf.pz Mq]]</f>
        <v>#VALUE!</v>
      </c>
      <c r="L565" t="e">
        <f>RigheOfferte[[#This Row],[passo]]</f>
        <v>#VALUE!</v>
      </c>
      <c r="M565" t="e">
        <f>RigheOfferte[[#This Row],[nr.pezzi Telaio]]</f>
        <v>#VALUE!</v>
      </c>
      <c r="N565" t="e">
        <f>RigheOfferte[[#This Row],[nr.pezzi ora-unita]]</f>
        <v>#VALUE!</v>
      </c>
      <c r="O565" t="e">
        <f>Tabella1[[#This Row],[superificie]]*Resa</f>
        <v>#VALUE!</v>
      </c>
      <c r="P565" t="e">
        <f>Tabella1[[#This Row],[KgPezzo]]*Tabella1[[#This Row],[q.ta offerta]]</f>
        <v>#VALUE!</v>
      </c>
      <c r="Q565" t="e">
        <f>RigheOfferte[[#This Row],[QtaProtez]]</f>
        <v>#VALUE!</v>
      </c>
      <c r="R565" t="e">
        <f>RigheOfferte[[#This Row],[Tipo Protezione]]</f>
        <v>#VALUE!</v>
      </c>
    </row>
    <row r="566" spans="1:18">
      <c r="A566" t="e">
        <f>RigheOfferte[[#This Row],[Nprev]]</f>
        <v>#VALUE!</v>
      </c>
      <c r="B566" t="e">
        <f>RigheOfferte[[#This Row],[Nriga]]</f>
        <v>#VALUE!</v>
      </c>
      <c r="C566" t="e">
        <f>RigheOfferte[[#This Row],[Cliente]]</f>
        <v>#VALUE!</v>
      </c>
      <c r="D566" t="e">
        <f>RigheOfferte[[#This Row],[sub_cliente]]</f>
        <v>#VALUE!</v>
      </c>
      <c r="E566" t="e">
        <f>RigheOfferte[[#This Row],[cod.Art.]]</f>
        <v>#VALUE!</v>
      </c>
      <c r="F566" t="e">
        <f>RigheOfferte[[#This Row],[Descrizione]]</f>
        <v>#VALUE!</v>
      </c>
      <c r="G566" t="e">
        <f>RigheOfferte[[#This Row],[Q.ta'']]</f>
        <v>#VALUE!</v>
      </c>
      <c r="H566" t="e">
        <f>RigheOfferte[[#This Row],[Lavorazione]]</f>
        <v>#VALUE!</v>
      </c>
      <c r="I566" t="e">
        <f>RigheOfferte[[#This Row],[Colore]]</f>
        <v>#VALUE!</v>
      </c>
      <c r="J566" t="e">
        <f>RigheOfferte[[#This Row],[Velocità]]</f>
        <v>#VALUE!</v>
      </c>
      <c r="K566" t="e">
        <f>RigheOfferte[[#This Row],[Superf.pz Mq]]</f>
        <v>#VALUE!</v>
      </c>
      <c r="L566" t="e">
        <f>RigheOfferte[[#This Row],[passo]]</f>
        <v>#VALUE!</v>
      </c>
      <c r="M566" t="e">
        <f>RigheOfferte[[#This Row],[nr.pezzi Telaio]]</f>
        <v>#VALUE!</v>
      </c>
      <c r="N566" t="e">
        <f>RigheOfferte[[#This Row],[nr.pezzi ora-unita]]</f>
        <v>#VALUE!</v>
      </c>
      <c r="O566" t="e">
        <f>Tabella1[[#This Row],[superificie]]*Resa</f>
        <v>#VALUE!</v>
      </c>
      <c r="P566" t="e">
        <f>Tabella1[[#This Row],[KgPezzo]]*Tabella1[[#This Row],[q.ta offerta]]</f>
        <v>#VALUE!</v>
      </c>
      <c r="Q566" t="e">
        <f>RigheOfferte[[#This Row],[QtaProtez]]</f>
        <v>#VALUE!</v>
      </c>
      <c r="R566" t="e">
        <f>RigheOfferte[[#This Row],[Tipo Protezione]]</f>
        <v>#VALUE!</v>
      </c>
    </row>
    <row r="567" spans="1:18">
      <c r="A567" t="e">
        <f>RigheOfferte[[#This Row],[Nprev]]</f>
        <v>#VALUE!</v>
      </c>
      <c r="B567" t="e">
        <f>RigheOfferte[[#This Row],[Nriga]]</f>
        <v>#VALUE!</v>
      </c>
      <c r="C567" t="e">
        <f>RigheOfferte[[#This Row],[Cliente]]</f>
        <v>#VALUE!</v>
      </c>
      <c r="D567" t="e">
        <f>RigheOfferte[[#This Row],[sub_cliente]]</f>
        <v>#VALUE!</v>
      </c>
      <c r="E567" t="e">
        <f>RigheOfferte[[#This Row],[cod.Art.]]</f>
        <v>#VALUE!</v>
      </c>
      <c r="F567" t="e">
        <f>RigheOfferte[[#This Row],[Descrizione]]</f>
        <v>#VALUE!</v>
      </c>
      <c r="G567" t="e">
        <f>RigheOfferte[[#This Row],[Q.ta'']]</f>
        <v>#VALUE!</v>
      </c>
      <c r="H567" t="e">
        <f>RigheOfferte[[#This Row],[Lavorazione]]</f>
        <v>#VALUE!</v>
      </c>
      <c r="I567" t="e">
        <f>RigheOfferte[[#This Row],[Colore]]</f>
        <v>#VALUE!</v>
      </c>
      <c r="J567" t="e">
        <f>RigheOfferte[[#This Row],[Velocità]]</f>
        <v>#VALUE!</v>
      </c>
      <c r="K567" t="e">
        <f>RigheOfferte[[#This Row],[Superf.pz Mq]]</f>
        <v>#VALUE!</v>
      </c>
      <c r="L567" t="e">
        <f>RigheOfferte[[#This Row],[passo]]</f>
        <v>#VALUE!</v>
      </c>
      <c r="M567" t="e">
        <f>RigheOfferte[[#This Row],[nr.pezzi Telaio]]</f>
        <v>#VALUE!</v>
      </c>
      <c r="N567" t="e">
        <f>RigheOfferte[[#This Row],[nr.pezzi ora-unita]]</f>
        <v>#VALUE!</v>
      </c>
      <c r="O567" t="e">
        <f>Tabella1[[#This Row],[superificie]]*Resa</f>
        <v>#VALUE!</v>
      </c>
      <c r="P567" t="e">
        <f>Tabella1[[#This Row],[KgPezzo]]*Tabella1[[#This Row],[q.ta offerta]]</f>
        <v>#VALUE!</v>
      </c>
      <c r="Q567" t="e">
        <f>RigheOfferte[[#This Row],[QtaProtez]]</f>
        <v>#VALUE!</v>
      </c>
      <c r="R567" t="e">
        <f>RigheOfferte[[#This Row],[Tipo Protezione]]</f>
        <v>#VALUE!</v>
      </c>
    </row>
    <row r="568" spans="1:18">
      <c r="A568" t="e">
        <f>RigheOfferte[[#This Row],[Nprev]]</f>
        <v>#VALUE!</v>
      </c>
      <c r="B568" t="e">
        <f>RigheOfferte[[#This Row],[Nriga]]</f>
        <v>#VALUE!</v>
      </c>
      <c r="C568" t="e">
        <f>RigheOfferte[[#This Row],[Cliente]]</f>
        <v>#VALUE!</v>
      </c>
      <c r="D568" t="e">
        <f>RigheOfferte[[#This Row],[sub_cliente]]</f>
        <v>#VALUE!</v>
      </c>
      <c r="E568" t="e">
        <f>RigheOfferte[[#This Row],[cod.Art.]]</f>
        <v>#VALUE!</v>
      </c>
      <c r="F568" t="e">
        <f>RigheOfferte[[#This Row],[Descrizione]]</f>
        <v>#VALUE!</v>
      </c>
      <c r="G568" t="e">
        <f>RigheOfferte[[#This Row],[Q.ta'']]</f>
        <v>#VALUE!</v>
      </c>
      <c r="H568" t="e">
        <f>RigheOfferte[[#This Row],[Lavorazione]]</f>
        <v>#VALUE!</v>
      </c>
      <c r="I568" t="e">
        <f>RigheOfferte[[#This Row],[Colore]]</f>
        <v>#VALUE!</v>
      </c>
      <c r="J568" t="e">
        <f>RigheOfferte[[#This Row],[Velocità]]</f>
        <v>#VALUE!</v>
      </c>
      <c r="K568" t="e">
        <f>RigheOfferte[[#This Row],[Superf.pz Mq]]</f>
        <v>#VALUE!</v>
      </c>
      <c r="L568" t="e">
        <f>RigheOfferte[[#This Row],[passo]]</f>
        <v>#VALUE!</v>
      </c>
      <c r="M568" t="e">
        <f>RigheOfferte[[#This Row],[nr.pezzi Telaio]]</f>
        <v>#VALUE!</v>
      </c>
      <c r="N568" t="e">
        <f>RigheOfferte[[#This Row],[nr.pezzi ora-unita]]</f>
        <v>#VALUE!</v>
      </c>
      <c r="O568" t="e">
        <f>Tabella1[[#This Row],[superificie]]*Resa</f>
        <v>#VALUE!</v>
      </c>
      <c r="P568" t="e">
        <f>Tabella1[[#This Row],[KgPezzo]]*Tabella1[[#This Row],[q.ta offerta]]</f>
        <v>#VALUE!</v>
      </c>
      <c r="Q568" t="e">
        <f>RigheOfferte[[#This Row],[QtaProtez]]</f>
        <v>#VALUE!</v>
      </c>
      <c r="R568" t="e">
        <f>RigheOfferte[[#This Row],[Tipo Protezione]]</f>
        <v>#VALUE!</v>
      </c>
    </row>
    <row r="569" spans="1:18">
      <c r="A569" t="e">
        <f>RigheOfferte[[#This Row],[Nprev]]</f>
        <v>#VALUE!</v>
      </c>
      <c r="B569" t="e">
        <f>RigheOfferte[[#This Row],[Nriga]]</f>
        <v>#VALUE!</v>
      </c>
      <c r="C569" t="e">
        <f>RigheOfferte[[#This Row],[Cliente]]</f>
        <v>#VALUE!</v>
      </c>
      <c r="D569" t="e">
        <f>RigheOfferte[[#This Row],[sub_cliente]]</f>
        <v>#VALUE!</v>
      </c>
      <c r="E569" t="e">
        <f>RigheOfferte[[#This Row],[cod.Art.]]</f>
        <v>#VALUE!</v>
      </c>
      <c r="F569" t="e">
        <f>RigheOfferte[[#This Row],[Descrizione]]</f>
        <v>#VALUE!</v>
      </c>
      <c r="G569" t="e">
        <f>RigheOfferte[[#This Row],[Q.ta'']]</f>
        <v>#VALUE!</v>
      </c>
      <c r="H569" t="e">
        <f>RigheOfferte[[#This Row],[Lavorazione]]</f>
        <v>#VALUE!</v>
      </c>
      <c r="I569" t="e">
        <f>RigheOfferte[[#This Row],[Colore]]</f>
        <v>#VALUE!</v>
      </c>
      <c r="J569" t="e">
        <f>RigheOfferte[[#This Row],[Velocità]]</f>
        <v>#VALUE!</v>
      </c>
      <c r="K569" t="e">
        <f>RigheOfferte[[#This Row],[Superf.pz Mq]]</f>
        <v>#VALUE!</v>
      </c>
      <c r="L569" t="e">
        <f>RigheOfferte[[#This Row],[passo]]</f>
        <v>#VALUE!</v>
      </c>
      <c r="M569" t="e">
        <f>RigheOfferte[[#This Row],[nr.pezzi Telaio]]</f>
        <v>#VALUE!</v>
      </c>
      <c r="N569" t="e">
        <f>RigheOfferte[[#This Row],[nr.pezzi ora-unita]]</f>
        <v>#VALUE!</v>
      </c>
      <c r="O569" t="e">
        <f>Tabella1[[#This Row],[superificie]]*Resa</f>
        <v>#VALUE!</v>
      </c>
      <c r="P569" t="e">
        <f>Tabella1[[#This Row],[KgPezzo]]*Tabella1[[#This Row],[q.ta offerta]]</f>
        <v>#VALUE!</v>
      </c>
      <c r="Q569" t="e">
        <f>RigheOfferte[[#This Row],[QtaProtez]]</f>
        <v>#VALUE!</v>
      </c>
      <c r="R569" t="e">
        <f>RigheOfferte[[#This Row],[Tipo Protezione]]</f>
        <v>#VALUE!</v>
      </c>
    </row>
    <row r="570" spans="1:18">
      <c r="A570" t="e">
        <f>RigheOfferte[[#This Row],[Nprev]]</f>
        <v>#VALUE!</v>
      </c>
      <c r="B570" t="e">
        <f>RigheOfferte[[#This Row],[Nriga]]</f>
        <v>#VALUE!</v>
      </c>
      <c r="C570" t="e">
        <f>RigheOfferte[[#This Row],[Cliente]]</f>
        <v>#VALUE!</v>
      </c>
      <c r="D570" t="e">
        <f>RigheOfferte[[#This Row],[sub_cliente]]</f>
        <v>#VALUE!</v>
      </c>
      <c r="E570" t="e">
        <f>RigheOfferte[[#This Row],[cod.Art.]]</f>
        <v>#VALUE!</v>
      </c>
      <c r="F570" t="e">
        <f>RigheOfferte[[#This Row],[Descrizione]]</f>
        <v>#VALUE!</v>
      </c>
      <c r="G570" t="e">
        <f>RigheOfferte[[#This Row],[Q.ta'']]</f>
        <v>#VALUE!</v>
      </c>
      <c r="H570" t="e">
        <f>RigheOfferte[[#This Row],[Lavorazione]]</f>
        <v>#VALUE!</v>
      </c>
      <c r="I570" t="e">
        <f>RigheOfferte[[#This Row],[Colore]]</f>
        <v>#VALUE!</v>
      </c>
      <c r="J570" t="e">
        <f>RigheOfferte[[#This Row],[Velocità]]</f>
        <v>#VALUE!</v>
      </c>
      <c r="K570" t="e">
        <f>RigheOfferte[[#This Row],[Superf.pz Mq]]</f>
        <v>#VALUE!</v>
      </c>
      <c r="L570" t="e">
        <f>RigheOfferte[[#This Row],[passo]]</f>
        <v>#VALUE!</v>
      </c>
      <c r="M570" t="e">
        <f>RigheOfferte[[#This Row],[nr.pezzi Telaio]]</f>
        <v>#VALUE!</v>
      </c>
      <c r="N570" t="e">
        <f>RigheOfferte[[#This Row],[nr.pezzi ora-unita]]</f>
        <v>#VALUE!</v>
      </c>
      <c r="O570" t="e">
        <f>Tabella1[[#This Row],[superificie]]*Resa</f>
        <v>#VALUE!</v>
      </c>
      <c r="P570" t="e">
        <f>Tabella1[[#This Row],[KgPezzo]]*Tabella1[[#This Row],[q.ta offerta]]</f>
        <v>#VALUE!</v>
      </c>
      <c r="Q570" t="e">
        <f>RigheOfferte[[#This Row],[QtaProtez]]</f>
        <v>#VALUE!</v>
      </c>
      <c r="R570" t="e">
        <f>RigheOfferte[[#This Row],[Tipo Protezione]]</f>
        <v>#VALUE!</v>
      </c>
    </row>
    <row r="571" spans="1:18">
      <c r="A571" t="e">
        <f>RigheOfferte[[#This Row],[Nprev]]</f>
        <v>#VALUE!</v>
      </c>
      <c r="B571" t="e">
        <f>RigheOfferte[[#This Row],[Nriga]]</f>
        <v>#VALUE!</v>
      </c>
      <c r="C571" t="e">
        <f>RigheOfferte[[#This Row],[Cliente]]</f>
        <v>#VALUE!</v>
      </c>
      <c r="D571" t="e">
        <f>RigheOfferte[[#This Row],[sub_cliente]]</f>
        <v>#VALUE!</v>
      </c>
      <c r="E571" t="e">
        <f>RigheOfferte[[#This Row],[cod.Art.]]</f>
        <v>#VALUE!</v>
      </c>
      <c r="F571" t="e">
        <f>RigheOfferte[[#This Row],[Descrizione]]</f>
        <v>#VALUE!</v>
      </c>
      <c r="G571" t="e">
        <f>RigheOfferte[[#This Row],[Q.ta'']]</f>
        <v>#VALUE!</v>
      </c>
      <c r="H571" t="e">
        <f>RigheOfferte[[#This Row],[Lavorazione]]</f>
        <v>#VALUE!</v>
      </c>
      <c r="I571" t="e">
        <f>RigheOfferte[[#This Row],[Colore]]</f>
        <v>#VALUE!</v>
      </c>
      <c r="J571" t="e">
        <f>RigheOfferte[[#This Row],[Velocità]]</f>
        <v>#VALUE!</v>
      </c>
      <c r="K571" t="e">
        <f>RigheOfferte[[#This Row],[Superf.pz Mq]]</f>
        <v>#VALUE!</v>
      </c>
      <c r="L571" t="e">
        <f>RigheOfferte[[#This Row],[passo]]</f>
        <v>#VALUE!</v>
      </c>
      <c r="M571" t="e">
        <f>RigheOfferte[[#This Row],[nr.pezzi Telaio]]</f>
        <v>#VALUE!</v>
      </c>
      <c r="N571" t="e">
        <f>RigheOfferte[[#This Row],[nr.pezzi ora-unita]]</f>
        <v>#VALUE!</v>
      </c>
      <c r="O571" t="e">
        <f>Tabella1[[#This Row],[superificie]]*Resa</f>
        <v>#VALUE!</v>
      </c>
      <c r="P571" t="e">
        <f>Tabella1[[#This Row],[KgPezzo]]*Tabella1[[#This Row],[q.ta offerta]]</f>
        <v>#VALUE!</v>
      </c>
      <c r="Q571" t="e">
        <f>RigheOfferte[[#This Row],[QtaProtez]]</f>
        <v>#VALUE!</v>
      </c>
      <c r="R571" t="e">
        <f>RigheOfferte[[#This Row],[Tipo Protezione]]</f>
        <v>#VALUE!</v>
      </c>
    </row>
    <row r="572" spans="1:18">
      <c r="A572" t="e">
        <f>RigheOfferte[[#This Row],[Nprev]]</f>
        <v>#VALUE!</v>
      </c>
      <c r="B572" t="e">
        <f>RigheOfferte[[#This Row],[Nriga]]</f>
        <v>#VALUE!</v>
      </c>
      <c r="C572" t="e">
        <f>RigheOfferte[[#This Row],[Cliente]]</f>
        <v>#VALUE!</v>
      </c>
      <c r="D572" t="e">
        <f>RigheOfferte[[#This Row],[sub_cliente]]</f>
        <v>#VALUE!</v>
      </c>
      <c r="E572" t="e">
        <f>RigheOfferte[[#This Row],[cod.Art.]]</f>
        <v>#VALUE!</v>
      </c>
      <c r="F572" t="e">
        <f>RigheOfferte[[#This Row],[Descrizione]]</f>
        <v>#VALUE!</v>
      </c>
      <c r="G572" t="e">
        <f>RigheOfferte[[#This Row],[Q.ta'']]</f>
        <v>#VALUE!</v>
      </c>
      <c r="H572" t="e">
        <f>RigheOfferte[[#This Row],[Lavorazione]]</f>
        <v>#VALUE!</v>
      </c>
      <c r="I572" t="e">
        <f>RigheOfferte[[#This Row],[Colore]]</f>
        <v>#VALUE!</v>
      </c>
      <c r="J572" t="e">
        <f>RigheOfferte[[#This Row],[Velocità]]</f>
        <v>#VALUE!</v>
      </c>
      <c r="K572" t="e">
        <f>RigheOfferte[[#This Row],[Superf.pz Mq]]</f>
        <v>#VALUE!</v>
      </c>
      <c r="L572" t="e">
        <f>RigheOfferte[[#This Row],[passo]]</f>
        <v>#VALUE!</v>
      </c>
      <c r="M572" t="e">
        <f>RigheOfferte[[#This Row],[nr.pezzi Telaio]]</f>
        <v>#VALUE!</v>
      </c>
      <c r="N572" t="e">
        <f>RigheOfferte[[#This Row],[nr.pezzi ora-unita]]</f>
        <v>#VALUE!</v>
      </c>
      <c r="O572" t="e">
        <f>Tabella1[[#This Row],[superificie]]*Resa</f>
        <v>#VALUE!</v>
      </c>
      <c r="P572" t="e">
        <f>Tabella1[[#This Row],[KgPezzo]]*Tabella1[[#This Row],[q.ta offerta]]</f>
        <v>#VALUE!</v>
      </c>
      <c r="Q572" t="e">
        <f>RigheOfferte[[#This Row],[QtaProtez]]</f>
        <v>#VALUE!</v>
      </c>
      <c r="R572" t="e">
        <f>RigheOfferte[[#This Row],[Tipo Protezione]]</f>
        <v>#VALUE!</v>
      </c>
    </row>
    <row r="573" spans="1:18">
      <c r="A573" t="e">
        <f>RigheOfferte[[#This Row],[Nprev]]</f>
        <v>#VALUE!</v>
      </c>
      <c r="B573" t="e">
        <f>RigheOfferte[[#This Row],[Nriga]]</f>
        <v>#VALUE!</v>
      </c>
      <c r="C573" t="e">
        <f>RigheOfferte[[#This Row],[Cliente]]</f>
        <v>#VALUE!</v>
      </c>
      <c r="D573" t="e">
        <f>RigheOfferte[[#This Row],[sub_cliente]]</f>
        <v>#VALUE!</v>
      </c>
      <c r="E573" t="e">
        <f>RigheOfferte[[#This Row],[cod.Art.]]</f>
        <v>#VALUE!</v>
      </c>
      <c r="F573" t="e">
        <f>RigheOfferte[[#This Row],[Descrizione]]</f>
        <v>#VALUE!</v>
      </c>
      <c r="G573" t="e">
        <f>RigheOfferte[[#This Row],[Q.ta'']]</f>
        <v>#VALUE!</v>
      </c>
      <c r="H573" t="e">
        <f>RigheOfferte[[#This Row],[Lavorazione]]</f>
        <v>#VALUE!</v>
      </c>
      <c r="I573" t="e">
        <f>RigheOfferte[[#This Row],[Colore]]</f>
        <v>#VALUE!</v>
      </c>
      <c r="J573" t="e">
        <f>RigheOfferte[[#This Row],[Velocità]]</f>
        <v>#VALUE!</v>
      </c>
      <c r="K573" t="e">
        <f>RigheOfferte[[#This Row],[Superf.pz Mq]]</f>
        <v>#VALUE!</v>
      </c>
      <c r="L573" t="e">
        <f>RigheOfferte[[#This Row],[passo]]</f>
        <v>#VALUE!</v>
      </c>
      <c r="M573" t="e">
        <f>RigheOfferte[[#This Row],[nr.pezzi Telaio]]</f>
        <v>#VALUE!</v>
      </c>
      <c r="N573" t="e">
        <f>RigheOfferte[[#This Row],[nr.pezzi ora-unita]]</f>
        <v>#VALUE!</v>
      </c>
      <c r="O573" t="e">
        <f>Tabella1[[#This Row],[superificie]]*Resa</f>
        <v>#VALUE!</v>
      </c>
      <c r="P573" t="e">
        <f>Tabella1[[#This Row],[KgPezzo]]*Tabella1[[#This Row],[q.ta offerta]]</f>
        <v>#VALUE!</v>
      </c>
      <c r="Q573" t="e">
        <f>RigheOfferte[[#This Row],[QtaProtez]]</f>
        <v>#VALUE!</v>
      </c>
      <c r="R573" t="e">
        <f>RigheOfferte[[#This Row],[Tipo Protezione]]</f>
        <v>#VALUE!</v>
      </c>
    </row>
    <row r="574" spans="1:18">
      <c r="A574" t="e">
        <f>RigheOfferte[[#This Row],[Nprev]]</f>
        <v>#VALUE!</v>
      </c>
      <c r="B574" t="e">
        <f>RigheOfferte[[#This Row],[Nriga]]</f>
        <v>#VALUE!</v>
      </c>
      <c r="C574" t="e">
        <f>RigheOfferte[[#This Row],[Cliente]]</f>
        <v>#VALUE!</v>
      </c>
      <c r="D574" t="e">
        <f>RigheOfferte[[#This Row],[sub_cliente]]</f>
        <v>#VALUE!</v>
      </c>
      <c r="E574" t="e">
        <f>RigheOfferte[[#This Row],[cod.Art.]]</f>
        <v>#VALUE!</v>
      </c>
      <c r="F574" t="e">
        <f>RigheOfferte[[#This Row],[Descrizione]]</f>
        <v>#VALUE!</v>
      </c>
      <c r="G574" t="e">
        <f>RigheOfferte[[#This Row],[Q.ta'']]</f>
        <v>#VALUE!</v>
      </c>
      <c r="H574" t="e">
        <f>RigheOfferte[[#This Row],[Lavorazione]]</f>
        <v>#VALUE!</v>
      </c>
      <c r="I574" t="e">
        <f>RigheOfferte[[#This Row],[Colore]]</f>
        <v>#VALUE!</v>
      </c>
      <c r="J574" t="e">
        <f>RigheOfferte[[#This Row],[Velocità]]</f>
        <v>#VALUE!</v>
      </c>
      <c r="K574" t="e">
        <f>RigheOfferte[[#This Row],[Superf.pz Mq]]</f>
        <v>#VALUE!</v>
      </c>
      <c r="L574" t="e">
        <f>RigheOfferte[[#This Row],[passo]]</f>
        <v>#VALUE!</v>
      </c>
      <c r="M574" t="e">
        <f>RigheOfferte[[#This Row],[nr.pezzi Telaio]]</f>
        <v>#VALUE!</v>
      </c>
      <c r="N574" t="e">
        <f>RigheOfferte[[#This Row],[nr.pezzi ora-unita]]</f>
        <v>#VALUE!</v>
      </c>
      <c r="O574" t="e">
        <f>Tabella1[[#This Row],[superificie]]*Resa</f>
        <v>#VALUE!</v>
      </c>
      <c r="P574" t="e">
        <f>Tabella1[[#This Row],[KgPezzo]]*Tabella1[[#This Row],[q.ta offerta]]</f>
        <v>#VALUE!</v>
      </c>
      <c r="Q574" t="e">
        <f>RigheOfferte[[#This Row],[QtaProtez]]</f>
        <v>#VALUE!</v>
      </c>
      <c r="R574" t="e">
        <f>RigheOfferte[[#This Row],[Tipo Protezione]]</f>
        <v>#VALUE!</v>
      </c>
    </row>
    <row r="575" spans="1:18">
      <c r="A575" t="e">
        <f>RigheOfferte[[#This Row],[Nprev]]</f>
        <v>#VALUE!</v>
      </c>
      <c r="B575" t="e">
        <f>RigheOfferte[[#This Row],[Nriga]]</f>
        <v>#VALUE!</v>
      </c>
      <c r="C575" t="e">
        <f>RigheOfferte[[#This Row],[Cliente]]</f>
        <v>#VALUE!</v>
      </c>
      <c r="D575" t="e">
        <f>RigheOfferte[[#This Row],[sub_cliente]]</f>
        <v>#VALUE!</v>
      </c>
      <c r="E575" t="e">
        <f>RigheOfferte[[#This Row],[cod.Art.]]</f>
        <v>#VALUE!</v>
      </c>
      <c r="F575" t="e">
        <f>RigheOfferte[[#This Row],[Descrizione]]</f>
        <v>#VALUE!</v>
      </c>
      <c r="G575" t="e">
        <f>RigheOfferte[[#This Row],[Q.ta'']]</f>
        <v>#VALUE!</v>
      </c>
      <c r="H575" t="e">
        <f>RigheOfferte[[#This Row],[Lavorazione]]</f>
        <v>#VALUE!</v>
      </c>
      <c r="I575" t="e">
        <f>RigheOfferte[[#This Row],[Colore]]</f>
        <v>#VALUE!</v>
      </c>
      <c r="J575" t="e">
        <f>RigheOfferte[[#This Row],[Velocità]]</f>
        <v>#VALUE!</v>
      </c>
      <c r="K575" t="e">
        <f>RigheOfferte[[#This Row],[Superf.pz Mq]]</f>
        <v>#VALUE!</v>
      </c>
      <c r="L575" t="e">
        <f>RigheOfferte[[#This Row],[passo]]</f>
        <v>#VALUE!</v>
      </c>
      <c r="M575" t="e">
        <f>RigheOfferte[[#This Row],[nr.pezzi Telaio]]</f>
        <v>#VALUE!</v>
      </c>
      <c r="N575" t="e">
        <f>RigheOfferte[[#This Row],[nr.pezzi ora-unita]]</f>
        <v>#VALUE!</v>
      </c>
      <c r="O575" t="e">
        <f>Tabella1[[#This Row],[superificie]]*Resa</f>
        <v>#VALUE!</v>
      </c>
      <c r="P575" t="e">
        <f>Tabella1[[#This Row],[KgPezzo]]*Tabella1[[#This Row],[q.ta offerta]]</f>
        <v>#VALUE!</v>
      </c>
      <c r="Q575" t="e">
        <f>RigheOfferte[[#This Row],[QtaProtez]]</f>
        <v>#VALUE!</v>
      </c>
      <c r="R575" t="e">
        <f>RigheOfferte[[#This Row],[Tipo Protezione]]</f>
        <v>#VALUE!</v>
      </c>
    </row>
    <row r="576" spans="1:18">
      <c r="A576" t="e">
        <f>RigheOfferte[[#This Row],[Nprev]]</f>
        <v>#VALUE!</v>
      </c>
      <c r="B576" t="e">
        <f>RigheOfferte[[#This Row],[Nriga]]</f>
        <v>#VALUE!</v>
      </c>
      <c r="C576" t="e">
        <f>RigheOfferte[[#This Row],[Cliente]]</f>
        <v>#VALUE!</v>
      </c>
      <c r="D576" t="e">
        <f>RigheOfferte[[#This Row],[sub_cliente]]</f>
        <v>#VALUE!</v>
      </c>
      <c r="E576" t="e">
        <f>RigheOfferte[[#This Row],[cod.Art.]]</f>
        <v>#VALUE!</v>
      </c>
      <c r="F576" t="e">
        <f>RigheOfferte[[#This Row],[Descrizione]]</f>
        <v>#VALUE!</v>
      </c>
      <c r="G576" t="e">
        <f>RigheOfferte[[#This Row],[Q.ta'']]</f>
        <v>#VALUE!</v>
      </c>
      <c r="H576" t="e">
        <f>RigheOfferte[[#This Row],[Lavorazione]]</f>
        <v>#VALUE!</v>
      </c>
      <c r="I576" t="e">
        <f>RigheOfferte[[#This Row],[Colore]]</f>
        <v>#VALUE!</v>
      </c>
      <c r="J576" t="e">
        <f>RigheOfferte[[#This Row],[Velocità]]</f>
        <v>#VALUE!</v>
      </c>
      <c r="K576" t="e">
        <f>RigheOfferte[[#This Row],[Superf.pz Mq]]</f>
        <v>#VALUE!</v>
      </c>
      <c r="L576" t="e">
        <f>RigheOfferte[[#This Row],[passo]]</f>
        <v>#VALUE!</v>
      </c>
      <c r="M576" t="e">
        <f>RigheOfferte[[#This Row],[nr.pezzi Telaio]]</f>
        <v>#VALUE!</v>
      </c>
      <c r="N576" t="e">
        <f>RigheOfferte[[#This Row],[nr.pezzi ora-unita]]</f>
        <v>#VALUE!</v>
      </c>
      <c r="O576" t="e">
        <f>Tabella1[[#This Row],[superificie]]*Resa</f>
        <v>#VALUE!</v>
      </c>
      <c r="P576" t="e">
        <f>Tabella1[[#This Row],[KgPezzo]]*Tabella1[[#This Row],[q.ta offerta]]</f>
        <v>#VALUE!</v>
      </c>
      <c r="Q576" t="e">
        <f>RigheOfferte[[#This Row],[QtaProtez]]</f>
        <v>#VALUE!</v>
      </c>
      <c r="R576" t="e">
        <f>RigheOfferte[[#This Row],[Tipo Protezione]]</f>
        <v>#VALUE!</v>
      </c>
    </row>
    <row r="577" spans="1:18">
      <c r="A577" t="e">
        <f>RigheOfferte[[#This Row],[Nprev]]</f>
        <v>#VALUE!</v>
      </c>
      <c r="B577" t="e">
        <f>RigheOfferte[[#This Row],[Nriga]]</f>
        <v>#VALUE!</v>
      </c>
      <c r="C577" t="e">
        <f>RigheOfferte[[#This Row],[Cliente]]</f>
        <v>#VALUE!</v>
      </c>
      <c r="D577" t="e">
        <f>RigheOfferte[[#This Row],[sub_cliente]]</f>
        <v>#VALUE!</v>
      </c>
      <c r="E577" t="e">
        <f>RigheOfferte[[#This Row],[cod.Art.]]</f>
        <v>#VALUE!</v>
      </c>
      <c r="F577" t="e">
        <f>RigheOfferte[[#This Row],[Descrizione]]</f>
        <v>#VALUE!</v>
      </c>
      <c r="G577" t="e">
        <f>RigheOfferte[[#This Row],[Q.ta'']]</f>
        <v>#VALUE!</v>
      </c>
      <c r="H577" t="e">
        <f>RigheOfferte[[#This Row],[Lavorazione]]</f>
        <v>#VALUE!</v>
      </c>
      <c r="I577" t="e">
        <f>RigheOfferte[[#This Row],[Colore]]</f>
        <v>#VALUE!</v>
      </c>
      <c r="J577" t="e">
        <f>RigheOfferte[[#This Row],[Velocità]]</f>
        <v>#VALUE!</v>
      </c>
      <c r="K577" t="e">
        <f>RigheOfferte[[#This Row],[Superf.pz Mq]]</f>
        <v>#VALUE!</v>
      </c>
      <c r="L577" t="e">
        <f>RigheOfferte[[#This Row],[passo]]</f>
        <v>#VALUE!</v>
      </c>
      <c r="M577" t="e">
        <f>RigheOfferte[[#This Row],[nr.pezzi Telaio]]</f>
        <v>#VALUE!</v>
      </c>
      <c r="N577" t="e">
        <f>RigheOfferte[[#This Row],[nr.pezzi ora-unita]]</f>
        <v>#VALUE!</v>
      </c>
      <c r="O577" t="e">
        <f>Tabella1[[#This Row],[superificie]]*Resa</f>
        <v>#VALUE!</v>
      </c>
      <c r="P577" t="e">
        <f>Tabella1[[#This Row],[KgPezzo]]*Tabella1[[#This Row],[q.ta offerta]]</f>
        <v>#VALUE!</v>
      </c>
      <c r="Q577" t="e">
        <f>RigheOfferte[[#This Row],[QtaProtez]]</f>
        <v>#VALUE!</v>
      </c>
      <c r="R577" t="e">
        <f>RigheOfferte[[#This Row],[Tipo Protezione]]</f>
        <v>#VALUE!</v>
      </c>
    </row>
    <row r="578" spans="1:18">
      <c r="A578" t="e">
        <f>RigheOfferte[[#This Row],[Nprev]]</f>
        <v>#VALUE!</v>
      </c>
      <c r="B578" t="e">
        <f>RigheOfferte[[#This Row],[Nriga]]</f>
        <v>#VALUE!</v>
      </c>
      <c r="C578" t="e">
        <f>RigheOfferte[[#This Row],[Cliente]]</f>
        <v>#VALUE!</v>
      </c>
      <c r="D578" t="e">
        <f>RigheOfferte[[#This Row],[sub_cliente]]</f>
        <v>#VALUE!</v>
      </c>
      <c r="E578" t="e">
        <f>RigheOfferte[[#This Row],[cod.Art.]]</f>
        <v>#VALUE!</v>
      </c>
      <c r="F578" t="e">
        <f>RigheOfferte[[#This Row],[Descrizione]]</f>
        <v>#VALUE!</v>
      </c>
      <c r="G578" t="e">
        <f>RigheOfferte[[#This Row],[Q.ta'']]</f>
        <v>#VALUE!</v>
      </c>
      <c r="H578" t="e">
        <f>RigheOfferte[[#This Row],[Lavorazione]]</f>
        <v>#VALUE!</v>
      </c>
      <c r="I578" t="e">
        <f>RigheOfferte[[#This Row],[Colore]]</f>
        <v>#VALUE!</v>
      </c>
      <c r="J578" t="e">
        <f>RigheOfferte[[#This Row],[Velocità]]</f>
        <v>#VALUE!</v>
      </c>
      <c r="K578" t="e">
        <f>RigheOfferte[[#This Row],[Superf.pz Mq]]</f>
        <v>#VALUE!</v>
      </c>
      <c r="L578" t="e">
        <f>RigheOfferte[[#This Row],[passo]]</f>
        <v>#VALUE!</v>
      </c>
      <c r="M578" t="e">
        <f>RigheOfferte[[#This Row],[nr.pezzi Telaio]]</f>
        <v>#VALUE!</v>
      </c>
      <c r="N578" t="e">
        <f>RigheOfferte[[#This Row],[nr.pezzi ora-unita]]</f>
        <v>#VALUE!</v>
      </c>
      <c r="O578" t="e">
        <f>Tabella1[[#This Row],[superificie]]*Resa</f>
        <v>#VALUE!</v>
      </c>
      <c r="P578" t="e">
        <f>Tabella1[[#This Row],[KgPezzo]]*Tabella1[[#This Row],[q.ta offerta]]</f>
        <v>#VALUE!</v>
      </c>
      <c r="Q578" t="e">
        <f>RigheOfferte[[#This Row],[QtaProtez]]</f>
        <v>#VALUE!</v>
      </c>
      <c r="R578" t="e">
        <f>RigheOfferte[[#This Row],[Tipo Protezione]]</f>
        <v>#VALUE!</v>
      </c>
    </row>
    <row r="579" spans="1:18">
      <c r="A579" t="e">
        <f>RigheOfferte[[#This Row],[Nprev]]</f>
        <v>#VALUE!</v>
      </c>
      <c r="B579" t="e">
        <f>RigheOfferte[[#This Row],[Nriga]]</f>
        <v>#VALUE!</v>
      </c>
      <c r="C579" t="e">
        <f>RigheOfferte[[#This Row],[Cliente]]</f>
        <v>#VALUE!</v>
      </c>
      <c r="D579" t="e">
        <f>RigheOfferte[[#This Row],[sub_cliente]]</f>
        <v>#VALUE!</v>
      </c>
      <c r="E579" t="e">
        <f>RigheOfferte[[#This Row],[cod.Art.]]</f>
        <v>#VALUE!</v>
      </c>
      <c r="F579" t="e">
        <f>RigheOfferte[[#This Row],[Descrizione]]</f>
        <v>#VALUE!</v>
      </c>
      <c r="G579" t="e">
        <f>RigheOfferte[[#This Row],[Q.ta'']]</f>
        <v>#VALUE!</v>
      </c>
      <c r="H579" t="e">
        <f>RigheOfferte[[#This Row],[Lavorazione]]</f>
        <v>#VALUE!</v>
      </c>
      <c r="I579" t="e">
        <f>RigheOfferte[[#This Row],[Colore]]</f>
        <v>#VALUE!</v>
      </c>
      <c r="J579" t="e">
        <f>RigheOfferte[[#This Row],[Velocità]]</f>
        <v>#VALUE!</v>
      </c>
      <c r="K579" t="e">
        <f>RigheOfferte[[#This Row],[Superf.pz Mq]]</f>
        <v>#VALUE!</v>
      </c>
      <c r="L579" t="e">
        <f>RigheOfferte[[#This Row],[passo]]</f>
        <v>#VALUE!</v>
      </c>
      <c r="M579" t="e">
        <f>RigheOfferte[[#This Row],[nr.pezzi Telaio]]</f>
        <v>#VALUE!</v>
      </c>
      <c r="N579" t="e">
        <f>RigheOfferte[[#This Row],[nr.pezzi ora-unita]]</f>
        <v>#VALUE!</v>
      </c>
      <c r="O579" t="e">
        <f>Tabella1[[#This Row],[superificie]]*Resa</f>
        <v>#VALUE!</v>
      </c>
      <c r="P579" t="e">
        <f>Tabella1[[#This Row],[KgPezzo]]*Tabella1[[#This Row],[q.ta offerta]]</f>
        <v>#VALUE!</v>
      </c>
      <c r="Q579" t="e">
        <f>RigheOfferte[[#This Row],[QtaProtez]]</f>
        <v>#VALUE!</v>
      </c>
      <c r="R579" t="e">
        <f>RigheOfferte[[#This Row],[Tipo Protezione]]</f>
        <v>#VALUE!</v>
      </c>
    </row>
    <row r="580" spans="1:18">
      <c r="A580" t="e">
        <f>RigheOfferte[[#This Row],[Nprev]]</f>
        <v>#VALUE!</v>
      </c>
      <c r="B580" t="e">
        <f>RigheOfferte[[#This Row],[Nriga]]</f>
        <v>#VALUE!</v>
      </c>
      <c r="C580" t="e">
        <f>RigheOfferte[[#This Row],[Cliente]]</f>
        <v>#VALUE!</v>
      </c>
      <c r="D580" t="e">
        <f>RigheOfferte[[#This Row],[sub_cliente]]</f>
        <v>#VALUE!</v>
      </c>
      <c r="E580" t="e">
        <f>RigheOfferte[[#This Row],[cod.Art.]]</f>
        <v>#VALUE!</v>
      </c>
      <c r="F580" t="e">
        <f>RigheOfferte[[#This Row],[Descrizione]]</f>
        <v>#VALUE!</v>
      </c>
      <c r="G580" t="e">
        <f>RigheOfferte[[#This Row],[Q.ta'']]</f>
        <v>#VALUE!</v>
      </c>
      <c r="H580" t="e">
        <f>RigheOfferte[[#This Row],[Lavorazione]]</f>
        <v>#VALUE!</v>
      </c>
      <c r="I580" t="e">
        <f>RigheOfferte[[#This Row],[Colore]]</f>
        <v>#VALUE!</v>
      </c>
      <c r="J580" t="e">
        <f>RigheOfferte[[#This Row],[Velocità]]</f>
        <v>#VALUE!</v>
      </c>
      <c r="K580" t="e">
        <f>RigheOfferte[[#This Row],[Superf.pz Mq]]</f>
        <v>#VALUE!</v>
      </c>
      <c r="L580" t="e">
        <f>RigheOfferte[[#This Row],[passo]]</f>
        <v>#VALUE!</v>
      </c>
      <c r="M580" t="e">
        <f>RigheOfferte[[#This Row],[nr.pezzi Telaio]]</f>
        <v>#VALUE!</v>
      </c>
      <c r="N580" t="e">
        <f>RigheOfferte[[#This Row],[nr.pezzi ora-unita]]</f>
        <v>#VALUE!</v>
      </c>
      <c r="O580" t="e">
        <f>Tabella1[[#This Row],[superificie]]*Resa</f>
        <v>#VALUE!</v>
      </c>
      <c r="P580" t="e">
        <f>Tabella1[[#This Row],[KgPezzo]]*Tabella1[[#This Row],[q.ta offerta]]</f>
        <v>#VALUE!</v>
      </c>
      <c r="Q580" t="e">
        <f>RigheOfferte[[#This Row],[QtaProtez]]</f>
        <v>#VALUE!</v>
      </c>
      <c r="R580" t="e">
        <f>RigheOfferte[[#This Row],[Tipo Protezione]]</f>
        <v>#VALUE!</v>
      </c>
    </row>
    <row r="581" spans="1:18">
      <c r="A581" t="e">
        <f>RigheOfferte[[#This Row],[Nprev]]</f>
        <v>#VALUE!</v>
      </c>
      <c r="B581" t="e">
        <f>RigheOfferte[[#This Row],[Nriga]]</f>
        <v>#VALUE!</v>
      </c>
      <c r="C581" t="e">
        <f>RigheOfferte[[#This Row],[Cliente]]</f>
        <v>#VALUE!</v>
      </c>
      <c r="D581" t="e">
        <f>RigheOfferte[[#This Row],[sub_cliente]]</f>
        <v>#VALUE!</v>
      </c>
      <c r="E581" t="e">
        <f>RigheOfferte[[#This Row],[cod.Art.]]</f>
        <v>#VALUE!</v>
      </c>
      <c r="F581" t="e">
        <f>RigheOfferte[[#This Row],[Descrizione]]</f>
        <v>#VALUE!</v>
      </c>
      <c r="G581" t="e">
        <f>RigheOfferte[[#This Row],[Q.ta'']]</f>
        <v>#VALUE!</v>
      </c>
      <c r="H581" t="e">
        <f>RigheOfferte[[#This Row],[Lavorazione]]</f>
        <v>#VALUE!</v>
      </c>
      <c r="I581" t="e">
        <f>RigheOfferte[[#This Row],[Colore]]</f>
        <v>#VALUE!</v>
      </c>
      <c r="J581" t="e">
        <f>RigheOfferte[[#This Row],[Velocità]]</f>
        <v>#VALUE!</v>
      </c>
      <c r="K581" t="e">
        <f>RigheOfferte[[#This Row],[Superf.pz Mq]]</f>
        <v>#VALUE!</v>
      </c>
      <c r="L581" t="e">
        <f>RigheOfferte[[#This Row],[passo]]</f>
        <v>#VALUE!</v>
      </c>
      <c r="M581" t="e">
        <f>RigheOfferte[[#This Row],[nr.pezzi Telaio]]</f>
        <v>#VALUE!</v>
      </c>
      <c r="N581" t="e">
        <f>RigheOfferte[[#This Row],[nr.pezzi ora-unita]]</f>
        <v>#VALUE!</v>
      </c>
      <c r="O581" t="e">
        <f>Tabella1[[#This Row],[superificie]]*Resa</f>
        <v>#VALUE!</v>
      </c>
      <c r="P581" t="e">
        <f>Tabella1[[#This Row],[KgPezzo]]*Tabella1[[#This Row],[q.ta offerta]]</f>
        <v>#VALUE!</v>
      </c>
      <c r="Q581" t="e">
        <f>RigheOfferte[[#This Row],[QtaProtez]]</f>
        <v>#VALUE!</v>
      </c>
      <c r="R581" t="e">
        <f>RigheOfferte[[#This Row],[Tipo Protezione]]</f>
        <v>#VALUE!</v>
      </c>
    </row>
    <row r="582" spans="1:18">
      <c r="A582" t="e">
        <f>RigheOfferte[[#This Row],[Nprev]]</f>
        <v>#VALUE!</v>
      </c>
      <c r="B582" t="e">
        <f>RigheOfferte[[#This Row],[Nriga]]</f>
        <v>#VALUE!</v>
      </c>
      <c r="C582" t="e">
        <f>RigheOfferte[[#This Row],[Cliente]]</f>
        <v>#VALUE!</v>
      </c>
      <c r="D582" t="e">
        <f>RigheOfferte[[#This Row],[sub_cliente]]</f>
        <v>#VALUE!</v>
      </c>
      <c r="E582" t="e">
        <f>RigheOfferte[[#This Row],[cod.Art.]]</f>
        <v>#VALUE!</v>
      </c>
      <c r="F582" t="e">
        <f>RigheOfferte[[#This Row],[Descrizione]]</f>
        <v>#VALUE!</v>
      </c>
      <c r="G582" t="e">
        <f>RigheOfferte[[#This Row],[Q.ta'']]</f>
        <v>#VALUE!</v>
      </c>
      <c r="H582" t="e">
        <f>RigheOfferte[[#This Row],[Lavorazione]]</f>
        <v>#VALUE!</v>
      </c>
      <c r="I582" t="e">
        <f>RigheOfferte[[#This Row],[Colore]]</f>
        <v>#VALUE!</v>
      </c>
      <c r="J582" t="e">
        <f>RigheOfferte[[#This Row],[Velocità]]</f>
        <v>#VALUE!</v>
      </c>
      <c r="K582" t="e">
        <f>RigheOfferte[[#This Row],[Superf.pz Mq]]</f>
        <v>#VALUE!</v>
      </c>
      <c r="L582" t="e">
        <f>RigheOfferte[[#This Row],[passo]]</f>
        <v>#VALUE!</v>
      </c>
      <c r="M582" t="e">
        <f>RigheOfferte[[#This Row],[nr.pezzi Telaio]]</f>
        <v>#VALUE!</v>
      </c>
      <c r="N582" t="e">
        <f>RigheOfferte[[#This Row],[nr.pezzi ora-unita]]</f>
        <v>#VALUE!</v>
      </c>
      <c r="O582" t="e">
        <f>Tabella1[[#This Row],[superificie]]*Resa</f>
        <v>#VALUE!</v>
      </c>
      <c r="P582" t="e">
        <f>Tabella1[[#This Row],[KgPezzo]]*Tabella1[[#This Row],[q.ta offerta]]</f>
        <v>#VALUE!</v>
      </c>
      <c r="Q582" t="e">
        <f>RigheOfferte[[#This Row],[QtaProtez]]</f>
        <v>#VALUE!</v>
      </c>
      <c r="R582" t="e">
        <f>RigheOfferte[[#This Row],[Tipo Protezione]]</f>
        <v>#VALUE!</v>
      </c>
    </row>
    <row r="583" spans="1:18">
      <c r="A583" t="e">
        <f>RigheOfferte[[#This Row],[Nprev]]</f>
        <v>#VALUE!</v>
      </c>
      <c r="B583" t="e">
        <f>RigheOfferte[[#This Row],[Nriga]]</f>
        <v>#VALUE!</v>
      </c>
      <c r="C583" t="e">
        <f>RigheOfferte[[#This Row],[Cliente]]</f>
        <v>#VALUE!</v>
      </c>
      <c r="D583" t="e">
        <f>RigheOfferte[[#This Row],[sub_cliente]]</f>
        <v>#VALUE!</v>
      </c>
      <c r="E583" t="e">
        <f>RigheOfferte[[#This Row],[cod.Art.]]</f>
        <v>#VALUE!</v>
      </c>
      <c r="F583" t="e">
        <f>RigheOfferte[[#This Row],[Descrizione]]</f>
        <v>#VALUE!</v>
      </c>
      <c r="G583" t="e">
        <f>RigheOfferte[[#This Row],[Q.ta'']]</f>
        <v>#VALUE!</v>
      </c>
      <c r="H583" t="e">
        <f>RigheOfferte[[#This Row],[Lavorazione]]</f>
        <v>#VALUE!</v>
      </c>
      <c r="I583" t="e">
        <f>RigheOfferte[[#This Row],[Colore]]</f>
        <v>#VALUE!</v>
      </c>
      <c r="J583" t="e">
        <f>RigheOfferte[[#This Row],[Velocità]]</f>
        <v>#VALUE!</v>
      </c>
      <c r="K583" t="e">
        <f>RigheOfferte[[#This Row],[Superf.pz Mq]]</f>
        <v>#VALUE!</v>
      </c>
      <c r="L583" t="e">
        <f>RigheOfferte[[#This Row],[passo]]</f>
        <v>#VALUE!</v>
      </c>
      <c r="M583" t="e">
        <f>RigheOfferte[[#This Row],[nr.pezzi Telaio]]</f>
        <v>#VALUE!</v>
      </c>
      <c r="N583" t="e">
        <f>RigheOfferte[[#This Row],[nr.pezzi ora-unita]]</f>
        <v>#VALUE!</v>
      </c>
      <c r="O583" t="e">
        <f>Tabella1[[#This Row],[superificie]]*Resa</f>
        <v>#VALUE!</v>
      </c>
      <c r="P583" t="e">
        <f>Tabella1[[#This Row],[KgPezzo]]*Tabella1[[#This Row],[q.ta offerta]]</f>
        <v>#VALUE!</v>
      </c>
      <c r="Q583" t="e">
        <f>RigheOfferte[[#This Row],[QtaProtez]]</f>
        <v>#VALUE!</v>
      </c>
      <c r="R583" t="e">
        <f>RigheOfferte[[#This Row],[Tipo Protezione]]</f>
        <v>#VALUE!</v>
      </c>
    </row>
    <row r="584" spans="1:18">
      <c r="A584" t="e">
        <f>RigheOfferte[[#This Row],[Nprev]]</f>
        <v>#VALUE!</v>
      </c>
      <c r="B584" t="e">
        <f>RigheOfferte[[#This Row],[Nriga]]</f>
        <v>#VALUE!</v>
      </c>
      <c r="C584" t="e">
        <f>RigheOfferte[[#This Row],[Cliente]]</f>
        <v>#VALUE!</v>
      </c>
      <c r="D584" t="e">
        <f>RigheOfferte[[#This Row],[sub_cliente]]</f>
        <v>#VALUE!</v>
      </c>
      <c r="E584" t="e">
        <f>RigheOfferte[[#This Row],[cod.Art.]]</f>
        <v>#VALUE!</v>
      </c>
      <c r="F584" t="e">
        <f>RigheOfferte[[#This Row],[Descrizione]]</f>
        <v>#VALUE!</v>
      </c>
      <c r="G584" t="e">
        <f>RigheOfferte[[#This Row],[Q.ta'']]</f>
        <v>#VALUE!</v>
      </c>
      <c r="H584" t="e">
        <f>RigheOfferte[[#This Row],[Lavorazione]]</f>
        <v>#VALUE!</v>
      </c>
      <c r="I584" t="e">
        <f>RigheOfferte[[#This Row],[Colore]]</f>
        <v>#VALUE!</v>
      </c>
      <c r="J584" t="e">
        <f>RigheOfferte[[#This Row],[Velocità]]</f>
        <v>#VALUE!</v>
      </c>
      <c r="K584" t="e">
        <f>RigheOfferte[[#This Row],[Superf.pz Mq]]</f>
        <v>#VALUE!</v>
      </c>
      <c r="L584" t="e">
        <f>RigheOfferte[[#This Row],[passo]]</f>
        <v>#VALUE!</v>
      </c>
      <c r="M584" t="e">
        <f>RigheOfferte[[#This Row],[nr.pezzi Telaio]]</f>
        <v>#VALUE!</v>
      </c>
      <c r="N584" t="e">
        <f>RigheOfferte[[#This Row],[nr.pezzi ora-unita]]</f>
        <v>#VALUE!</v>
      </c>
      <c r="O584" t="e">
        <f>Tabella1[[#This Row],[superificie]]*Resa</f>
        <v>#VALUE!</v>
      </c>
      <c r="P584" t="e">
        <f>Tabella1[[#This Row],[KgPezzo]]*Tabella1[[#This Row],[q.ta offerta]]</f>
        <v>#VALUE!</v>
      </c>
      <c r="Q584" t="e">
        <f>RigheOfferte[[#This Row],[QtaProtez]]</f>
        <v>#VALUE!</v>
      </c>
      <c r="R584" t="e">
        <f>RigheOfferte[[#This Row],[Tipo Protezione]]</f>
        <v>#VALUE!</v>
      </c>
    </row>
    <row r="585" spans="1:18">
      <c r="A585" t="e">
        <f>RigheOfferte[[#This Row],[Nprev]]</f>
        <v>#VALUE!</v>
      </c>
      <c r="B585" t="e">
        <f>RigheOfferte[[#This Row],[Nriga]]</f>
        <v>#VALUE!</v>
      </c>
      <c r="C585" t="e">
        <f>RigheOfferte[[#This Row],[Cliente]]</f>
        <v>#VALUE!</v>
      </c>
      <c r="D585" t="e">
        <f>RigheOfferte[[#This Row],[sub_cliente]]</f>
        <v>#VALUE!</v>
      </c>
      <c r="E585" t="e">
        <f>RigheOfferte[[#This Row],[cod.Art.]]</f>
        <v>#VALUE!</v>
      </c>
      <c r="F585" t="e">
        <f>RigheOfferte[[#This Row],[Descrizione]]</f>
        <v>#VALUE!</v>
      </c>
      <c r="G585" t="e">
        <f>RigheOfferte[[#This Row],[Q.ta'']]</f>
        <v>#VALUE!</v>
      </c>
      <c r="H585" t="e">
        <f>RigheOfferte[[#This Row],[Lavorazione]]</f>
        <v>#VALUE!</v>
      </c>
      <c r="I585" t="e">
        <f>RigheOfferte[[#This Row],[Colore]]</f>
        <v>#VALUE!</v>
      </c>
      <c r="J585" t="e">
        <f>RigheOfferte[[#This Row],[Velocità]]</f>
        <v>#VALUE!</v>
      </c>
      <c r="K585" t="e">
        <f>RigheOfferte[[#This Row],[Superf.pz Mq]]</f>
        <v>#VALUE!</v>
      </c>
      <c r="L585" t="e">
        <f>RigheOfferte[[#This Row],[passo]]</f>
        <v>#VALUE!</v>
      </c>
      <c r="M585" t="e">
        <f>RigheOfferte[[#This Row],[nr.pezzi Telaio]]</f>
        <v>#VALUE!</v>
      </c>
      <c r="N585" t="e">
        <f>RigheOfferte[[#This Row],[nr.pezzi ora-unita]]</f>
        <v>#VALUE!</v>
      </c>
      <c r="O585" t="e">
        <f>Tabella1[[#This Row],[superificie]]*Resa</f>
        <v>#VALUE!</v>
      </c>
      <c r="P585" t="e">
        <f>Tabella1[[#This Row],[KgPezzo]]*Tabella1[[#This Row],[q.ta offerta]]</f>
        <v>#VALUE!</v>
      </c>
      <c r="Q585" t="e">
        <f>RigheOfferte[[#This Row],[QtaProtez]]</f>
        <v>#VALUE!</v>
      </c>
      <c r="R585" t="e">
        <f>RigheOfferte[[#This Row],[Tipo Protezione]]</f>
        <v>#VALUE!</v>
      </c>
    </row>
    <row r="586" spans="1:18">
      <c r="A586" t="e">
        <f>RigheOfferte[[#This Row],[Nprev]]</f>
        <v>#VALUE!</v>
      </c>
      <c r="B586" t="e">
        <f>RigheOfferte[[#This Row],[Nriga]]</f>
        <v>#VALUE!</v>
      </c>
      <c r="C586" t="e">
        <f>RigheOfferte[[#This Row],[Cliente]]</f>
        <v>#VALUE!</v>
      </c>
      <c r="D586" t="e">
        <f>RigheOfferte[[#This Row],[sub_cliente]]</f>
        <v>#VALUE!</v>
      </c>
      <c r="E586" t="e">
        <f>RigheOfferte[[#This Row],[cod.Art.]]</f>
        <v>#VALUE!</v>
      </c>
      <c r="F586" t="e">
        <f>RigheOfferte[[#This Row],[Descrizione]]</f>
        <v>#VALUE!</v>
      </c>
      <c r="G586" t="e">
        <f>RigheOfferte[[#This Row],[Q.ta'']]</f>
        <v>#VALUE!</v>
      </c>
      <c r="H586" t="e">
        <f>RigheOfferte[[#This Row],[Lavorazione]]</f>
        <v>#VALUE!</v>
      </c>
      <c r="I586" t="e">
        <f>RigheOfferte[[#This Row],[Colore]]</f>
        <v>#VALUE!</v>
      </c>
      <c r="J586" t="e">
        <f>RigheOfferte[[#This Row],[Velocità]]</f>
        <v>#VALUE!</v>
      </c>
      <c r="K586" t="e">
        <f>RigheOfferte[[#This Row],[Superf.pz Mq]]</f>
        <v>#VALUE!</v>
      </c>
      <c r="L586" t="e">
        <f>RigheOfferte[[#This Row],[passo]]</f>
        <v>#VALUE!</v>
      </c>
      <c r="M586" t="e">
        <f>RigheOfferte[[#This Row],[nr.pezzi Telaio]]</f>
        <v>#VALUE!</v>
      </c>
      <c r="N586" t="e">
        <f>RigheOfferte[[#This Row],[nr.pezzi ora-unita]]</f>
        <v>#VALUE!</v>
      </c>
      <c r="O586" t="e">
        <f>Tabella1[[#This Row],[superificie]]*Resa</f>
        <v>#VALUE!</v>
      </c>
      <c r="P586" t="e">
        <f>Tabella1[[#This Row],[KgPezzo]]*Tabella1[[#This Row],[q.ta offerta]]</f>
        <v>#VALUE!</v>
      </c>
      <c r="Q586" t="e">
        <f>RigheOfferte[[#This Row],[QtaProtez]]</f>
        <v>#VALUE!</v>
      </c>
      <c r="R586" t="e">
        <f>RigheOfferte[[#This Row],[Tipo Protezione]]</f>
        <v>#VALUE!</v>
      </c>
    </row>
    <row r="587" spans="1:18">
      <c r="A587" t="e">
        <f>RigheOfferte[[#This Row],[Nprev]]</f>
        <v>#VALUE!</v>
      </c>
      <c r="B587" t="e">
        <f>RigheOfferte[[#This Row],[Nriga]]</f>
        <v>#VALUE!</v>
      </c>
      <c r="C587" t="e">
        <f>RigheOfferte[[#This Row],[Cliente]]</f>
        <v>#VALUE!</v>
      </c>
      <c r="D587" t="e">
        <f>RigheOfferte[[#This Row],[sub_cliente]]</f>
        <v>#VALUE!</v>
      </c>
      <c r="E587" t="e">
        <f>RigheOfferte[[#This Row],[cod.Art.]]</f>
        <v>#VALUE!</v>
      </c>
      <c r="F587" t="e">
        <f>RigheOfferte[[#This Row],[Descrizione]]</f>
        <v>#VALUE!</v>
      </c>
      <c r="G587" t="e">
        <f>RigheOfferte[[#This Row],[Q.ta'']]</f>
        <v>#VALUE!</v>
      </c>
      <c r="H587" t="e">
        <f>RigheOfferte[[#This Row],[Lavorazione]]</f>
        <v>#VALUE!</v>
      </c>
      <c r="I587" t="e">
        <f>RigheOfferte[[#This Row],[Colore]]</f>
        <v>#VALUE!</v>
      </c>
      <c r="J587" t="e">
        <f>RigheOfferte[[#This Row],[Velocità]]</f>
        <v>#VALUE!</v>
      </c>
      <c r="K587" t="e">
        <f>RigheOfferte[[#This Row],[Superf.pz Mq]]</f>
        <v>#VALUE!</v>
      </c>
      <c r="L587" t="e">
        <f>RigheOfferte[[#This Row],[passo]]</f>
        <v>#VALUE!</v>
      </c>
      <c r="M587" t="e">
        <f>RigheOfferte[[#This Row],[nr.pezzi Telaio]]</f>
        <v>#VALUE!</v>
      </c>
      <c r="N587" t="e">
        <f>RigheOfferte[[#This Row],[nr.pezzi ora-unita]]</f>
        <v>#VALUE!</v>
      </c>
      <c r="O587" t="e">
        <f>Tabella1[[#This Row],[superificie]]*Resa</f>
        <v>#VALUE!</v>
      </c>
      <c r="P587" t="e">
        <f>Tabella1[[#This Row],[KgPezzo]]*Tabella1[[#This Row],[q.ta offerta]]</f>
        <v>#VALUE!</v>
      </c>
      <c r="Q587" t="e">
        <f>RigheOfferte[[#This Row],[QtaProtez]]</f>
        <v>#VALUE!</v>
      </c>
      <c r="R587" t="e">
        <f>RigheOfferte[[#This Row],[Tipo Protezione]]</f>
        <v>#VALUE!</v>
      </c>
    </row>
    <row r="588" spans="1:18">
      <c r="A588" t="e">
        <f>RigheOfferte[[#This Row],[Nprev]]</f>
        <v>#VALUE!</v>
      </c>
      <c r="B588" t="e">
        <f>RigheOfferte[[#This Row],[Nriga]]</f>
        <v>#VALUE!</v>
      </c>
      <c r="C588" t="e">
        <f>RigheOfferte[[#This Row],[Cliente]]</f>
        <v>#VALUE!</v>
      </c>
      <c r="D588" t="e">
        <f>RigheOfferte[[#This Row],[sub_cliente]]</f>
        <v>#VALUE!</v>
      </c>
      <c r="E588" t="e">
        <f>RigheOfferte[[#This Row],[cod.Art.]]</f>
        <v>#VALUE!</v>
      </c>
      <c r="F588" t="e">
        <f>RigheOfferte[[#This Row],[Descrizione]]</f>
        <v>#VALUE!</v>
      </c>
      <c r="G588" t="e">
        <f>RigheOfferte[[#This Row],[Q.ta'']]</f>
        <v>#VALUE!</v>
      </c>
      <c r="H588" t="e">
        <f>RigheOfferte[[#This Row],[Lavorazione]]</f>
        <v>#VALUE!</v>
      </c>
      <c r="I588" t="e">
        <f>RigheOfferte[[#This Row],[Colore]]</f>
        <v>#VALUE!</v>
      </c>
      <c r="J588" t="e">
        <f>RigheOfferte[[#This Row],[Velocità]]</f>
        <v>#VALUE!</v>
      </c>
      <c r="K588" t="e">
        <f>RigheOfferte[[#This Row],[Superf.pz Mq]]</f>
        <v>#VALUE!</v>
      </c>
      <c r="L588" t="e">
        <f>RigheOfferte[[#This Row],[passo]]</f>
        <v>#VALUE!</v>
      </c>
      <c r="M588" t="e">
        <f>RigheOfferte[[#This Row],[nr.pezzi Telaio]]</f>
        <v>#VALUE!</v>
      </c>
      <c r="N588" t="e">
        <f>RigheOfferte[[#This Row],[nr.pezzi ora-unita]]</f>
        <v>#VALUE!</v>
      </c>
      <c r="O588" t="e">
        <f>Tabella1[[#This Row],[superificie]]*Resa</f>
        <v>#VALUE!</v>
      </c>
      <c r="P588" t="e">
        <f>Tabella1[[#This Row],[KgPezzo]]*Tabella1[[#This Row],[q.ta offerta]]</f>
        <v>#VALUE!</v>
      </c>
      <c r="Q588" t="e">
        <f>RigheOfferte[[#This Row],[QtaProtez]]</f>
        <v>#VALUE!</v>
      </c>
      <c r="R588" t="e">
        <f>RigheOfferte[[#This Row],[Tipo Protezione]]</f>
        <v>#VALUE!</v>
      </c>
    </row>
    <row r="589" spans="1:18">
      <c r="A589" t="e">
        <f>RigheOfferte[[#This Row],[Nprev]]</f>
        <v>#VALUE!</v>
      </c>
      <c r="B589" t="e">
        <f>RigheOfferte[[#This Row],[Nriga]]</f>
        <v>#VALUE!</v>
      </c>
      <c r="C589" t="e">
        <f>RigheOfferte[[#This Row],[Cliente]]</f>
        <v>#VALUE!</v>
      </c>
      <c r="D589" t="e">
        <f>RigheOfferte[[#This Row],[sub_cliente]]</f>
        <v>#VALUE!</v>
      </c>
      <c r="E589" t="e">
        <f>RigheOfferte[[#This Row],[cod.Art.]]</f>
        <v>#VALUE!</v>
      </c>
      <c r="F589" t="e">
        <f>RigheOfferte[[#This Row],[Descrizione]]</f>
        <v>#VALUE!</v>
      </c>
      <c r="G589" t="e">
        <f>RigheOfferte[[#This Row],[Q.ta'']]</f>
        <v>#VALUE!</v>
      </c>
      <c r="H589" t="e">
        <f>RigheOfferte[[#This Row],[Lavorazione]]</f>
        <v>#VALUE!</v>
      </c>
      <c r="I589" t="e">
        <f>RigheOfferte[[#This Row],[Colore]]</f>
        <v>#VALUE!</v>
      </c>
      <c r="J589" t="e">
        <f>RigheOfferte[[#This Row],[Velocità]]</f>
        <v>#VALUE!</v>
      </c>
      <c r="K589" t="e">
        <f>RigheOfferte[[#This Row],[Superf.pz Mq]]</f>
        <v>#VALUE!</v>
      </c>
      <c r="L589" t="e">
        <f>RigheOfferte[[#This Row],[passo]]</f>
        <v>#VALUE!</v>
      </c>
      <c r="M589" t="e">
        <f>RigheOfferte[[#This Row],[nr.pezzi Telaio]]</f>
        <v>#VALUE!</v>
      </c>
      <c r="N589" t="e">
        <f>RigheOfferte[[#This Row],[nr.pezzi ora-unita]]</f>
        <v>#VALUE!</v>
      </c>
      <c r="O589" t="e">
        <f>Tabella1[[#This Row],[superificie]]*Resa</f>
        <v>#VALUE!</v>
      </c>
      <c r="P589" t="e">
        <f>Tabella1[[#This Row],[KgPezzo]]*Tabella1[[#This Row],[q.ta offerta]]</f>
        <v>#VALUE!</v>
      </c>
      <c r="Q589" t="e">
        <f>RigheOfferte[[#This Row],[QtaProtez]]</f>
        <v>#VALUE!</v>
      </c>
      <c r="R589" t="e">
        <f>RigheOfferte[[#This Row],[Tipo Protezione]]</f>
        <v>#VALUE!</v>
      </c>
    </row>
    <row r="590" spans="1:18">
      <c r="A590" t="e">
        <f>RigheOfferte[[#This Row],[Nprev]]</f>
        <v>#VALUE!</v>
      </c>
      <c r="B590" t="e">
        <f>RigheOfferte[[#This Row],[Nriga]]</f>
        <v>#VALUE!</v>
      </c>
      <c r="C590" t="e">
        <f>RigheOfferte[[#This Row],[Cliente]]</f>
        <v>#VALUE!</v>
      </c>
      <c r="D590" t="e">
        <f>RigheOfferte[[#This Row],[sub_cliente]]</f>
        <v>#VALUE!</v>
      </c>
      <c r="E590" t="e">
        <f>RigheOfferte[[#This Row],[cod.Art.]]</f>
        <v>#VALUE!</v>
      </c>
      <c r="F590" t="e">
        <f>RigheOfferte[[#This Row],[Descrizione]]</f>
        <v>#VALUE!</v>
      </c>
      <c r="G590" t="e">
        <f>RigheOfferte[[#This Row],[Q.ta'']]</f>
        <v>#VALUE!</v>
      </c>
      <c r="H590" t="e">
        <f>RigheOfferte[[#This Row],[Lavorazione]]</f>
        <v>#VALUE!</v>
      </c>
      <c r="I590" t="e">
        <f>RigheOfferte[[#This Row],[Colore]]</f>
        <v>#VALUE!</v>
      </c>
      <c r="J590" t="e">
        <f>RigheOfferte[[#This Row],[Velocità]]</f>
        <v>#VALUE!</v>
      </c>
      <c r="K590" t="e">
        <f>RigheOfferte[[#This Row],[Superf.pz Mq]]</f>
        <v>#VALUE!</v>
      </c>
      <c r="L590" t="e">
        <f>RigheOfferte[[#This Row],[passo]]</f>
        <v>#VALUE!</v>
      </c>
      <c r="M590" t="e">
        <f>RigheOfferte[[#This Row],[nr.pezzi Telaio]]</f>
        <v>#VALUE!</v>
      </c>
      <c r="N590" t="e">
        <f>RigheOfferte[[#This Row],[nr.pezzi ora-unita]]</f>
        <v>#VALUE!</v>
      </c>
      <c r="O590" t="e">
        <f>Tabella1[[#This Row],[superificie]]*Resa</f>
        <v>#VALUE!</v>
      </c>
      <c r="P590" t="e">
        <f>Tabella1[[#This Row],[KgPezzo]]*Tabella1[[#This Row],[q.ta offerta]]</f>
        <v>#VALUE!</v>
      </c>
      <c r="Q590" t="e">
        <f>RigheOfferte[[#This Row],[QtaProtez]]</f>
        <v>#VALUE!</v>
      </c>
      <c r="R590" t="e">
        <f>RigheOfferte[[#This Row],[Tipo Protezione]]</f>
        <v>#VALUE!</v>
      </c>
    </row>
    <row r="591" spans="1:18">
      <c r="A591" t="e">
        <f>RigheOfferte[[#This Row],[Nprev]]</f>
        <v>#VALUE!</v>
      </c>
      <c r="B591" t="e">
        <f>RigheOfferte[[#This Row],[Nriga]]</f>
        <v>#VALUE!</v>
      </c>
      <c r="C591" t="e">
        <f>RigheOfferte[[#This Row],[Cliente]]</f>
        <v>#VALUE!</v>
      </c>
      <c r="D591" t="e">
        <f>RigheOfferte[[#This Row],[sub_cliente]]</f>
        <v>#VALUE!</v>
      </c>
      <c r="E591" t="e">
        <f>RigheOfferte[[#This Row],[cod.Art.]]</f>
        <v>#VALUE!</v>
      </c>
      <c r="F591" t="e">
        <f>RigheOfferte[[#This Row],[Descrizione]]</f>
        <v>#VALUE!</v>
      </c>
      <c r="G591" t="e">
        <f>RigheOfferte[[#This Row],[Q.ta'']]</f>
        <v>#VALUE!</v>
      </c>
      <c r="H591" t="e">
        <f>RigheOfferte[[#This Row],[Lavorazione]]</f>
        <v>#VALUE!</v>
      </c>
      <c r="I591" t="e">
        <f>RigheOfferte[[#This Row],[Colore]]</f>
        <v>#VALUE!</v>
      </c>
      <c r="J591" t="e">
        <f>RigheOfferte[[#This Row],[Velocità]]</f>
        <v>#VALUE!</v>
      </c>
      <c r="K591" t="e">
        <f>RigheOfferte[[#This Row],[Superf.pz Mq]]</f>
        <v>#VALUE!</v>
      </c>
      <c r="L591" t="e">
        <f>RigheOfferte[[#This Row],[passo]]</f>
        <v>#VALUE!</v>
      </c>
      <c r="M591" t="e">
        <f>RigheOfferte[[#This Row],[nr.pezzi Telaio]]</f>
        <v>#VALUE!</v>
      </c>
      <c r="N591" t="e">
        <f>RigheOfferte[[#This Row],[nr.pezzi ora-unita]]</f>
        <v>#VALUE!</v>
      </c>
      <c r="O591" t="e">
        <f>Tabella1[[#This Row],[superificie]]*Resa</f>
        <v>#VALUE!</v>
      </c>
      <c r="P591" t="e">
        <f>Tabella1[[#This Row],[KgPezzo]]*Tabella1[[#This Row],[q.ta offerta]]</f>
        <v>#VALUE!</v>
      </c>
      <c r="Q591" t="e">
        <f>RigheOfferte[[#This Row],[QtaProtez]]</f>
        <v>#VALUE!</v>
      </c>
      <c r="R591" t="e">
        <f>RigheOfferte[[#This Row],[Tipo Protezione]]</f>
        <v>#VALUE!</v>
      </c>
    </row>
    <row r="592" spans="1:18">
      <c r="A592" t="e">
        <f>RigheOfferte[[#This Row],[Nprev]]</f>
        <v>#VALUE!</v>
      </c>
      <c r="B592" t="e">
        <f>RigheOfferte[[#This Row],[Nriga]]</f>
        <v>#VALUE!</v>
      </c>
      <c r="C592" t="e">
        <f>RigheOfferte[[#This Row],[Cliente]]</f>
        <v>#VALUE!</v>
      </c>
      <c r="D592" t="e">
        <f>RigheOfferte[[#This Row],[sub_cliente]]</f>
        <v>#VALUE!</v>
      </c>
      <c r="E592" t="e">
        <f>RigheOfferte[[#This Row],[cod.Art.]]</f>
        <v>#VALUE!</v>
      </c>
      <c r="F592" t="e">
        <f>RigheOfferte[[#This Row],[Descrizione]]</f>
        <v>#VALUE!</v>
      </c>
      <c r="G592" t="e">
        <f>RigheOfferte[[#This Row],[Q.ta'']]</f>
        <v>#VALUE!</v>
      </c>
      <c r="H592" t="e">
        <f>RigheOfferte[[#This Row],[Lavorazione]]</f>
        <v>#VALUE!</v>
      </c>
      <c r="I592" t="e">
        <f>RigheOfferte[[#This Row],[Colore]]</f>
        <v>#VALUE!</v>
      </c>
      <c r="J592" t="e">
        <f>RigheOfferte[[#This Row],[Velocità]]</f>
        <v>#VALUE!</v>
      </c>
      <c r="K592" t="e">
        <f>RigheOfferte[[#This Row],[Superf.pz Mq]]</f>
        <v>#VALUE!</v>
      </c>
      <c r="L592" t="e">
        <f>RigheOfferte[[#This Row],[passo]]</f>
        <v>#VALUE!</v>
      </c>
      <c r="M592" t="e">
        <f>RigheOfferte[[#This Row],[nr.pezzi Telaio]]</f>
        <v>#VALUE!</v>
      </c>
      <c r="N592" t="e">
        <f>RigheOfferte[[#This Row],[nr.pezzi ora-unita]]</f>
        <v>#VALUE!</v>
      </c>
      <c r="O592" t="e">
        <f>Tabella1[[#This Row],[superificie]]*Resa</f>
        <v>#VALUE!</v>
      </c>
      <c r="P592" t="e">
        <f>Tabella1[[#This Row],[KgPezzo]]*Tabella1[[#This Row],[q.ta offerta]]</f>
        <v>#VALUE!</v>
      </c>
      <c r="Q592" t="e">
        <f>RigheOfferte[[#This Row],[QtaProtez]]</f>
        <v>#VALUE!</v>
      </c>
      <c r="R592" t="e">
        <f>RigheOfferte[[#This Row],[Tipo Protezione]]</f>
        <v>#VALUE!</v>
      </c>
    </row>
    <row r="593" spans="1:18">
      <c r="A593" t="e">
        <f>RigheOfferte[[#This Row],[Nprev]]</f>
        <v>#VALUE!</v>
      </c>
      <c r="B593" t="e">
        <f>RigheOfferte[[#This Row],[Nriga]]</f>
        <v>#VALUE!</v>
      </c>
      <c r="C593" t="e">
        <f>RigheOfferte[[#This Row],[Cliente]]</f>
        <v>#VALUE!</v>
      </c>
      <c r="D593" t="e">
        <f>RigheOfferte[[#This Row],[sub_cliente]]</f>
        <v>#VALUE!</v>
      </c>
      <c r="E593" t="e">
        <f>RigheOfferte[[#This Row],[cod.Art.]]</f>
        <v>#VALUE!</v>
      </c>
      <c r="F593" t="e">
        <f>RigheOfferte[[#This Row],[Descrizione]]</f>
        <v>#VALUE!</v>
      </c>
      <c r="G593" t="e">
        <f>RigheOfferte[[#This Row],[Q.ta'']]</f>
        <v>#VALUE!</v>
      </c>
      <c r="H593" t="e">
        <f>RigheOfferte[[#This Row],[Lavorazione]]</f>
        <v>#VALUE!</v>
      </c>
      <c r="I593" t="e">
        <f>RigheOfferte[[#This Row],[Colore]]</f>
        <v>#VALUE!</v>
      </c>
      <c r="J593" t="e">
        <f>RigheOfferte[[#This Row],[Velocità]]</f>
        <v>#VALUE!</v>
      </c>
      <c r="K593" t="e">
        <f>RigheOfferte[[#This Row],[Superf.pz Mq]]</f>
        <v>#VALUE!</v>
      </c>
      <c r="L593" t="e">
        <f>RigheOfferte[[#This Row],[passo]]</f>
        <v>#VALUE!</v>
      </c>
      <c r="M593" t="e">
        <f>RigheOfferte[[#This Row],[nr.pezzi Telaio]]</f>
        <v>#VALUE!</v>
      </c>
      <c r="N593" t="e">
        <f>RigheOfferte[[#This Row],[nr.pezzi ora-unita]]</f>
        <v>#VALUE!</v>
      </c>
      <c r="O593" t="e">
        <f>Tabella1[[#This Row],[superificie]]*Resa</f>
        <v>#VALUE!</v>
      </c>
      <c r="P593" t="e">
        <f>Tabella1[[#This Row],[KgPezzo]]*Tabella1[[#This Row],[q.ta offerta]]</f>
        <v>#VALUE!</v>
      </c>
      <c r="Q593" t="e">
        <f>RigheOfferte[[#This Row],[QtaProtez]]</f>
        <v>#VALUE!</v>
      </c>
      <c r="R593" t="e">
        <f>RigheOfferte[[#This Row],[Tipo Protezione]]</f>
        <v>#VALUE!</v>
      </c>
    </row>
    <row r="594" spans="1:18">
      <c r="A594" t="e">
        <f>RigheOfferte[[#This Row],[Nprev]]</f>
        <v>#VALUE!</v>
      </c>
      <c r="B594" t="e">
        <f>RigheOfferte[[#This Row],[Nriga]]</f>
        <v>#VALUE!</v>
      </c>
      <c r="C594" t="e">
        <f>RigheOfferte[[#This Row],[Cliente]]</f>
        <v>#VALUE!</v>
      </c>
      <c r="D594" t="e">
        <f>RigheOfferte[[#This Row],[sub_cliente]]</f>
        <v>#VALUE!</v>
      </c>
      <c r="E594" t="e">
        <f>RigheOfferte[[#This Row],[cod.Art.]]</f>
        <v>#VALUE!</v>
      </c>
      <c r="F594" t="e">
        <f>RigheOfferte[[#This Row],[Descrizione]]</f>
        <v>#VALUE!</v>
      </c>
      <c r="G594" t="e">
        <f>RigheOfferte[[#This Row],[Q.ta'']]</f>
        <v>#VALUE!</v>
      </c>
      <c r="H594" t="e">
        <f>RigheOfferte[[#This Row],[Lavorazione]]</f>
        <v>#VALUE!</v>
      </c>
      <c r="I594" t="e">
        <f>RigheOfferte[[#This Row],[Colore]]</f>
        <v>#VALUE!</v>
      </c>
      <c r="J594" t="e">
        <f>RigheOfferte[[#This Row],[Velocità]]</f>
        <v>#VALUE!</v>
      </c>
      <c r="K594" t="e">
        <f>RigheOfferte[[#This Row],[Superf.pz Mq]]</f>
        <v>#VALUE!</v>
      </c>
      <c r="L594" t="e">
        <f>RigheOfferte[[#This Row],[passo]]</f>
        <v>#VALUE!</v>
      </c>
      <c r="M594" t="e">
        <f>RigheOfferte[[#This Row],[nr.pezzi Telaio]]</f>
        <v>#VALUE!</v>
      </c>
      <c r="N594" t="e">
        <f>RigheOfferte[[#This Row],[nr.pezzi ora-unita]]</f>
        <v>#VALUE!</v>
      </c>
      <c r="O594" t="e">
        <f>Tabella1[[#This Row],[superificie]]*Resa</f>
        <v>#VALUE!</v>
      </c>
      <c r="P594" t="e">
        <f>Tabella1[[#This Row],[KgPezzo]]*Tabella1[[#This Row],[q.ta offerta]]</f>
        <v>#VALUE!</v>
      </c>
      <c r="Q594" t="e">
        <f>RigheOfferte[[#This Row],[QtaProtez]]</f>
        <v>#VALUE!</v>
      </c>
      <c r="R594" t="e">
        <f>RigheOfferte[[#This Row],[Tipo Protezione]]</f>
        <v>#VALUE!</v>
      </c>
    </row>
    <row r="595" spans="1:18">
      <c r="A595" t="e">
        <f>RigheOfferte[[#This Row],[Nprev]]</f>
        <v>#VALUE!</v>
      </c>
      <c r="B595" t="e">
        <f>RigheOfferte[[#This Row],[Nriga]]</f>
        <v>#VALUE!</v>
      </c>
      <c r="C595" t="e">
        <f>RigheOfferte[[#This Row],[Cliente]]</f>
        <v>#VALUE!</v>
      </c>
      <c r="D595" t="e">
        <f>RigheOfferte[[#This Row],[sub_cliente]]</f>
        <v>#VALUE!</v>
      </c>
      <c r="E595" t="e">
        <f>RigheOfferte[[#This Row],[cod.Art.]]</f>
        <v>#VALUE!</v>
      </c>
      <c r="F595" t="e">
        <f>RigheOfferte[[#This Row],[Descrizione]]</f>
        <v>#VALUE!</v>
      </c>
      <c r="G595" t="e">
        <f>RigheOfferte[[#This Row],[Q.ta'']]</f>
        <v>#VALUE!</v>
      </c>
      <c r="H595" t="e">
        <f>RigheOfferte[[#This Row],[Lavorazione]]</f>
        <v>#VALUE!</v>
      </c>
      <c r="I595" t="e">
        <f>RigheOfferte[[#This Row],[Colore]]</f>
        <v>#VALUE!</v>
      </c>
      <c r="J595" t="e">
        <f>RigheOfferte[[#This Row],[Velocità]]</f>
        <v>#VALUE!</v>
      </c>
      <c r="K595" t="e">
        <f>RigheOfferte[[#This Row],[Superf.pz Mq]]</f>
        <v>#VALUE!</v>
      </c>
      <c r="L595" t="e">
        <f>RigheOfferte[[#This Row],[passo]]</f>
        <v>#VALUE!</v>
      </c>
      <c r="M595" t="e">
        <f>RigheOfferte[[#This Row],[nr.pezzi Telaio]]</f>
        <v>#VALUE!</v>
      </c>
      <c r="N595" t="e">
        <f>RigheOfferte[[#This Row],[nr.pezzi ora-unita]]</f>
        <v>#VALUE!</v>
      </c>
      <c r="O595" t="e">
        <f>Tabella1[[#This Row],[superificie]]*Resa</f>
        <v>#VALUE!</v>
      </c>
      <c r="P595" t="e">
        <f>Tabella1[[#This Row],[KgPezzo]]*Tabella1[[#This Row],[q.ta offerta]]</f>
        <v>#VALUE!</v>
      </c>
      <c r="Q595" t="e">
        <f>RigheOfferte[[#This Row],[QtaProtez]]</f>
        <v>#VALUE!</v>
      </c>
      <c r="R595" t="e">
        <f>RigheOfferte[[#This Row],[Tipo Protezione]]</f>
        <v>#VALUE!</v>
      </c>
    </row>
    <row r="596" spans="1:18">
      <c r="A596" t="e">
        <f>RigheOfferte[[#This Row],[Nprev]]</f>
        <v>#VALUE!</v>
      </c>
      <c r="B596" t="e">
        <f>RigheOfferte[[#This Row],[Nriga]]</f>
        <v>#VALUE!</v>
      </c>
      <c r="C596" t="e">
        <f>RigheOfferte[[#This Row],[Cliente]]</f>
        <v>#VALUE!</v>
      </c>
      <c r="D596" t="e">
        <f>RigheOfferte[[#This Row],[sub_cliente]]</f>
        <v>#VALUE!</v>
      </c>
      <c r="E596" t="e">
        <f>RigheOfferte[[#This Row],[cod.Art.]]</f>
        <v>#VALUE!</v>
      </c>
      <c r="F596" t="e">
        <f>RigheOfferte[[#This Row],[Descrizione]]</f>
        <v>#VALUE!</v>
      </c>
      <c r="G596" t="e">
        <f>RigheOfferte[[#This Row],[Q.ta'']]</f>
        <v>#VALUE!</v>
      </c>
      <c r="H596" t="e">
        <f>RigheOfferte[[#This Row],[Lavorazione]]</f>
        <v>#VALUE!</v>
      </c>
      <c r="I596" t="e">
        <f>RigheOfferte[[#This Row],[Colore]]</f>
        <v>#VALUE!</v>
      </c>
      <c r="J596" t="e">
        <f>RigheOfferte[[#This Row],[Velocità]]</f>
        <v>#VALUE!</v>
      </c>
      <c r="K596" t="e">
        <f>RigheOfferte[[#This Row],[Superf.pz Mq]]</f>
        <v>#VALUE!</v>
      </c>
      <c r="L596" t="e">
        <f>RigheOfferte[[#This Row],[passo]]</f>
        <v>#VALUE!</v>
      </c>
      <c r="M596" t="e">
        <f>RigheOfferte[[#This Row],[nr.pezzi Telaio]]</f>
        <v>#VALUE!</v>
      </c>
      <c r="N596" t="e">
        <f>RigheOfferte[[#This Row],[nr.pezzi ora-unita]]</f>
        <v>#VALUE!</v>
      </c>
      <c r="O596" t="e">
        <f>Tabella1[[#This Row],[superificie]]*Resa</f>
        <v>#VALUE!</v>
      </c>
      <c r="P596" t="e">
        <f>Tabella1[[#This Row],[KgPezzo]]*Tabella1[[#This Row],[q.ta offerta]]</f>
        <v>#VALUE!</v>
      </c>
      <c r="Q596" t="e">
        <f>RigheOfferte[[#This Row],[QtaProtez]]</f>
        <v>#VALUE!</v>
      </c>
      <c r="R596" t="e">
        <f>RigheOfferte[[#This Row],[Tipo Protezione]]</f>
        <v>#VALUE!</v>
      </c>
    </row>
    <row r="597" spans="1:18">
      <c r="A597" t="e">
        <f>RigheOfferte[[#This Row],[Nprev]]</f>
        <v>#VALUE!</v>
      </c>
      <c r="B597" t="e">
        <f>RigheOfferte[[#This Row],[Nriga]]</f>
        <v>#VALUE!</v>
      </c>
      <c r="C597" t="e">
        <f>RigheOfferte[[#This Row],[Cliente]]</f>
        <v>#VALUE!</v>
      </c>
      <c r="D597" t="e">
        <f>RigheOfferte[[#This Row],[sub_cliente]]</f>
        <v>#VALUE!</v>
      </c>
      <c r="E597" t="e">
        <f>RigheOfferte[[#This Row],[cod.Art.]]</f>
        <v>#VALUE!</v>
      </c>
      <c r="F597" t="e">
        <f>RigheOfferte[[#This Row],[Descrizione]]</f>
        <v>#VALUE!</v>
      </c>
      <c r="G597" t="e">
        <f>RigheOfferte[[#This Row],[Q.ta'']]</f>
        <v>#VALUE!</v>
      </c>
      <c r="H597" t="e">
        <f>RigheOfferte[[#This Row],[Lavorazione]]</f>
        <v>#VALUE!</v>
      </c>
      <c r="I597" t="e">
        <f>RigheOfferte[[#This Row],[Colore]]</f>
        <v>#VALUE!</v>
      </c>
      <c r="J597" t="e">
        <f>RigheOfferte[[#This Row],[Velocità]]</f>
        <v>#VALUE!</v>
      </c>
      <c r="K597" t="e">
        <f>RigheOfferte[[#This Row],[Superf.pz Mq]]</f>
        <v>#VALUE!</v>
      </c>
      <c r="L597" t="e">
        <f>RigheOfferte[[#This Row],[passo]]</f>
        <v>#VALUE!</v>
      </c>
      <c r="M597" t="e">
        <f>RigheOfferte[[#This Row],[nr.pezzi Telaio]]</f>
        <v>#VALUE!</v>
      </c>
      <c r="N597" t="e">
        <f>RigheOfferte[[#This Row],[nr.pezzi ora-unita]]</f>
        <v>#VALUE!</v>
      </c>
      <c r="O597" t="e">
        <f>Tabella1[[#This Row],[superificie]]*Resa</f>
        <v>#VALUE!</v>
      </c>
      <c r="P597" t="e">
        <f>Tabella1[[#This Row],[KgPezzo]]*Tabella1[[#This Row],[q.ta offerta]]</f>
        <v>#VALUE!</v>
      </c>
      <c r="Q597" t="e">
        <f>RigheOfferte[[#This Row],[QtaProtez]]</f>
        <v>#VALUE!</v>
      </c>
      <c r="R597" t="e">
        <f>RigheOfferte[[#This Row],[Tipo Protezione]]</f>
        <v>#VALUE!</v>
      </c>
    </row>
    <row r="598" spans="1:18">
      <c r="A598" t="e">
        <f>RigheOfferte[[#This Row],[Nprev]]</f>
        <v>#VALUE!</v>
      </c>
      <c r="B598" t="e">
        <f>RigheOfferte[[#This Row],[Nriga]]</f>
        <v>#VALUE!</v>
      </c>
      <c r="C598" t="e">
        <f>RigheOfferte[[#This Row],[Cliente]]</f>
        <v>#VALUE!</v>
      </c>
      <c r="D598" t="e">
        <f>RigheOfferte[[#This Row],[sub_cliente]]</f>
        <v>#VALUE!</v>
      </c>
      <c r="E598" t="e">
        <f>RigheOfferte[[#This Row],[cod.Art.]]</f>
        <v>#VALUE!</v>
      </c>
      <c r="F598" t="e">
        <f>RigheOfferte[[#This Row],[Descrizione]]</f>
        <v>#VALUE!</v>
      </c>
      <c r="G598" t="e">
        <f>RigheOfferte[[#This Row],[Q.ta'']]</f>
        <v>#VALUE!</v>
      </c>
      <c r="H598" t="e">
        <f>RigheOfferte[[#This Row],[Lavorazione]]</f>
        <v>#VALUE!</v>
      </c>
      <c r="I598" t="e">
        <f>RigheOfferte[[#This Row],[Colore]]</f>
        <v>#VALUE!</v>
      </c>
      <c r="J598" t="e">
        <f>RigheOfferte[[#This Row],[Velocità]]</f>
        <v>#VALUE!</v>
      </c>
      <c r="K598" t="e">
        <f>RigheOfferte[[#This Row],[Superf.pz Mq]]</f>
        <v>#VALUE!</v>
      </c>
      <c r="L598" t="e">
        <f>RigheOfferte[[#This Row],[passo]]</f>
        <v>#VALUE!</v>
      </c>
      <c r="M598" t="e">
        <f>RigheOfferte[[#This Row],[nr.pezzi Telaio]]</f>
        <v>#VALUE!</v>
      </c>
      <c r="N598" t="e">
        <f>RigheOfferte[[#This Row],[nr.pezzi ora-unita]]</f>
        <v>#VALUE!</v>
      </c>
      <c r="O598" t="e">
        <f>Tabella1[[#This Row],[superificie]]*Resa</f>
        <v>#VALUE!</v>
      </c>
      <c r="P598" t="e">
        <f>Tabella1[[#This Row],[KgPezzo]]*Tabella1[[#This Row],[q.ta offerta]]</f>
        <v>#VALUE!</v>
      </c>
      <c r="Q598" t="e">
        <f>RigheOfferte[[#This Row],[QtaProtez]]</f>
        <v>#VALUE!</v>
      </c>
      <c r="R598" t="e">
        <f>RigheOfferte[[#This Row],[Tipo Protezione]]</f>
        <v>#VALUE!</v>
      </c>
    </row>
    <row r="599" spans="1:18">
      <c r="A599" t="e">
        <f>RigheOfferte[[#This Row],[Nprev]]</f>
        <v>#VALUE!</v>
      </c>
      <c r="B599" t="e">
        <f>RigheOfferte[[#This Row],[Nriga]]</f>
        <v>#VALUE!</v>
      </c>
      <c r="C599" t="e">
        <f>RigheOfferte[[#This Row],[Cliente]]</f>
        <v>#VALUE!</v>
      </c>
      <c r="D599" t="e">
        <f>RigheOfferte[[#This Row],[sub_cliente]]</f>
        <v>#VALUE!</v>
      </c>
      <c r="E599" t="e">
        <f>RigheOfferte[[#This Row],[cod.Art.]]</f>
        <v>#VALUE!</v>
      </c>
      <c r="F599" t="e">
        <f>RigheOfferte[[#This Row],[Descrizione]]</f>
        <v>#VALUE!</v>
      </c>
      <c r="G599" t="e">
        <f>RigheOfferte[[#This Row],[Q.ta'']]</f>
        <v>#VALUE!</v>
      </c>
      <c r="H599" t="e">
        <f>RigheOfferte[[#This Row],[Lavorazione]]</f>
        <v>#VALUE!</v>
      </c>
      <c r="I599" t="e">
        <f>RigheOfferte[[#This Row],[Colore]]</f>
        <v>#VALUE!</v>
      </c>
      <c r="J599" t="e">
        <f>RigheOfferte[[#This Row],[Velocità]]</f>
        <v>#VALUE!</v>
      </c>
      <c r="K599" t="e">
        <f>RigheOfferte[[#This Row],[Superf.pz Mq]]</f>
        <v>#VALUE!</v>
      </c>
      <c r="L599" t="e">
        <f>RigheOfferte[[#This Row],[passo]]</f>
        <v>#VALUE!</v>
      </c>
      <c r="M599" t="e">
        <f>RigheOfferte[[#This Row],[nr.pezzi Telaio]]</f>
        <v>#VALUE!</v>
      </c>
      <c r="N599" t="e">
        <f>RigheOfferte[[#This Row],[nr.pezzi ora-unita]]</f>
        <v>#VALUE!</v>
      </c>
      <c r="O599" t="e">
        <f>Tabella1[[#This Row],[superificie]]*Resa</f>
        <v>#VALUE!</v>
      </c>
      <c r="P599" t="e">
        <f>Tabella1[[#This Row],[KgPezzo]]*Tabella1[[#This Row],[q.ta offerta]]</f>
        <v>#VALUE!</v>
      </c>
      <c r="Q599" t="e">
        <f>RigheOfferte[[#This Row],[QtaProtez]]</f>
        <v>#VALUE!</v>
      </c>
      <c r="R599" t="e">
        <f>RigheOfferte[[#This Row],[Tipo Protezione]]</f>
        <v>#VALUE!</v>
      </c>
    </row>
    <row r="600" spans="1:18">
      <c r="A600" t="e">
        <f>RigheOfferte[[#This Row],[Nprev]]</f>
        <v>#VALUE!</v>
      </c>
      <c r="B600" t="e">
        <f>RigheOfferte[[#This Row],[Nriga]]</f>
        <v>#VALUE!</v>
      </c>
      <c r="C600" t="e">
        <f>RigheOfferte[[#This Row],[Cliente]]</f>
        <v>#VALUE!</v>
      </c>
      <c r="D600" t="e">
        <f>RigheOfferte[[#This Row],[sub_cliente]]</f>
        <v>#VALUE!</v>
      </c>
      <c r="E600" t="e">
        <f>RigheOfferte[[#This Row],[cod.Art.]]</f>
        <v>#VALUE!</v>
      </c>
      <c r="F600" t="e">
        <f>RigheOfferte[[#This Row],[Descrizione]]</f>
        <v>#VALUE!</v>
      </c>
      <c r="G600" t="e">
        <f>RigheOfferte[[#This Row],[Q.ta'']]</f>
        <v>#VALUE!</v>
      </c>
      <c r="H600" t="e">
        <f>RigheOfferte[[#This Row],[Lavorazione]]</f>
        <v>#VALUE!</v>
      </c>
      <c r="I600" t="e">
        <f>RigheOfferte[[#This Row],[Colore]]</f>
        <v>#VALUE!</v>
      </c>
      <c r="J600" t="e">
        <f>RigheOfferte[[#This Row],[Velocità]]</f>
        <v>#VALUE!</v>
      </c>
      <c r="K600" t="e">
        <f>RigheOfferte[[#This Row],[Superf.pz Mq]]</f>
        <v>#VALUE!</v>
      </c>
      <c r="L600" t="e">
        <f>RigheOfferte[[#This Row],[passo]]</f>
        <v>#VALUE!</v>
      </c>
      <c r="M600" t="e">
        <f>RigheOfferte[[#This Row],[nr.pezzi Telaio]]</f>
        <v>#VALUE!</v>
      </c>
      <c r="N600" t="e">
        <f>RigheOfferte[[#This Row],[nr.pezzi ora-unita]]</f>
        <v>#VALUE!</v>
      </c>
      <c r="O600" t="e">
        <f>Tabella1[[#This Row],[superificie]]*Resa</f>
        <v>#VALUE!</v>
      </c>
      <c r="P600" t="e">
        <f>Tabella1[[#This Row],[KgPezzo]]*Tabella1[[#This Row],[q.ta offerta]]</f>
        <v>#VALUE!</v>
      </c>
      <c r="Q600" t="e">
        <f>RigheOfferte[[#This Row],[QtaProtez]]</f>
        <v>#VALUE!</v>
      </c>
      <c r="R600" t="e">
        <f>RigheOfferte[[#This Row],[Tipo Protezione]]</f>
        <v>#VALUE!</v>
      </c>
    </row>
    <row r="601" spans="1:18">
      <c r="A601" t="e">
        <f>RigheOfferte[[#This Row],[Nprev]]</f>
        <v>#VALUE!</v>
      </c>
      <c r="B601" t="e">
        <f>RigheOfferte[[#This Row],[Nriga]]</f>
        <v>#VALUE!</v>
      </c>
      <c r="C601" t="e">
        <f>RigheOfferte[[#This Row],[Cliente]]</f>
        <v>#VALUE!</v>
      </c>
      <c r="D601" t="e">
        <f>RigheOfferte[[#This Row],[sub_cliente]]</f>
        <v>#VALUE!</v>
      </c>
      <c r="E601" t="e">
        <f>RigheOfferte[[#This Row],[cod.Art.]]</f>
        <v>#VALUE!</v>
      </c>
      <c r="F601" t="e">
        <f>RigheOfferte[[#This Row],[Descrizione]]</f>
        <v>#VALUE!</v>
      </c>
      <c r="G601" t="e">
        <f>RigheOfferte[[#This Row],[Q.ta'']]</f>
        <v>#VALUE!</v>
      </c>
      <c r="H601" t="e">
        <f>RigheOfferte[[#This Row],[Lavorazione]]</f>
        <v>#VALUE!</v>
      </c>
      <c r="I601" t="e">
        <f>RigheOfferte[[#This Row],[Colore]]</f>
        <v>#VALUE!</v>
      </c>
      <c r="J601" t="e">
        <f>RigheOfferte[[#This Row],[Velocità]]</f>
        <v>#VALUE!</v>
      </c>
      <c r="K601" t="e">
        <f>RigheOfferte[[#This Row],[Superf.pz Mq]]</f>
        <v>#VALUE!</v>
      </c>
      <c r="L601" t="e">
        <f>RigheOfferte[[#This Row],[passo]]</f>
        <v>#VALUE!</v>
      </c>
      <c r="M601" t="e">
        <f>RigheOfferte[[#This Row],[nr.pezzi Telaio]]</f>
        <v>#VALUE!</v>
      </c>
      <c r="N601" t="e">
        <f>RigheOfferte[[#This Row],[nr.pezzi ora-unita]]</f>
        <v>#VALUE!</v>
      </c>
      <c r="O601" t="e">
        <f>Tabella1[[#This Row],[superificie]]*Resa</f>
        <v>#VALUE!</v>
      </c>
      <c r="P601" t="e">
        <f>Tabella1[[#This Row],[KgPezzo]]*Tabella1[[#This Row],[q.ta offerta]]</f>
        <v>#VALUE!</v>
      </c>
      <c r="Q601" t="e">
        <f>RigheOfferte[[#This Row],[QtaProtez]]</f>
        <v>#VALUE!</v>
      </c>
      <c r="R601" t="e">
        <f>RigheOfferte[[#This Row],[Tipo Protezione]]</f>
        <v>#VALUE!</v>
      </c>
    </row>
    <row r="602" spans="1:18">
      <c r="A602" t="e">
        <f>RigheOfferte[[#This Row],[Nprev]]</f>
        <v>#VALUE!</v>
      </c>
      <c r="B602" t="e">
        <f>RigheOfferte[[#This Row],[Nriga]]</f>
        <v>#VALUE!</v>
      </c>
      <c r="C602" t="e">
        <f>RigheOfferte[[#This Row],[Cliente]]</f>
        <v>#VALUE!</v>
      </c>
      <c r="D602" t="e">
        <f>RigheOfferte[[#This Row],[sub_cliente]]</f>
        <v>#VALUE!</v>
      </c>
      <c r="E602" t="e">
        <f>RigheOfferte[[#This Row],[cod.Art.]]</f>
        <v>#VALUE!</v>
      </c>
      <c r="F602" t="e">
        <f>RigheOfferte[[#This Row],[Descrizione]]</f>
        <v>#VALUE!</v>
      </c>
      <c r="G602" t="e">
        <f>RigheOfferte[[#This Row],[Q.ta'']]</f>
        <v>#VALUE!</v>
      </c>
      <c r="H602" t="e">
        <f>RigheOfferte[[#This Row],[Lavorazione]]</f>
        <v>#VALUE!</v>
      </c>
      <c r="I602" t="e">
        <f>RigheOfferte[[#This Row],[Colore]]</f>
        <v>#VALUE!</v>
      </c>
      <c r="J602" t="e">
        <f>RigheOfferte[[#This Row],[Velocità]]</f>
        <v>#VALUE!</v>
      </c>
      <c r="K602" t="e">
        <f>RigheOfferte[[#This Row],[Superf.pz Mq]]</f>
        <v>#VALUE!</v>
      </c>
      <c r="L602" t="e">
        <f>RigheOfferte[[#This Row],[passo]]</f>
        <v>#VALUE!</v>
      </c>
      <c r="M602" t="e">
        <f>RigheOfferte[[#This Row],[nr.pezzi Telaio]]</f>
        <v>#VALUE!</v>
      </c>
      <c r="N602" t="e">
        <f>RigheOfferte[[#This Row],[nr.pezzi ora-unita]]</f>
        <v>#VALUE!</v>
      </c>
      <c r="O602" t="e">
        <f>Tabella1[[#This Row],[superificie]]*Resa</f>
        <v>#VALUE!</v>
      </c>
      <c r="P602" t="e">
        <f>Tabella1[[#This Row],[KgPezzo]]*Tabella1[[#This Row],[q.ta offerta]]</f>
        <v>#VALUE!</v>
      </c>
      <c r="Q602" t="e">
        <f>RigheOfferte[[#This Row],[QtaProtez]]</f>
        <v>#VALUE!</v>
      </c>
      <c r="R602" t="e">
        <f>RigheOfferte[[#This Row],[Tipo Protezione]]</f>
        <v>#VALUE!</v>
      </c>
    </row>
    <row r="603" spans="1:18">
      <c r="A603" t="e">
        <f>RigheOfferte[[#This Row],[Nprev]]</f>
        <v>#VALUE!</v>
      </c>
      <c r="B603" t="e">
        <f>RigheOfferte[[#This Row],[Nriga]]</f>
        <v>#VALUE!</v>
      </c>
      <c r="C603" t="e">
        <f>RigheOfferte[[#This Row],[Cliente]]</f>
        <v>#VALUE!</v>
      </c>
      <c r="D603" t="e">
        <f>RigheOfferte[[#This Row],[sub_cliente]]</f>
        <v>#VALUE!</v>
      </c>
      <c r="E603" t="e">
        <f>RigheOfferte[[#This Row],[cod.Art.]]</f>
        <v>#VALUE!</v>
      </c>
      <c r="F603" t="e">
        <f>RigheOfferte[[#This Row],[Descrizione]]</f>
        <v>#VALUE!</v>
      </c>
      <c r="G603" t="e">
        <f>RigheOfferte[[#This Row],[Q.ta'']]</f>
        <v>#VALUE!</v>
      </c>
      <c r="H603" t="e">
        <f>RigheOfferte[[#This Row],[Lavorazione]]</f>
        <v>#VALUE!</v>
      </c>
      <c r="I603" t="e">
        <f>RigheOfferte[[#This Row],[Colore]]</f>
        <v>#VALUE!</v>
      </c>
      <c r="J603" t="e">
        <f>RigheOfferte[[#This Row],[Velocità]]</f>
        <v>#VALUE!</v>
      </c>
      <c r="K603" t="e">
        <f>RigheOfferte[[#This Row],[Superf.pz Mq]]</f>
        <v>#VALUE!</v>
      </c>
      <c r="L603" t="e">
        <f>RigheOfferte[[#This Row],[passo]]</f>
        <v>#VALUE!</v>
      </c>
      <c r="M603" t="e">
        <f>RigheOfferte[[#This Row],[nr.pezzi Telaio]]</f>
        <v>#VALUE!</v>
      </c>
      <c r="N603" t="e">
        <f>RigheOfferte[[#This Row],[nr.pezzi ora-unita]]</f>
        <v>#VALUE!</v>
      </c>
      <c r="O603" t="e">
        <f>Tabella1[[#This Row],[superificie]]*Resa</f>
        <v>#VALUE!</v>
      </c>
      <c r="P603" t="e">
        <f>Tabella1[[#This Row],[KgPezzo]]*Tabella1[[#This Row],[q.ta offerta]]</f>
        <v>#VALUE!</v>
      </c>
      <c r="Q603" t="e">
        <f>RigheOfferte[[#This Row],[QtaProtez]]</f>
        <v>#VALUE!</v>
      </c>
      <c r="R603" t="e">
        <f>RigheOfferte[[#This Row],[Tipo Protezione]]</f>
        <v>#VALUE!</v>
      </c>
    </row>
    <row r="604" spans="1:18">
      <c r="A604" t="e">
        <f>RigheOfferte[[#This Row],[Nprev]]</f>
        <v>#VALUE!</v>
      </c>
      <c r="B604" t="e">
        <f>RigheOfferte[[#This Row],[Nriga]]</f>
        <v>#VALUE!</v>
      </c>
      <c r="C604" t="e">
        <f>RigheOfferte[[#This Row],[Cliente]]</f>
        <v>#VALUE!</v>
      </c>
      <c r="D604" t="e">
        <f>RigheOfferte[[#This Row],[sub_cliente]]</f>
        <v>#VALUE!</v>
      </c>
      <c r="E604" t="e">
        <f>RigheOfferte[[#This Row],[cod.Art.]]</f>
        <v>#VALUE!</v>
      </c>
      <c r="F604" t="e">
        <f>RigheOfferte[[#This Row],[Descrizione]]</f>
        <v>#VALUE!</v>
      </c>
      <c r="G604" t="e">
        <f>RigheOfferte[[#This Row],[Q.ta'']]</f>
        <v>#VALUE!</v>
      </c>
      <c r="H604" t="e">
        <f>RigheOfferte[[#This Row],[Lavorazione]]</f>
        <v>#VALUE!</v>
      </c>
      <c r="I604" t="e">
        <f>RigheOfferte[[#This Row],[Colore]]</f>
        <v>#VALUE!</v>
      </c>
      <c r="J604" t="e">
        <f>RigheOfferte[[#This Row],[Velocità]]</f>
        <v>#VALUE!</v>
      </c>
      <c r="K604" t="e">
        <f>RigheOfferte[[#This Row],[Superf.pz Mq]]</f>
        <v>#VALUE!</v>
      </c>
      <c r="L604" t="e">
        <f>RigheOfferte[[#This Row],[passo]]</f>
        <v>#VALUE!</v>
      </c>
      <c r="M604" t="e">
        <f>RigheOfferte[[#This Row],[nr.pezzi Telaio]]</f>
        <v>#VALUE!</v>
      </c>
      <c r="N604" t="e">
        <f>RigheOfferte[[#This Row],[nr.pezzi ora-unita]]</f>
        <v>#VALUE!</v>
      </c>
      <c r="O604" t="e">
        <f>Tabella1[[#This Row],[superificie]]*Resa</f>
        <v>#VALUE!</v>
      </c>
      <c r="P604" t="e">
        <f>Tabella1[[#This Row],[KgPezzo]]*Tabella1[[#This Row],[q.ta offerta]]</f>
        <v>#VALUE!</v>
      </c>
      <c r="Q604" t="e">
        <f>RigheOfferte[[#This Row],[QtaProtez]]</f>
        <v>#VALUE!</v>
      </c>
      <c r="R604" t="e">
        <f>RigheOfferte[[#This Row],[Tipo Protezione]]</f>
        <v>#VALUE!</v>
      </c>
    </row>
    <row r="605" spans="1:18">
      <c r="A605" t="e">
        <f>RigheOfferte[[#This Row],[Nprev]]</f>
        <v>#VALUE!</v>
      </c>
      <c r="B605" t="e">
        <f>RigheOfferte[[#This Row],[Nriga]]</f>
        <v>#VALUE!</v>
      </c>
      <c r="C605" t="e">
        <f>RigheOfferte[[#This Row],[Cliente]]</f>
        <v>#VALUE!</v>
      </c>
      <c r="D605" t="e">
        <f>RigheOfferte[[#This Row],[sub_cliente]]</f>
        <v>#VALUE!</v>
      </c>
      <c r="E605" t="e">
        <f>RigheOfferte[[#This Row],[cod.Art.]]</f>
        <v>#VALUE!</v>
      </c>
      <c r="F605" t="e">
        <f>RigheOfferte[[#This Row],[Descrizione]]</f>
        <v>#VALUE!</v>
      </c>
      <c r="G605" t="e">
        <f>RigheOfferte[[#This Row],[Q.ta'']]</f>
        <v>#VALUE!</v>
      </c>
      <c r="H605" t="e">
        <f>RigheOfferte[[#This Row],[Lavorazione]]</f>
        <v>#VALUE!</v>
      </c>
      <c r="I605" t="e">
        <f>RigheOfferte[[#This Row],[Colore]]</f>
        <v>#VALUE!</v>
      </c>
      <c r="J605" t="e">
        <f>RigheOfferte[[#This Row],[Velocità]]</f>
        <v>#VALUE!</v>
      </c>
      <c r="K605" t="e">
        <f>RigheOfferte[[#This Row],[Superf.pz Mq]]</f>
        <v>#VALUE!</v>
      </c>
      <c r="L605" t="e">
        <f>RigheOfferte[[#This Row],[passo]]</f>
        <v>#VALUE!</v>
      </c>
      <c r="M605" t="e">
        <f>RigheOfferte[[#This Row],[nr.pezzi Telaio]]</f>
        <v>#VALUE!</v>
      </c>
      <c r="N605" t="e">
        <f>RigheOfferte[[#This Row],[nr.pezzi ora-unita]]</f>
        <v>#VALUE!</v>
      </c>
      <c r="O605" t="e">
        <f>Tabella1[[#This Row],[superificie]]*Resa</f>
        <v>#VALUE!</v>
      </c>
      <c r="P605" t="e">
        <f>Tabella1[[#This Row],[KgPezzo]]*Tabella1[[#This Row],[q.ta offerta]]</f>
        <v>#VALUE!</v>
      </c>
      <c r="Q605" t="e">
        <f>RigheOfferte[[#This Row],[QtaProtez]]</f>
        <v>#VALUE!</v>
      </c>
      <c r="R605" t="e">
        <f>RigheOfferte[[#This Row],[Tipo Protezione]]</f>
        <v>#VALUE!</v>
      </c>
    </row>
    <row r="606" spans="1:18">
      <c r="A606" t="e">
        <f>RigheOfferte[[#This Row],[Nprev]]</f>
        <v>#VALUE!</v>
      </c>
      <c r="B606" t="e">
        <f>RigheOfferte[[#This Row],[Nriga]]</f>
        <v>#VALUE!</v>
      </c>
      <c r="C606" t="e">
        <f>RigheOfferte[[#This Row],[Cliente]]</f>
        <v>#VALUE!</v>
      </c>
      <c r="D606" t="e">
        <f>RigheOfferte[[#This Row],[sub_cliente]]</f>
        <v>#VALUE!</v>
      </c>
      <c r="E606" t="e">
        <f>RigheOfferte[[#This Row],[cod.Art.]]</f>
        <v>#VALUE!</v>
      </c>
      <c r="F606" t="e">
        <f>RigheOfferte[[#This Row],[Descrizione]]</f>
        <v>#VALUE!</v>
      </c>
      <c r="G606" t="e">
        <f>RigheOfferte[[#This Row],[Q.ta'']]</f>
        <v>#VALUE!</v>
      </c>
      <c r="H606" t="e">
        <f>RigheOfferte[[#This Row],[Lavorazione]]</f>
        <v>#VALUE!</v>
      </c>
      <c r="I606" t="e">
        <f>RigheOfferte[[#This Row],[Colore]]</f>
        <v>#VALUE!</v>
      </c>
      <c r="J606" t="e">
        <f>RigheOfferte[[#This Row],[Velocità]]</f>
        <v>#VALUE!</v>
      </c>
      <c r="K606" t="e">
        <f>RigheOfferte[[#This Row],[Superf.pz Mq]]</f>
        <v>#VALUE!</v>
      </c>
      <c r="L606" t="e">
        <f>RigheOfferte[[#This Row],[passo]]</f>
        <v>#VALUE!</v>
      </c>
      <c r="M606" t="e">
        <f>RigheOfferte[[#This Row],[nr.pezzi Telaio]]</f>
        <v>#VALUE!</v>
      </c>
      <c r="N606" t="e">
        <f>RigheOfferte[[#This Row],[nr.pezzi ora-unita]]</f>
        <v>#VALUE!</v>
      </c>
      <c r="O606" t="e">
        <f>Tabella1[[#This Row],[superificie]]*Resa</f>
        <v>#VALUE!</v>
      </c>
      <c r="P606" t="e">
        <f>Tabella1[[#This Row],[KgPezzo]]*Tabella1[[#This Row],[q.ta offerta]]</f>
        <v>#VALUE!</v>
      </c>
      <c r="Q606" t="e">
        <f>RigheOfferte[[#This Row],[QtaProtez]]</f>
        <v>#VALUE!</v>
      </c>
      <c r="R606" t="e">
        <f>RigheOfferte[[#This Row],[Tipo Protezione]]</f>
        <v>#VALUE!</v>
      </c>
    </row>
    <row r="607" spans="1:18">
      <c r="A607" t="e">
        <f>RigheOfferte[[#This Row],[Nprev]]</f>
        <v>#VALUE!</v>
      </c>
      <c r="B607" t="e">
        <f>RigheOfferte[[#This Row],[Nriga]]</f>
        <v>#VALUE!</v>
      </c>
      <c r="C607" t="e">
        <f>RigheOfferte[[#This Row],[Cliente]]</f>
        <v>#VALUE!</v>
      </c>
      <c r="D607" t="e">
        <f>RigheOfferte[[#This Row],[sub_cliente]]</f>
        <v>#VALUE!</v>
      </c>
      <c r="E607" t="e">
        <f>RigheOfferte[[#This Row],[cod.Art.]]</f>
        <v>#VALUE!</v>
      </c>
      <c r="F607" t="e">
        <f>RigheOfferte[[#This Row],[Descrizione]]</f>
        <v>#VALUE!</v>
      </c>
      <c r="G607" t="e">
        <f>RigheOfferte[[#This Row],[Q.ta'']]</f>
        <v>#VALUE!</v>
      </c>
      <c r="H607" t="e">
        <f>RigheOfferte[[#This Row],[Lavorazione]]</f>
        <v>#VALUE!</v>
      </c>
      <c r="I607" t="e">
        <f>RigheOfferte[[#This Row],[Colore]]</f>
        <v>#VALUE!</v>
      </c>
      <c r="J607" t="e">
        <f>RigheOfferte[[#This Row],[Velocità]]</f>
        <v>#VALUE!</v>
      </c>
      <c r="K607" t="e">
        <f>RigheOfferte[[#This Row],[Superf.pz Mq]]</f>
        <v>#VALUE!</v>
      </c>
      <c r="L607" t="e">
        <f>RigheOfferte[[#This Row],[passo]]</f>
        <v>#VALUE!</v>
      </c>
      <c r="M607" t="e">
        <f>RigheOfferte[[#This Row],[nr.pezzi Telaio]]</f>
        <v>#VALUE!</v>
      </c>
      <c r="N607" t="e">
        <f>RigheOfferte[[#This Row],[nr.pezzi ora-unita]]</f>
        <v>#VALUE!</v>
      </c>
      <c r="O607" t="e">
        <f>Tabella1[[#This Row],[superificie]]*Resa</f>
        <v>#VALUE!</v>
      </c>
      <c r="P607" t="e">
        <f>Tabella1[[#This Row],[KgPezzo]]*Tabella1[[#This Row],[q.ta offerta]]</f>
        <v>#VALUE!</v>
      </c>
      <c r="Q607" t="e">
        <f>RigheOfferte[[#This Row],[QtaProtez]]</f>
        <v>#VALUE!</v>
      </c>
      <c r="R607" t="e">
        <f>RigheOfferte[[#This Row],[Tipo Protezione]]</f>
        <v>#VALUE!</v>
      </c>
    </row>
    <row r="608" spans="1:18">
      <c r="A608" t="e">
        <f>RigheOfferte[[#This Row],[Nprev]]</f>
        <v>#VALUE!</v>
      </c>
      <c r="B608" t="e">
        <f>RigheOfferte[[#This Row],[Nriga]]</f>
        <v>#VALUE!</v>
      </c>
      <c r="C608" t="e">
        <f>RigheOfferte[[#This Row],[Cliente]]</f>
        <v>#VALUE!</v>
      </c>
      <c r="D608" t="e">
        <f>RigheOfferte[[#This Row],[sub_cliente]]</f>
        <v>#VALUE!</v>
      </c>
      <c r="E608" t="e">
        <f>RigheOfferte[[#This Row],[cod.Art.]]</f>
        <v>#VALUE!</v>
      </c>
      <c r="F608" t="e">
        <f>RigheOfferte[[#This Row],[Descrizione]]</f>
        <v>#VALUE!</v>
      </c>
      <c r="G608" t="e">
        <f>RigheOfferte[[#This Row],[Q.ta'']]</f>
        <v>#VALUE!</v>
      </c>
      <c r="H608" t="e">
        <f>RigheOfferte[[#This Row],[Lavorazione]]</f>
        <v>#VALUE!</v>
      </c>
      <c r="I608" t="e">
        <f>RigheOfferte[[#This Row],[Colore]]</f>
        <v>#VALUE!</v>
      </c>
      <c r="J608" t="e">
        <f>RigheOfferte[[#This Row],[Velocità]]</f>
        <v>#VALUE!</v>
      </c>
      <c r="K608" t="e">
        <f>RigheOfferte[[#This Row],[Superf.pz Mq]]</f>
        <v>#VALUE!</v>
      </c>
      <c r="L608" t="e">
        <f>RigheOfferte[[#This Row],[passo]]</f>
        <v>#VALUE!</v>
      </c>
      <c r="M608" t="e">
        <f>RigheOfferte[[#This Row],[nr.pezzi Telaio]]</f>
        <v>#VALUE!</v>
      </c>
      <c r="N608" t="e">
        <f>RigheOfferte[[#This Row],[nr.pezzi ora-unita]]</f>
        <v>#VALUE!</v>
      </c>
      <c r="O608" t="e">
        <f>Tabella1[[#This Row],[superificie]]*Resa</f>
        <v>#VALUE!</v>
      </c>
      <c r="P608" t="e">
        <f>Tabella1[[#This Row],[KgPezzo]]*Tabella1[[#This Row],[q.ta offerta]]</f>
        <v>#VALUE!</v>
      </c>
      <c r="Q608" t="e">
        <f>RigheOfferte[[#This Row],[QtaProtez]]</f>
        <v>#VALUE!</v>
      </c>
      <c r="R608" t="e">
        <f>RigheOfferte[[#This Row],[Tipo Protezione]]</f>
        <v>#VALUE!</v>
      </c>
    </row>
    <row r="609" spans="1:18">
      <c r="A609" t="e">
        <f>RigheOfferte[[#This Row],[Nprev]]</f>
        <v>#VALUE!</v>
      </c>
      <c r="B609" t="e">
        <f>RigheOfferte[[#This Row],[Nriga]]</f>
        <v>#VALUE!</v>
      </c>
      <c r="C609" t="e">
        <f>RigheOfferte[[#This Row],[Cliente]]</f>
        <v>#VALUE!</v>
      </c>
      <c r="D609" t="e">
        <f>RigheOfferte[[#This Row],[sub_cliente]]</f>
        <v>#VALUE!</v>
      </c>
      <c r="E609" t="e">
        <f>RigheOfferte[[#This Row],[cod.Art.]]</f>
        <v>#VALUE!</v>
      </c>
      <c r="F609" t="e">
        <f>RigheOfferte[[#This Row],[Descrizione]]</f>
        <v>#VALUE!</v>
      </c>
      <c r="G609" t="e">
        <f>RigheOfferte[[#This Row],[Q.ta'']]</f>
        <v>#VALUE!</v>
      </c>
      <c r="H609" t="e">
        <f>RigheOfferte[[#This Row],[Lavorazione]]</f>
        <v>#VALUE!</v>
      </c>
      <c r="I609" t="e">
        <f>RigheOfferte[[#This Row],[Colore]]</f>
        <v>#VALUE!</v>
      </c>
      <c r="J609" t="e">
        <f>RigheOfferte[[#This Row],[Velocità]]</f>
        <v>#VALUE!</v>
      </c>
      <c r="K609" t="e">
        <f>RigheOfferte[[#This Row],[Superf.pz Mq]]</f>
        <v>#VALUE!</v>
      </c>
      <c r="L609" t="e">
        <f>RigheOfferte[[#This Row],[passo]]</f>
        <v>#VALUE!</v>
      </c>
      <c r="M609" t="e">
        <f>RigheOfferte[[#This Row],[nr.pezzi Telaio]]</f>
        <v>#VALUE!</v>
      </c>
      <c r="N609" t="e">
        <f>RigheOfferte[[#This Row],[nr.pezzi ora-unita]]</f>
        <v>#VALUE!</v>
      </c>
      <c r="O609" t="e">
        <f>Tabella1[[#This Row],[superificie]]*Resa</f>
        <v>#VALUE!</v>
      </c>
      <c r="P609" t="e">
        <f>Tabella1[[#This Row],[KgPezzo]]*Tabella1[[#This Row],[q.ta offerta]]</f>
        <v>#VALUE!</v>
      </c>
      <c r="Q609" t="e">
        <f>RigheOfferte[[#This Row],[QtaProtez]]</f>
        <v>#VALUE!</v>
      </c>
      <c r="R609" t="e">
        <f>RigheOfferte[[#This Row],[Tipo Protezione]]</f>
        <v>#VALUE!</v>
      </c>
    </row>
    <row r="610" spans="1:18">
      <c r="A610" t="e">
        <f>RigheOfferte[[#This Row],[Nprev]]</f>
        <v>#VALUE!</v>
      </c>
      <c r="B610" t="e">
        <f>RigheOfferte[[#This Row],[Nriga]]</f>
        <v>#VALUE!</v>
      </c>
      <c r="C610" t="e">
        <f>RigheOfferte[[#This Row],[Cliente]]</f>
        <v>#VALUE!</v>
      </c>
      <c r="D610" t="e">
        <f>RigheOfferte[[#This Row],[sub_cliente]]</f>
        <v>#VALUE!</v>
      </c>
      <c r="E610" t="e">
        <f>RigheOfferte[[#This Row],[cod.Art.]]</f>
        <v>#VALUE!</v>
      </c>
      <c r="F610" t="e">
        <f>RigheOfferte[[#This Row],[Descrizione]]</f>
        <v>#VALUE!</v>
      </c>
      <c r="G610" t="e">
        <f>RigheOfferte[[#This Row],[Q.ta'']]</f>
        <v>#VALUE!</v>
      </c>
      <c r="H610" t="e">
        <f>RigheOfferte[[#This Row],[Lavorazione]]</f>
        <v>#VALUE!</v>
      </c>
      <c r="I610" t="e">
        <f>RigheOfferte[[#This Row],[Colore]]</f>
        <v>#VALUE!</v>
      </c>
      <c r="J610" t="e">
        <f>RigheOfferte[[#This Row],[Velocità]]</f>
        <v>#VALUE!</v>
      </c>
      <c r="K610" t="e">
        <f>RigheOfferte[[#This Row],[Superf.pz Mq]]</f>
        <v>#VALUE!</v>
      </c>
      <c r="L610" t="e">
        <f>RigheOfferte[[#This Row],[passo]]</f>
        <v>#VALUE!</v>
      </c>
      <c r="M610" t="e">
        <f>RigheOfferte[[#This Row],[nr.pezzi Telaio]]</f>
        <v>#VALUE!</v>
      </c>
      <c r="N610" t="e">
        <f>RigheOfferte[[#This Row],[nr.pezzi ora-unita]]</f>
        <v>#VALUE!</v>
      </c>
      <c r="O610" t="e">
        <f>Tabella1[[#This Row],[superificie]]*Resa</f>
        <v>#VALUE!</v>
      </c>
      <c r="P610" t="e">
        <f>Tabella1[[#This Row],[KgPezzo]]*Tabella1[[#This Row],[q.ta offerta]]</f>
        <v>#VALUE!</v>
      </c>
      <c r="Q610" t="e">
        <f>RigheOfferte[[#This Row],[QtaProtez]]</f>
        <v>#VALUE!</v>
      </c>
      <c r="R610" t="e">
        <f>RigheOfferte[[#This Row],[Tipo Protezione]]</f>
        <v>#VALUE!</v>
      </c>
    </row>
    <row r="611" spans="1:18">
      <c r="A611" t="e">
        <f>RigheOfferte[[#This Row],[Nprev]]</f>
        <v>#VALUE!</v>
      </c>
      <c r="B611" t="e">
        <f>RigheOfferte[[#This Row],[Nriga]]</f>
        <v>#VALUE!</v>
      </c>
      <c r="C611" t="e">
        <f>RigheOfferte[[#This Row],[Cliente]]</f>
        <v>#VALUE!</v>
      </c>
      <c r="D611" t="e">
        <f>RigheOfferte[[#This Row],[sub_cliente]]</f>
        <v>#VALUE!</v>
      </c>
      <c r="E611" t="e">
        <f>RigheOfferte[[#This Row],[cod.Art.]]</f>
        <v>#VALUE!</v>
      </c>
      <c r="F611" t="e">
        <f>RigheOfferte[[#This Row],[Descrizione]]</f>
        <v>#VALUE!</v>
      </c>
      <c r="G611" t="e">
        <f>RigheOfferte[[#This Row],[Q.ta'']]</f>
        <v>#VALUE!</v>
      </c>
      <c r="H611" t="e">
        <f>RigheOfferte[[#This Row],[Lavorazione]]</f>
        <v>#VALUE!</v>
      </c>
      <c r="I611" t="e">
        <f>RigheOfferte[[#This Row],[Colore]]</f>
        <v>#VALUE!</v>
      </c>
      <c r="J611" t="e">
        <f>RigheOfferte[[#This Row],[Velocità]]</f>
        <v>#VALUE!</v>
      </c>
      <c r="K611" t="e">
        <f>RigheOfferte[[#This Row],[Superf.pz Mq]]</f>
        <v>#VALUE!</v>
      </c>
      <c r="L611" t="e">
        <f>RigheOfferte[[#This Row],[passo]]</f>
        <v>#VALUE!</v>
      </c>
      <c r="M611" t="e">
        <f>RigheOfferte[[#This Row],[nr.pezzi Telaio]]</f>
        <v>#VALUE!</v>
      </c>
      <c r="N611" t="e">
        <f>RigheOfferte[[#This Row],[nr.pezzi ora-unita]]</f>
        <v>#VALUE!</v>
      </c>
      <c r="O611" t="e">
        <f>Tabella1[[#This Row],[superificie]]*Resa</f>
        <v>#VALUE!</v>
      </c>
      <c r="P611" t="e">
        <f>Tabella1[[#This Row],[KgPezzo]]*Tabella1[[#This Row],[q.ta offerta]]</f>
        <v>#VALUE!</v>
      </c>
      <c r="Q611" t="e">
        <f>RigheOfferte[[#This Row],[QtaProtez]]</f>
        <v>#VALUE!</v>
      </c>
      <c r="R611" t="e">
        <f>RigheOfferte[[#This Row],[Tipo Protezione]]</f>
        <v>#VALUE!</v>
      </c>
    </row>
    <row r="612" spans="1:18">
      <c r="A612" t="e">
        <f>RigheOfferte[[#This Row],[Nprev]]</f>
        <v>#VALUE!</v>
      </c>
      <c r="B612" t="e">
        <f>RigheOfferte[[#This Row],[Nriga]]</f>
        <v>#VALUE!</v>
      </c>
      <c r="C612" t="e">
        <f>RigheOfferte[[#This Row],[Cliente]]</f>
        <v>#VALUE!</v>
      </c>
      <c r="D612" t="e">
        <f>RigheOfferte[[#This Row],[sub_cliente]]</f>
        <v>#VALUE!</v>
      </c>
      <c r="E612" t="e">
        <f>RigheOfferte[[#This Row],[cod.Art.]]</f>
        <v>#VALUE!</v>
      </c>
      <c r="F612" t="e">
        <f>RigheOfferte[[#This Row],[Descrizione]]</f>
        <v>#VALUE!</v>
      </c>
      <c r="G612" t="e">
        <f>RigheOfferte[[#This Row],[Q.ta'']]</f>
        <v>#VALUE!</v>
      </c>
      <c r="H612" t="e">
        <f>RigheOfferte[[#This Row],[Lavorazione]]</f>
        <v>#VALUE!</v>
      </c>
      <c r="I612" t="e">
        <f>RigheOfferte[[#This Row],[Colore]]</f>
        <v>#VALUE!</v>
      </c>
      <c r="J612" t="e">
        <f>RigheOfferte[[#This Row],[Velocità]]</f>
        <v>#VALUE!</v>
      </c>
      <c r="K612" t="e">
        <f>RigheOfferte[[#This Row],[Superf.pz Mq]]</f>
        <v>#VALUE!</v>
      </c>
      <c r="L612" t="e">
        <f>RigheOfferte[[#This Row],[passo]]</f>
        <v>#VALUE!</v>
      </c>
      <c r="M612" t="e">
        <f>RigheOfferte[[#This Row],[nr.pezzi Telaio]]</f>
        <v>#VALUE!</v>
      </c>
      <c r="N612" t="e">
        <f>RigheOfferte[[#This Row],[nr.pezzi ora-unita]]</f>
        <v>#VALUE!</v>
      </c>
      <c r="O612" t="e">
        <f>Tabella1[[#This Row],[superificie]]*Resa</f>
        <v>#VALUE!</v>
      </c>
      <c r="P612" t="e">
        <f>Tabella1[[#This Row],[KgPezzo]]*Tabella1[[#This Row],[q.ta offerta]]</f>
        <v>#VALUE!</v>
      </c>
      <c r="Q612" t="e">
        <f>RigheOfferte[[#This Row],[QtaProtez]]</f>
        <v>#VALUE!</v>
      </c>
      <c r="R612" t="e">
        <f>RigheOfferte[[#This Row],[Tipo Protezione]]</f>
        <v>#VALUE!</v>
      </c>
    </row>
    <row r="613" spans="1:18">
      <c r="A613" t="e">
        <f>RigheOfferte[[#This Row],[Nprev]]</f>
        <v>#VALUE!</v>
      </c>
      <c r="B613" t="e">
        <f>RigheOfferte[[#This Row],[Nriga]]</f>
        <v>#VALUE!</v>
      </c>
      <c r="C613" t="e">
        <f>RigheOfferte[[#This Row],[Cliente]]</f>
        <v>#VALUE!</v>
      </c>
      <c r="D613" t="e">
        <f>RigheOfferte[[#This Row],[sub_cliente]]</f>
        <v>#VALUE!</v>
      </c>
      <c r="E613" t="e">
        <f>RigheOfferte[[#This Row],[cod.Art.]]</f>
        <v>#VALUE!</v>
      </c>
      <c r="F613" t="e">
        <f>RigheOfferte[[#This Row],[Descrizione]]</f>
        <v>#VALUE!</v>
      </c>
      <c r="G613" t="e">
        <f>RigheOfferte[[#This Row],[Q.ta'']]</f>
        <v>#VALUE!</v>
      </c>
      <c r="H613" t="e">
        <f>RigheOfferte[[#This Row],[Lavorazione]]</f>
        <v>#VALUE!</v>
      </c>
      <c r="I613" t="e">
        <f>RigheOfferte[[#This Row],[Colore]]</f>
        <v>#VALUE!</v>
      </c>
      <c r="J613" t="e">
        <f>RigheOfferte[[#This Row],[Velocità]]</f>
        <v>#VALUE!</v>
      </c>
      <c r="K613" t="e">
        <f>RigheOfferte[[#This Row],[Superf.pz Mq]]</f>
        <v>#VALUE!</v>
      </c>
      <c r="L613" t="e">
        <f>RigheOfferte[[#This Row],[passo]]</f>
        <v>#VALUE!</v>
      </c>
      <c r="M613" t="e">
        <f>RigheOfferte[[#This Row],[nr.pezzi Telaio]]</f>
        <v>#VALUE!</v>
      </c>
      <c r="N613" t="e">
        <f>RigheOfferte[[#This Row],[nr.pezzi ora-unita]]</f>
        <v>#VALUE!</v>
      </c>
      <c r="O613" t="e">
        <f>Tabella1[[#This Row],[superificie]]*Resa</f>
        <v>#VALUE!</v>
      </c>
      <c r="P613" t="e">
        <f>Tabella1[[#This Row],[KgPezzo]]*Tabella1[[#This Row],[q.ta offerta]]</f>
        <v>#VALUE!</v>
      </c>
      <c r="Q613" t="e">
        <f>RigheOfferte[[#This Row],[QtaProtez]]</f>
        <v>#VALUE!</v>
      </c>
      <c r="R613" t="e">
        <f>RigheOfferte[[#This Row],[Tipo Protezione]]</f>
        <v>#VALUE!</v>
      </c>
    </row>
    <row r="614" spans="1:18">
      <c r="A614" t="e">
        <f>RigheOfferte[[#This Row],[Nprev]]</f>
        <v>#VALUE!</v>
      </c>
      <c r="B614" t="e">
        <f>RigheOfferte[[#This Row],[Nriga]]</f>
        <v>#VALUE!</v>
      </c>
      <c r="C614" t="e">
        <f>RigheOfferte[[#This Row],[Cliente]]</f>
        <v>#VALUE!</v>
      </c>
      <c r="D614" t="e">
        <f>RigheOfferte[[#This Row],[sub_cliente]]</f>
        <v>#VALUE!</v>
      </c>
      <c r="E614" t="e">
        <f>RigheOfferte[[#This Row],[cod.Art.]]</f>
        <v>#VALUE!</v>
      </c>
      <c r="F614" t="e">
        <f>RigheOfferte[[#This Row],[Descrizione]]</f>
        <v>#VALUE!</v>
      </c>
      <c r="G614" t="e">
        <f>RigheOfferte[[#This Row],[Q.ta'']]</f>
        <v>#VALUE!</v>
      </c>
      <c r="H614" t="e">
        <f>RigheOfferte[[#This Row],[Lavorazione]]</f>
        <v>#VALUE!</v>
      </c>
      <c r="I614" t="e">
        <f>RigheOfferte[[#This Row],[Colore]]</f>
        <v>#VALUE!</v>
      </c>
      <c r="J614" t="e">
        <f>RigheOfferte[[#This Row],[Velocità]]</f>
        <v>#VALUE!</v>
      </c>
      <c r="K614" t="e">
        <f>RigheOfferte[[#This Row],[Superf.pz Mq]]</f>
        <v>#VALUE!</v>
      </c>
      <c r="L614" t="e">
        <f>RigheOfferte[[#This Row],[passo]]</f>
        <v>#VALUE!</v>
      </c>
      <c r="M614" t="e">
        <f>RigheOfferte[[#This Row],[nr.pezzi Telaio]]</f>
        <v>#VALUE!</v>
      </c>
      <c r="N614" t="e">
        <f>RigheOfferte[[#This Row],[nr.pezzi ora-unita]]</f>
        <v>#VALUE!</v>
      </c>
      <c r="O614" t="e">
        <f>Tabella1[[#This Row],[superificie]]*Resa</f>
        <v>#VALUE!</v>
      </c>
      <c r="P614" t="e">
        <f>Tabella1[[#This Row],[KgPezzo]]*Tabella1[[#This Row],[q.ta offerta]]</f>
        <v>#VALUE!</v>
      </c>
      <c r="Q614" t="e">
        <f>RigheOfferte[[#This Row],[QtaProtez]]</f>
        <v>#VALUE!</v>
      </c>
      <c r="R614" t="e">
        <f>RigheOfferte[[#This Row],[Tipo Protezione]]</f>
        <v>#VALUE!</v>
      </c>
    </row>
    <row r="615" spans="1:18">
      <c r="A615" t="e">
        <f>RigheOfferte[[#This Row],[Nprev]]</f>
        <v>#VALUE!</v>
      </c>
      <c r="B615" t="e">
        <f>RigheOfferte[[#This Row],[Nriga]]</f>
        <v>#VALUE!</v>
      </c>
      <c r="C615" t="e">
        <f>RigheOfferte[[#This Row],[Cliente]]</f>
        <v>#VALUE!</v>
      </c>
      <c r="D615" t="e">
        <f>RigheOfferte[[#This Row],[sub_cliente]]</f>
        <v>#VALUE!</v>
      </c>
      <c r="E615" t="e">
        <f>RigheOfferte[[#This Row],[cod.Art.]]</f>
        <v>#VALUE!</v>
      </c>
      <c r="F615" t="e">
        <f>RigheOfferte[[#This Row],[Descrizione]]</f>
        <v>#VALUE!</v>
      </c>
      <c r="G615" t="e">
        <f>RigheOfferte[[#This Row],[Q.ta'']]</f>
        <v>#VALUE!</v>
      </c>
      <c r="H615" t="e">
        <f>RigheOfferte[[#This Row],[Lavorazione]]</f>
        <v>#VALUE!</v>
      </c>
      <c r="I615" t="e">
        <f>RigheOfferte[[#This Row],[Colore]]</f>
        <v>#VALUE!</v>
      </c>
      <c r="J615" t="e">
        <f>RigheOfferte[[#This Row],[Velocità]]</f>
        <v>#VALUE!</v>
      </c>
      <c r="K615" t="e">
        <f>RigheOfferte[[#This Row],[Superf.pz Mq]]</f>
        <v>#VALUE!</v>
      </c>
      <c r="L615" t="e">
        <f>RigheOfferte[[#This Row],[passo]]</f>
        <v>#VALUE!</v>
      </c>
      <c r="M615" t="e">
        <f>RigheOfferte[[#This Row],[nr.pezzi Telaio]]</f>
        <v>#VALUE!</v>
      </c>
      <c r="N615" t="e">
        <f>RigheOfferte[[#This Row],[nr.pezzi ora-unita]]</f>
        <v>#VALUE!</v>
      </c>
      <c r="O615" t="e">
        <f>Tabella1[[#This Row],[superificie]]*Resa</f>
        <v>#VALUE!</v>
      </c>
      <c r="P615" t="e">
        <f>Tabella1[[#This Row],[KgPezzo]]*Tabella1[[#This Row],[q.ta offerta]]</f>
        <v>#VALUE!</v>
      </c>
      <c r="Q615" t="e">
        <f>RigheOfferte[[#This Row],[QtaProtez]]</f>
        <v>#VALUE!</v>
      </c>
      <c r="R615" t="e">
        <f>RigheOfferte[[#This Row],[Tipo Protezione]]</f>
        <v>#VALUE!</v>
      </c>
    </row>
    <row r="616" spans="1:18">
      <c r="A616" t="e">
        <f>RigheOfferte[[#This Row],[Nprev]]</f>
        <v>#VALUE!</v>
      </c>
      <c r="B616" t="e">
        <f>RigheOfferte[[#This Row],[Nriga]]</f>
        <v>#VALUE!</v>
      </c>
      <c r="C616" t="e">
        <f>RigheOfferte[[#This Row],[Cliente]]</f>
        <v>#VALUE!</v>
      </c>
      <c r="D616" t="e">
        <f>RigheOfferte[[#This Row],[sub_cliente]]</f>
        <v>#VALUE!</v>
      </c>
      <c r="E616" t="e">
        <f>RigheOfferte[[#This Row],[cod.Art.]]</f>
        <v>#VALUE!</v>
      </c>
      <c r="F616" t="e">
        <f>RigheOfferte[[#This Row],[Descrizione]]</f>
        <v>#VALUE!</v>
      </c>
      <c r="G616" t="e">
        <f>RigheOfferte[[#This Row],[Q.ta'']]</f>
        <v>#VALUE!</v>
      </c>
      <c r="H616" t="e">
        <f>RigheOfferte[[#This Row],[Lavorazione]]</f>
        <v>#VALUE!</v>
      </c>
      <c r="I616" t="e">
        <f>RigheOfferte[[#This Row],[Colore]]</f>
        <v>#VALUE!</v>
      </c>
      <c r="J616" t="e">
        <f>RigheOfferte[[#This Row],[Velocità]]</f>
        <v>#VALUE!</v>
      </c>
      <c r="K616" t="e">
        <f>RigheOfferte[[#This Row],[Superf.pz Mq]]</f>
        <v>#VALUE!</v>
      </c>
      <c r="L616" t="e">
        <f>RigheOfferte[[#This Row],[passo]]</f>
        <v>#VALUE!</v>
      </c>
      <c r="M616" t="e">
        <f>RigheOfferte[[#This Row],[nr.pezzi Telaio]]</f>
        <v>#VALUE!</v>
      </c>
      <c r="N616" t="e">
        <f>RigheOfferte[[#This Row],[nr.pezzi ora-unita]]</f>
        <v>#VALUE!</v>
      </c>
      <c r="O616" t="e">
        <f>Tabella1[[#This Row],[superificie]]*Resa</f>
        <v>#VALUE!</v>
      </c>
      <c r="P616" t="e">
        <f>Tabella1[[#This Row],[KgPezzo]]*Tabella1[[#This Row],[q.ta offerta]]</f>
        <v>#VALUE!</v>
      </c>
      <c r="Q616" t="e">
        <f>RigheOfferte[[#This Row],[QtaProtez]]</f>
        <v>#VALUE!</v>
      </c>
      <c r="R616" t="e">
        <f>RigheOfferte[[#This Row],[Tipo Protezione]]</f>
        <v>#VALUE!</v>
      </c>
    </row>
    <row r="617" spans="1:18">
      <c r="A617" t="e">
        <f>RigheOfferte[[#This Row],[Nprev]]</f>
        <v>#VALUE!</v>
      </c>
      <c r="B617" t="e">
        <f>RigheOfferte[[#This Row],[Nriga]]</f>
        <v>#VALUE!</v>
      </c>
      <c r="C617" t="e">
        <f>RigheOfferte[[#This Row],[Cliente]]</f>
        <v>#VALUE!</v>
      </c>
      <c r="D617" t="e">
        <f>RigheOfferte[[#This Row],[sub_cliente]]</f>
        <v>#VALUE!</v>
      </c>
      <c r="E617" t="e">
        <f>RigheOfferte[[#This Row],[cod.Art.]]</f>
        <v>#VALUE!</v>
      </c>
      <c r="F617" t="e">
        <f>RigheOfferte[[#This Row],[Descrizione]]</f>
        <v>#VALUE!</v>
      </c>
      <c r="G617" t="e">
        <f>RigheOfferte[[#This Row],[Q.ta'']]</f>
        <v>#VALUE!</v>
      </c>
      <c r="H617" t="e">
        <f>RigheOfferte[[#This Row],[Lavorazione]]</f>
        <v>#VALUE!</v>
      </c>
      <c r="I617" t="e">
        <f>RigheOfferte[[#This Row],[Colore]]</f>
        <v>#VALUE!</v>
      </c>
      <c r="J617" t="e">
        <f>RigheOfferte[[#This Row],[Velocità]]</f>
        <v>#VALUE!</v>
      </c>
      <c r="K617" t="e">
        <f>RigheOfferte[[#This Row],[Superf.pz Mq]]</f>
        <v>#VALUE!</v>
      </c>
      <c r="L617" t="e">
        <f>RigheOfferte[[#This Row],[passo]]</f>
        <v>#VALUE!</v>
      </c>
      <c r="M617" t="e">
        <f>RigheOfferte[[#This Row],[nr.pezzi Telaio]]</f>
        <v>#VALUE!</v>
      </c>
      <c r="N617" t="e">
        <f>RigheOfferte[[#This Row],[nr.pezzi ora-unita]]</f>
        <v>#VALUE!</v>
      </c>
      <c r="O617" t="e">
        <f>Tabella1[[#This Row],[superificie]]*Resa</f>
        <v>#VALUE!</v>
      </c>
      <c r="P617" t="e">
        <f>Tabella1[[#This Row],[KgPezzo]]*Tabella1[[#This Row],[q.ta offerta]]</f>
        <v>#VALUE!</v>
      </c>
      <c r="Q617" t="e">
        <f>RigheOfferte[[#This Row],[QtaProtez]]</f>
        <v>#VALUE!</v>
      </c>
      <c r="R617" t="e">
        <f>RigheOfferte[[#This Row],[Tipo Protezione]]</f>
        <v>#VALUE!</v>
      </c>
    </row>
    <row r="618" spans="1:18">
      <c r="A618" t="e">
        <f>RigheOfferte[[#This Row],[Nprev]]</f>
        <v>#VALUE!</v>
      </c>
      <c r="B618" t="e">
        <f>RigheOfferte[[#This Row],[Nriga]]</f>
        <v>#VALUE!</v>
      </c>
      <c r="C618" t="e">
        <f>RigheOfferte[[#This Row],[Cliente]]</f>
        <v>#VALUE!</v>
      </c>
      <c r="D618" t="e">
        <f>RigheOfferte[[#This Row],[sub_cliente]]</f>
        <v>#VALUE!</v>
      </c>
      <c r="E618" t="e">
        <f>RigheOfferte[[#This Row],[cod.Art.]]</f>
        <v>#VALUE!</v>
      </c>
      <c r="F618" t="e">
        <f>RigheOfferte[[#This Row],[Descrizione]]</f>
        <v>#VALUE!</v>
      </c>
      <c r="G618" t="e">
        <f>RigheOfferte[[#This Row],[Q.ta'']]</f>
        <v>#VALUE!</v>
      </c>
      <c r="H618" t="e">
        <f>RigheOfferte[[#This Row],[Lavorazione]]</f>
        <v>#VALUE!</v>
      </c>
      <c r="I618" t="e">
        <f>RigheOfferte[[#This Row],[Colore]]</f>
        <v>#VALUE!</v>
      </c>
      <c r="J618" t="e">
        <f>RigheOfferte[[#This Row],[Velocità]]</f>
        <v>#VALUE!</v>
      </c>
      <c r="K618" t="e">
        <f>RigheOfferte[[#This Row],[Superf.pz Mq]]</f>
        <v>#VALUE!</v>
      </c>
      <c r="L618" t="e">
        <f>RigheOfferte[[#This Row],[passo]]</f>
        <v>#VALUE!</v>
      </c>
      <c r="M618" t="e">
        <f>RigheOfferte[[#This Row],[nr.pezzi Telaio]]</f>
        <v>#VALUE!</v>
      </c>
      <c r="N618" t="e">
        <f>RigheOfferte[[#This Row],[nr.pezzi ora-unita]]</f>
        <v>#VALUE!</v>
      </c>
      <c r="O618" t="e">
        <f>Tabella1[[#This Row],[superificie]]*Resa</f>
        <v>#VALUE!</v>
      </c>
      <c r="P618" t="e">
        <f>Tabella1[[#This Row],[KgPezzo]]*Tabella1[[#This Row],[q.ta offerta]]</f>
        <v>#VALUE!</v>
      </c>
      <c r="Q618" t="e">
        <f>RigheOfferte[[#This Row],[QtaProtez]]</f>
        <v>#VALUE!</v>
      </c>
      <c r="R618" t="e">
        <f>RigheOfferte[[#This Row],[Tipo Protezione]]</f>
        <v>#VALUE!</v>
      </c>
    </row>
    <row r="619" spans="1:18">
      <c r="A619" t="e">
        <f>RigheOfferte[[#This Row],[Nprev]]</f>
        <v>#VALUE!</v>
      </c>
      <c r="B619" t="e">
        <f>RigheOfferte[[#This Row],[Nriga]]</f>
        <v>#VALUE!</v>
      </c>
      <c r="C619" t="e">
        <f>RigheOfferte[[#This Row],[Cliente]]</f>
        <v>#VALUE!</v>
      </c>
      <c r="D619" t="e">
        <f>RigheOfferte[[#This Row],[sub_cliente]]</f>
        <v>#VALUE!</v>
      </c>
      <c r="E619" t="e">
        <f>RigheOfferte[[#This Row],[cod.Art.]]</f>
        <v>#VALUE!</v>
      </c>
      <c r="F619" t="e">
        <f>RigheOfferte[[#This Row],[Descrizione]]</f>
        <v>#VALUE!</v>
      </c>
      <c r="G619" t="e">
        <f>RigheOfferte[[#This Row],[Q.ta'']]</f>
        <v>#VALUE!</v>
      </c>
      <c r="H619" t="e">
        <f>RigheOfferte[[#This Row],[Lavorazione]]</f>
        <v>#VALUE!</v>
      </c>
      <c r="I619" t="e">
        <f>RigheOfferte[[#This Row],[Colore]]</f>
        <v>#VALUE!</v>
      </c>
      <c r="J619" t="e">
        <f>RigheOfferte[[#This Row],[Velocità]]</f>
        <v>#VALUE!</v>
      </c>
      <c r="K619" t="e">
        <f>RigheOfferte[[#This Row],[Superf.pz Mq]]</f>
        <v>#VALUE!</v>
      </c>
      <c r="L619" t="e">
        <f>RigheOfferte[[#This Row],[passo]]</f>
        <v>#VALUE!</v>
      </c>
      <c r="M619" t="e">
        <f>RigheOfferte[[#This Row],[nr.pezzi Telaio]]</f>
        <v>#VALUE!</v>
      </c>
      <c r="N619" t="e">
        <f>RigheOfferte[[#This Row],[nr.pezzi ora-unita]]</f>
        <v>#VALUE!</v>
      </c>
      <c r="O619" t="e">
        <f>Tabella1[[#This Row],[superificie]]*Resa</f>
        <v>#VALUE!</v>
      </c>
      <c r="P619" t="e">
        <f>Tabella1[[#This Row],[KgPezzo]]*Tabella1[[#This Row],[q.ta offerta]]</f>
        <v>#VALUE!</v>
      </c>
      <c r="Q619" t="e">
        <f>RigheOfferte[[#This Row],[QtaProtez]]</f>
        <v>#VALUE!</v>
      </c>
      <c r="R619" t="e">
        <f>RigheOfferte[[#This Row],[Tipo Protezione]]</f>
        <v>#VALUE!</v>
      </c>
    </row>
    <row r="620" spans="1:18">
      <c r="A620" t="e">
        <f>RigheOfferte[[#This Row],[Nprev]]</f>
        <v>#VALUE!</v>
      </c>
      <c r="B620" t="e">
        <f>RigheOfferte[[#This Row],[Nriga]]</f>
        <v>#VALUE!</v>
      </c>
      <c r="C620" t="e">
        <f>RigheOfferte[[#This Row],[Cliente]]</f>
        <v>#VALUE!</v>
      </c>
      <c r="D620" t="e">
        <f>RigheOfferte[[#This Row],[sub_cliente]]</f>
        <v>#VALUE!</v>
      </c>
      <c r="E620" t="e">
        <f>RigheOfferte[[#This Row],[cod.Art.]]</f>
        <v>#VALUE!</v>
      </c>
      <c r="F620" t="e">
        <f>RigheOfferte[[#This Row],[Descrizione]]</f>
        <v>#VALUE!</v>
      </c>
      <c r="G620" t="e">
        <f>RigheOfferte[[#This Row],[Q.ta'']]</f>
        <v>#VALUE!</v>
      </c>
      <c r="H620" t="e">
        <f>RigheOfferte[[#This Row],[Lavorazione]]</f>
        <v>#VALUE!</v>
      </c>
      <c r="I620" t="e">
        <f>RigheOfferte[[#This Row],[Colore]]</f>
        <v>#VALUE!</v>
      </c>
      <c r="J620" t="e">
        <f>RigheOfferte[[#This Row],[Velocità]]</f>
        <v>#VALUE!</v>
      </c>
      <c r="K620" t="e">
        <f>RigheOfferte[[#This Row],[Superf.pz Mq]]</f>
        <v>#VALUE!</v>
      </c>
      <c r="L620" t="e">
        <f>RigheOfferte[[#This Row],[passo]]</f>
        <v>#VALUE!</v>
      </c>
      <c r="M620" t="e">
        <f>RigheOfferte[[#This Row],[nr.pezzi Telaio]]</f>
        <v>#VALUE!</v>
      </c>
      <c r="N620" t="e">
        <f>RigheOfferte[[#This Row],[nr.pezzi ora-unita]]</f>
        <v>#VALUE!</v>
      </c>
      <c r="O620" t="e">
        <f>Tabella1[[#This Row],[superificie]]*Resa</f>
        <v>#VALUE!</v>
      </c>
      <c r="P620" t="e">
        <f>Tabella1[[#This Row],[KgPezzo]]*Tabella1[[#This Row],[q.ta offerta]]</f>
        <v>#VALUE!</v>
      </c>
      <c r="Q620" t="e">
        <f>RigheOfferte[[#This Row],[QtaProtez]]</f>
        <v>#VALUE!</v>
      </c>
      <c r="R620" t="e">
        <f>RigheOfferte[[#This Row],[Tipo Protezione]]</f>
        <v>#VALUE!</v>
      </c>
    </row>
    <row r="621" spans="1:18">
      <c r="A621" t="e">
        <f>RigheOfferte[[#This Row],[Nprev]]</f>
        <v>#VALUE!</v>
      </c>
      <c r="B621" t="e">
        <f>RigheOfferte[[#This Row],[Nriga]]</f>
        <v>#VALUE!</v>
      </c>
      <c r="C621" t="e">
        <f>RigheOfferte[[#This Row],[Cliente]]</f>
        <v>#VALUE!</v>
      </c>
      <c r="D621" t="e">
        <f>RigheOfferte[[#This Row],[sub_cliente]]</f>
        <v>#VALUE!</v>
      </c>
      <c r="E621" t="e">
        <f>RigheOfferte[[#This Row],[cod.Art.]]</f>
        <v>#VALUE!</v>
      </c>
      <c r="F621" t="e">
        <f>RigheOfferte[[#This Row],[Descrizione]]</f>
        <v>#VALUE!</v>
      </c>
      <c r="G621" t="e">
        <f>RigheOfferte[[#This Row],[Q.ta'']]</f>
        <v>#VALUE!</v>
      </c>
      <c r="H621" t="e">
        <f>RigheOfferte[[#This Row],[Lavorazione]]</f>
        <v>#VALUE!</v>
      </c>
      <c r="I621" t="e">
        <f>RigheOfferte[[#This Row],[Colore]]</f>
        <v>#VALUE!</v>
      </c>
      <c r="J621" t="e">
        <f>RigheOfferte[[#This Row],[Velocità]]</f>
        <v>#VALUE!</v>
      </c>
      <c r="K621" t="e">
        <f>RigheOfferte[[#This Row],[Superf.pz Mq]]</f>
        <v>#VALUE!</v>
      </c>
      <c r="L621" t="e">
        <f>RigheOfferte[[#This Row],[passo]]</f>
        <v>#VALUE!</v>
      </c>
      <c r="M621" t="e">
        <f>RigheOfferte[[#This Row],[nr.pezzi Telaio]]</f>
        <v>#VALUE!</v>
      </c>
      <c r="N621" t="e">
        <f>RigheOfferte[[#This Row],[nr.pezzi ora-unita]]</f>
        <v>#VALUE!</v>
      </c>
      <c r="O621" t="e">
        <f>Tabella1[[#This Row],[superificie]]*Resa</f>
        <v>#VALUE!</v>
      </c>
      <c r="P621" t="e">
        <f>Tabella1[[#This Row],[KgPezzo]]*Tabella1[[#This Row],[q.ta offerta]]</f>
        <v>#VALUE!</v>
      </c>
      <c r="Q621" t="e">
        <f>RigheOfferte[[#This Row],[QtaProtez]]</f>
        <v>#VALUE!</v>
      </c>
      <c r="R621" t="e">
        <f>RigheOfferte[[#This Row],[Tipo Protezione]]</f>
        <v>#VALUE!</v>
      </c>
    </row>
    <row r="622" spans="1:18">
      <c r="A622" t="e">
        <f>RigheOfferte[[#This Row],[Nprev]]</f>
        <v>#VALUE!</v>
      </c>
      <c r="B622" t="e">
        <f>RigheOfferte[[#This Row],[Nriga]]</f>
        <v>#VALUE!</v>
      </c>
      <c r="C622" t="e">
        <f>RigheOfferte[[#This Row],[Cliente]]</f>
        <v>#VALUE!</v>
      </c>
      <c r="D622" t="e">
        <f>RigheOfferte[[#This Row],[sub_cliente]]</f>
        <v>#VALUE!</v>
      </c>
      <c r="E622" t="e">
        <f>RigheOfferte[[#This Row],[cod.Art.]]</f>
        <v>#VALUE!</v>
      </c>
      <c r="F622" t="e">
        <f>RigheOfferte[[#This Row],[Descrizione]]</f>
        <v>#VALUE!</v>
      </c>
      <c r="G622" t="e">
        <f>RigheOfferte[[#This Row],[Q.ta'']]</f>
        <v>#VALUE!</v>
      </c>
      <c r="H622" t="e">
        <f>RigheOfferte[[#This Row],[Lavorazione]]</f>
        <v>#VALUE!</v>
      </c>
      <c r="I622" t="e">
        <f>RigheOfferte[[#This Row],[Colore]]</f>
        <v>#VALUE!</v>
      </c>
      <c r="J622" t="e">
        <f>RigheOfferte[[#This Row],[Velocità]]</f>
        <v>#VALUE!</v>
      </c>
      <c r="K622" t="e">
        <f>RigheOfferte[[#This Row],[Superf.pz Mq]]</f>
        <v>#VALUE!</v>
      </c>
      <c r="L622" t="e">
        <f>RigheOfferte[[#This Row],[passo]]</f>
        <v>#VALUE!</v>
      </c>
      <c r="M622" t="e">
        <f>RigheOfferte[[#This Row],[nr.pezzi Telaio]]</f>
        <v>#VALUE!</v>
      </c>
      <c r="N622" t="e">
        <f>RigheOfferte[[#This Row],[nr.pezzi ora-unita]]</f>
        <v>#VALUE!</v>
      </c>
      <c r="O622" t="e">
        <f>Tabella1[[#This Row],[superificie]]*Resa</f>
        <v>#VALUE!</v>
      </c>
      <c r="P622" t="e">
        <f>Tabella1[[#This Row],[KgPezzo]]*Tabella1[[#This Row],[q.ta offerta]]</f>
        <v>#VALUE!</v>
      </c>
      <c r="Q622" t="e">
        <f>RigheOfferte[[#This Row],[QtaProtez]]</f>
        <v>#VALUE!</v>
      </c>
      <c r="R622" t="e">
        <f>RigheOfferte[[#This Row],[Tipo Protezione]]</f>
        <v>#VALUE!</v>
      </c>
    </row>
    <row r="623" spans="1:18">
      <c r="A623" t="e">
        <f>RigheOfferte[[#This Row],[Nprev]]</f>
        <v>#VALUE!</v>
      </c>
      <c r="B623" t="e">
        <f>RigheOfferte[[#This Row],[Nriga]]</f>
        <v>#VALUE!</v>
      </c>
      <c r="C623" t="e">
        <f>RigheOfferte[[#This Row],[Cliente]]</f>
        <v>#VALUE!</v>
      </c>
      <c r="D623" t="e">
        <f>RigheOfferte[[#This Row],[sub_cliente]]</f>
        <v>#VALUE!</v>
      </c>
      <c r="E623" t="e">
        <f>RigheOfferte[[#This Row],[cod.Art.]]</f>
        <v>#VALUE!</v>
      </c>
      <c r="F623" t="e">
        <f>RigheOfferte[[#This Row],[Descrizione]]</f>
        <v>#VALUE!</v>
      </c>
      <c r="G623" t="e">
        <f>RigheOfferte[[#This Row],[Q.ta'']]</f>
        <v>#VALUE!</v>
      </c>
      <c r="H623" t="e">
        <f>RigheOfferte[[#This Row],[Lavorazione]]</f>
        <v>#VALUE!</v>
      </c>
      <c r="I623" t="e">
        <f>RigheOfferte[[#This Row],[Colore]]</f>
        <v>#VALUE!</v>
      </c>
      <c r="J623" t="e">
        <f>RigheOfferte[[#This Row],[Velocità]]</f>
        <v>#VALUE!</v>
      </c>
      <c r="K623" t="e">
        <f>RigheOfferte[[#This Row],[Superf.pz Mq]]</f>
        <v>#VALUE!</v>
      </c>
      <c r="L623" t="e">
        <f>RigheOfferte[[#This Row],[passo]]</f>
        <v>#VALUE!</v>
      </c>
      <c r="M623" t="e">
        <f>RigheOfferte[[#This Row],[nr.pezzi Telaio]]</f>
        <v>#VALUE!</v>
      </c>
      <c r="N623" t="e">
        <f>RigheOfferte[[#This Row],[nr.pezzi ora-unita]]</f>
        <v>#VALUE!</v>
      </c>
      <c r="O623" t="e">
        <f>Tabella1[[#This Row],[superificie]]*Resa</f>
        <v>#VALUE!</v>
      </c>
      <c r="P623" t="e">
        <f>Tabella1[[#This Row],[KgPezzo]]*Tabella1[[#This Row],[q.ta offerta]]</f>
        <v>#VALUE!</v>
      </c>
      <c r="Q623" t="e">
        <f>RigheOfferte[[#This Row],[QtaProtez]]</f>
        <v>#VALUE!</v>
      </c>
      <c r="R623" t="e">
        <f>RigheOfferte[[#This Row],[Tipo Protezione]]</f>
        <v>#VALUE!</v>
      </c>
    </row>
    <row r="624" spans="1:18">
      <c r="A624" t="e">
        <f>RigheOfferte[[#This Row],[Nprev]]</f>
        <v>#VALUE!</v>
      </c>
      <c r="B624" t="e">
        <f>RigheOfferte[[#This Row],[Nriga]]</f>
        <v>#VALUE!</v>
      </c>
      <c r="C624" t="e">
        <f>RigheOfferte[[#This Row],[Cliente]]</f>
        <v>#VALUE!</v>
      </c>
      <c r="D624" t="e">
        <f>RigheOfferte[[#This Row],[sub_cliente]]</f>
        <v>#VALUE!</v>
      </c>
      <c r="E624" t="e">
        <f>RigheOfferte[[#This Row],[cod.Art.]]</f>
        <v>#VALUE!</v>
      </c>
      <c r="F624" t="e">
        <f>RigheOfferte[[#This Row],[Descrizione]]</f>
        <v>#VALUE!</v>
      </c>
      <c r="G624" t="e">
        <f>RigheOfferte[[#This Row],[Q.ta'']]</f>
        <v>#VALUE!</v>
      </c>
      <c r="H624" t="e">
        <f>RigheOfferte[[#This Row],[Lavorazione]]</f>
        <v>#VALUE!</v>
      </c>
      <c r="I624" t="e">
        <f>RigheOfferte[[#This Row],[Colore]]</f>
        <v>#VALUE!</v>
      </c>
      <c r="J624" t="e">
        <f>RigheOfferte[[#This Row],[Velocità]]</f>
        <v>#VALUE!</v>
      </c>
      <c r="K624" t="e">
        <f>RigheOfferte[[#This Row],[Superf.pz Mq]]</f>
        <v>#VALUE!</v>
      </c>
      <c r="L624" t="e">
        <f>RigheOfferte[[#This Row],[passo]]</f>
        <v>#VALUE!</v>
      </c>
      <c r="M624" t="e">
        <f>RigheOfferte[[#This Row],[nr.pezzi Telaio]]</f>
        <v>#VALUE!</v>
      </c>
      <c r="N624" t="e">
        <f>RigheOfferte[[#This Row],[nr.pezzi ora-unita]]</f>
        <v>#VALUE!</v>
      </c>
      <c r="O624" t="e">
        <f>Tabella1[[#This Row],[superificie]]*Resa</f>
        <v>#VALUE!</v>
      </c>
      <c r="P624" t="e">
        <f>Tabella1[[#This Row],[KgPezzo]]*Tabella1[[#This Row],[q.ta offerta]]</f>
        <v>#VALUE!</v>
      </c>
      <c r="Q624" t="e">
        <f>RigheOfferte[[#This Row],[QtaProtez]]</f>
        <v>#VALUE!</v>
      </c>
      <c r="R624" t="e">
        <f>RigheOfferte[[#This Row],[Tipo Protezione]]</f>
        <v>#VALUE!</v>
      </c>
    </row>
    <row r="625" spans="1:18">
      <c r="A625" t="e">
        <f>RigheOfferte[[#This Row],[Nprev]]</f>
        <v>#VALUE!</v>
      </c>
      <c r="B625" t="e">
        <f>RigheOfferte[[#This Row],[Nriga]]</f>
        <v>#VALUE!</v>
      </c>
      <c r="C625" t="e">
        <f>RigheOfferte[[#This Row],[Cliente]]</f>
        <v>#VALUE!</v>
      </c>
      <c r="D625" t="e">
        <f>RigheOfferte[[#This Row],[sub_cliente]]</f>
        <v>#VALUE!</v>
      </c>
      <c r="E625" t="e">
        <f>RigheOfferte[[#This Row],[cod.Art.]]</f>
        <v>#VALUE!</v>
      </c>
      <c r="F625" t="e">
        <f>RigheOfferte[[#This Row],[Descrizione]]</f>
        <v>#VALUE!</v>
      </c>
      <c r="G625" t="e">
        <f>RigheOfferte[[#This Row],[Q.ta'']]</f>
        <v>#VALUE!</v>
      </c>
      <c r="H625" t="e">
        <f>RigheOfferte[[#This Row],[Lavorazione]]</f>
        <v>#VALUE!</v>
      </c>
      <c r="I625" t="e">
        <f>RigheOfferte[[#This Row],[Colore]]</f>
        <v>#VALUE!</v>
      </c>
      <c r="J625" t="e">
        <f>RigheOfferte[[#This Row],[Velocità]]</f>
        <v>#VALUE!</v>
      </c>
      <c r="K625" t="e">
        <f>RigheOfferte[[#This Row],[Superf.pz Mq]]</f>
        <v>#VALUE!</v>
      </c>
      <c r="L625" t="e">
        <f>RigheOfferte[[#This Row],[passo]]</f>
        <v>#VALUE!</v>
      </c>
      <c r="M625" t="e">
        <f>RigheOfferte[[#This Row],[nr.pezzi Telaio]]</f>
        <v>#VALUE!</v>
      </c>
      <c r="N625" t="e">
        <f>RigheOfferte[[#This Row],[nr.pezzi ora-unita]]</f>
        <v>#VALUE!</v>
      </c>
      <c r="O625" t="e">
        <f>Tabella1[[#This Row],[superificie]]*Resa</f>
        <v>#VALUE!</v>
      </c>
      <c r="P625" t="e">
        <f>Tabella1[[#This Row],[KgPezzo]]*Tabella1[[#This Row],[q.ta offerta]]</f>
        <v>#VALUE!</v>
      </c>
      <c r="Q625" t="e">
        <f>RigheOfferte[[#This Row],[QtaProtez]]</f>
        <v>#VALUE!</v>
      </c>
      <c r="R625" t="e">
        <f>RigheOfferte[[#This Row],[Tipo Protezione]]</f>
        <v>#VALUE!</v>
      </c>
    </row>
    <row r="626" spans="1:18">
      <c r="A626" t="e">
        <f>RigheOfferte[[#This Row],[Nprev]]</f>
        <v>#VALUE!</v>
      </c>
      <c r="B626" t="e">
        <f>RigheOfferte[[#This Row],[Nriga]]</f>
        <v>#VALUE!</v>
      </c>
      <c r="C626" t="e">
        <f>RigheOfferte[[#This Row],[Cliente]]</f>
        <v>#VALUE!</v>
      </c>
      <c r="D626" t="e">
        <f>RigheOfferte[[#This Row],[sub_cliente]]</f>
        <v>#VALUE!</v>
      </c>
      <c r="E626" t="e">
        <f>RigheOfferte[[#This Row],[cod.Art.]]</f>
        <v>#VALUE!</v>
      </c>
      <c r="F626" t="e">
        <f>RigheOfferte[[#This Row],[Descrizione]]</f>
        <v>#VALUE!</v>
      </c>
      <c r="G626" t="e">
        <f>RigheOfferte[[#This Row],[Q.ta'']]</f>
        <v>#VALUE!</v>
      </c>
      <c r="H626" t="e">
        <f>RigheOfferte[[#This Row],[Lavorazione]]</f>
        <v>#VALUE!</v>
      </c>
      <c r="I626" t="e">
        <f>RigheOfferte[[#This Row],[Colore]]</f>
        <v>#VALUE!</v>
      </c>
      <c r="J626" t="e">
        <f>RigheOfferte[[#This Row],[Velocità]]</f>
        <v>#VALUE!</v>
      </c>
      <c r="K626" t="e">
        <f>RigheOfferte[[#This Row],[Superf.pz Mq]]</f>
        <v>#VALUE!</v>
      </c>
      <c r="L626" t="e">
        <f>RigheOfferte[[#This Row],[passo]]</f>
        <v>#VALUE!</v>
      </c>
      <c r="M626" t="e">
        <f>RigheOfferte[[#This Row],[nr.pezzi Telaio]]</f>
        <v>#VALUE!</v>
      </c>
      <c r="N626" t="e">
        <f>RigheOfferte[[#This Row],[nr.pezzi ora-unita]]</f>
        <v>#VALUE!</v>
      </c>
      <c r="O626" t="e">
        <f>Tabella1[[#This Row],[superificie]]*Resa</f>
        <v>#VALUE!</v>
      </c>
      <c r="P626" t="e">
        <f>Tabella1[[#This Row],[KgPezzo]]*Tabella1[[#This Row],[q.ta offerta]]</f>
        <v>#VALUE!</v>
      </c>
      <c r="Q626" t="e">
        <f>RigheOfferte[[#This Row],[QtaProtez]]</f>
        <v>#VALUE!</v>
      </c>
      <c r="R626" t="e">
        <f>RigheOfferte[[#This Row],[Tipo Protezione]]</f>
        <v>#VALUE!</v>
      </c>
    </row>
    <row r="627" spans="1:18">
      <c r="A627" t="e">
        <f>RigheOfferte[[#This Row],[Nprev]]</f>
        <v>#VALUE!</v>
      </c>
      <c r="B627" t="e">
        <f>RigheOfferte[[#This Row],[Nriga]]</f>
        <v>#VALUE!</v>
      </c>
      <c r="C627" t="e">
        <f>RigheOfferte[[#This Row],[Cliente]]</f>
        <v>#VALUE!</v>
      </c>
      <c r="D627" t="e">
        <f>RigheOfferte[[#This Row],[sub_cliente]]</f>
        <v>#VALUE!</v>
      </c>
      <c r="E627" t="e">
        <f>RigheOfferte[[#This Row],[cod.Art.]]</f>
        <v>#VALUE!</v>
      </c>
      <c r="F627" t="e">
        <f>RigheOfferte[[#This Row],[Descrizione]]</f>
        <v>#VALUE!</v>
      </c>
      <c r="G627" t="e">
        <f>RigheOfferte[[#This Row],[Q.ta'']]</f>
        <v>#VALUE!</v>
      </c>
      <c r="H627" t="e">
        <f>RigheOfferte[[#This Row],[Lavorazione]]</f>
        <v>#VALUE!</v>
      </c>
      <c r="I627" t="e">
        <f>RigheOfferte[[#This Row],[Colore]]</f>
        <v>#VALUE!</v>
      </c>
      <c r="J627" t="e">
        <f>RigheOfferte[[#This Row],[Velocità]]</f>
        <v>#VALUE!</v>
      </c>
      <c r="K627" t="e">
        <f>RigheOfferte[[#This Row],[Superf.pz Mq]]</f>
        <v>#VALUE!</v>
      </c>
      <c r="L627" t="e">
        <f>RigheOfferte[[#This Row],[passo]]</f>
        <v>#VALUE!</v>
      </c>
      <c r="M627" t="e">
        <f>RigheOfferte[[#This Row],[nr.pezzi Telaio]]</f>
        <v>#VALUE!</v>
      </c>
      <c r="N627" t="e">
        <f>RigheOfferte[[#This Row],[nr.pezzi ora-unita]]</f>
        <v>#VALUE!</v>
      </c>
      <c r="O627" t="e">
        <f>Tabella1[[#This Row],[superificie]]*Resa</f>
        <v>#VALUE!</v>
      </c>
      <c r="P627" t="e">
        <f>Tabella1[[#This Row],[KgPezzo]]*Tabella1[[#This Row],[q.ta offerta]]</f>
        <v>#VALUE!</v>
      </c>
      <c r="Q627" t="e">
        <f>RigheOfferte[[#This Row],[QtaProtez]]</f>
        <v>#VALUE!</v>
      </c>
      <c r="R627" t="e">
        <f>RigheOfferte[[#This Row],[Tipo Protezione]]</f>
        <v>#VALUE!</v>
      </c>
    </row>
    <row r="628" spans="1:18">
      <c r="A628" t="e">
        <f>RigheOfferte[[#This Row],[Nprev]]</f>
        <v>#VALUE!</v>
      </c>
      <c r="B628" t="e">
        <f>RigheOfferte[[#This Row],[Nriga]]</f>
        <v>#VALUE!</v>
      </c>
      <c r="C628" t="e">
        <f>RigheOfferte[[#This Row],[Cliente]]</f>
        <v>#VALUE!</v>
      </c>
      <c r="D628" t="e">
        <f>RigheOfferte[[#This Row],[sub_cliente]]</f>
        <v>#VALUE!</v>
      </c>
      <c r="E628" t="e">
        <f>RigheOfferte[[#This Row],[cod.Art.]]</f>
        <v>#VALUE!</v>
      </c>
      <c r="F628" t="e">
        <f>RigheOfferte[[#This Row],[Descrizione]]</f>
        <v>#VALUE!</v>
      </c>
      <c r="G628" t="e">
        <f>RigheOfferte[[#This Row],[Q.ta'']]</f>
        <v>#VALUE!</v>
      </c>
      <c r="H628" t="e">
        <f>RigheOfferte[[#This Row],[Lavorazione]]</f>
        <v>#VALUE!</v>
      </c>
      <c r="I628" t="e">
        <f>RigheOfferte[[#This Row],[Colore]]</f>
        <v>#VALUE!</v>
      </c>
      <c r="J628" t="e">
        <f>RigheOfferte[[#This Row],[Velocità]]</f>
        <v>#VALUE!</v>
      </c>
      <c r="K628" t="e">
        <f>RigheOfferte[[#This Row],[Superf.pz Mq]]</f>
        <v>#VALUE!</v>
      </c>
      <c r="L628" t="e">
        <f>RigheOfferte[[#This Row],[passo]]</f>
        <v>#VALUE!</v>
      </c>
      <c r="M628" t="e">
        <f>RigheOfferte[[#This Row],[nr.pezzi Telaio]]</f>
        <v>#VALUE!</v>
      </c>
      <c r="N628" t="e">
        <f>RigheOfferte[[#This Row],[nr.pezzi ora-unita]]</f>
        <v>#VALUE!</v>
      </c>
      <c r="O628" t="e">
        <f>Tabella1[[#This Row],[superificie]]*Resa</f>
        <v>#VALUE!</v>
      </c>
      <c r="P628" t="e">
        <f>Tabella1[[#This Row],[KgPezzo]]*Tabella1[[#This Row],[q.ta offerta]]</f>
        <v>#VALUE!</v>
      </c>
      <c r="Q628" t="e">
        <f>RigheOfferte[[#This Row],[QtaProtez]]</f>
        <v>#VALUE!</v>
      </c>
      <c r="R628" t="e">
        <f>RigheOfferte[[#This Row],[Tipo Protezione]]</f>
        <v>#VALUE!</v>
      </c>
    </row>
    <row r="629" spans="1:18">
      <c r="A629" t="e">
        <f>RigheOfferte[[#This Row],[Nprev]]</f>
        <v>#VALUE!</v>
      </c>
      <c r="B629" t="e">
        <f>RigheOfferte[[#This Row],[Nriga]]</f>
        <v>#VALUE!</v>
      </c>
      <c r="C629" t="e">
        <f>RigheOfferte[[#This Row],[Cliente]]</f>
        <v>#VALUE!</v>
      </c>
      <c r="D629" t="e">
        <f>RigheOfferte[[#This Row],[sub_cliente]]</f>
        <v>#VALUE!</v>
      </c>
      <c r="E629" t="e">
        <f>RigheOfferte[[#This Row],[cod.Art.]]</f>
        <v>#VALUE!</v>
      </c>
      <c r="F629" t="e">
        <f>RigheOfferte[[#This Row],[Descrizione]]</f>
        <v>#VALUE!</v>
      </c>
      <c r="G629" t="e">
        <f>RigheOfferte[[#This Row],[Q.ta'']]</f>
        <v>#VALUE!</v>
      </c>
      <c r="H629" t="e">
        <f>RigheOfferte[[#This Row],[Lavorazione]]</f>
        <v>#VALUE!</v>
      </c>
      <c r="I629" t="e">
        <f>RigheOfferte[[#This Row],[Colore]]</f>
        <v>#VALUE!</v>
      </c>
      <c r="J629" t="e">
        <f>RigheOfferte[[#This Row],[Velocità]]</f>
        <v>#VALUE!</v>
      </c>
      <c r="K629" t="e">
        <f>RigheOfferte[[#This Row],[Superf.pz Mq]]</f>
        <v>#VALUE!</v>
      </c>
      <c r="L629" t="e">
        <f>RigheOfferte[[#This Row],[passo]]</f>
        <v>#VALUE!</v>
      </c>
      <c r="M629" t="e">
        <f>RigheOfferte[[#This Row],[nr.pezzi Telaio]]</f>
        <v>#VALUE!</v>
      </c>
      <c r="N629" t="e">
        <f>RigheOfferte[[#This Row],[nr.pezzi ora-unita]]</f>
        <v>#VALUE!</v>
      </c>
      <c r="O629" t="e">
        <f>Tabella1[[#This Row],[superificie]]*Resa</f>
        <v>#VALUE!</v>
      </c>
      <c r="P629" t="e">
        <f>Tabella1[[#This Row],[KgPezzo]]*Tabella1[[#This Row],[q.ta offerta]]</f>
        <v>#VALUE!</v>
      </c>
      <c r="Q629" t="e">
        <f>RigheOfferte[[#This Row],[QtaProtez]]</f>
        <v>#VALUE!</v>
      </c>
      <c r="R629" t="e">
        <f>RigheOfferte[[#This Row],[Tipo Protezione]]</f>
        <v>#VALUE!</v>
      </c>
    </row>
    <row r="630" spans="1:18">
      <c r="A630" t="e">
        <f>RigheOfferte[[#This Row],[Nprev]]</f>
        <v>#VALUE!</v>
      </c>
      <c r="B630" t="e">
        <f>RigheOfferte[[#This Row],[Nriga]]</f>
        <v>#VALUE!</v>
      </c>
      <c r="C630" t="e">
        <f>RigheOfferte[[#This Row],[Cliente]]</f>
        <v>#VALUE!</v>
      </c>
      <c r="D630" t="e">
        <f>RigheOfferte[[#This Row],[sub_cliente]]</f>
        <v>#VALUE!</v>
      </c>
      <c r="E630" t="e">
        <f>RigheOfferte[[#This Row],[cod.Art.]]</f>
        <v>#VALUE!</v>
      </c>
      <c r="F630" t="e">
        <f>RigheOfferte[[#This Row],[Descrizione]]</f>
        <v>#VALUE!</v>
      </c>
      <c r="G630" t="e">
        <f>RigheOfferte[[#This Row],[Q.ta'']]</f>
        <v>#VALUE!</v>
      </c>
      <c r="H630" t="e">
        <f>RigheOfferte[[#This Row],[Lavorazione]]</f>
        <v>#VALUE!</v>
      </c>
      <c r="I630" t="e">
        <f>RigheOfferte[[#This Row],[Colore]]</f>
        <v>#VALUE!</v>
      </c>
      <c r="J630" t="e">
        <f>RigheOfferte[[#This Row],[Velocità]]</f>
        <v>#VALUE!</v>
      </c>
      <c r="K630" t="e">
        <f>RigheOfferte[[#This Row],[Superf.pz Mq]]</f>
        <v>#VALUE!</v>
      </c>
      <c r="L630" t="e">
        <f>RigheOfferte[[#This Row],[passo]]</f>
        <v>#VALUE!</v>
      </c>
      <c r="M630" t="e">
        <f>RigheOfferte[[#This Row],[nr.pezzi Telaio]]</f>
        <v>#VALUE!</v>
      </c>
      <c r="N630" t="e">
        <f>RigheOfferte[[#This Row],[nr.pezzi ora-unita]]</f>
        <v>#VALUE!</v>
      </c>
      <c r="O630" t="e">
        <f>Tabella1[[#This Row],[superificie]]*Resa</f>
        <v>#VALUE!</v>
      </c>
      <c r="P630" t="e">
        <f>Tabella1[[#This Row],[KgPezzo]]*Tabella1[[#This Row],[q.ta offerta]]</f>
        <v>#VALUE!</v>
      </c>
      <c r="Q630" t="e">
        <f>RigheOfferte[[#This Row],[QtaProtez]]</f>
        <v>#VALUE!</v>
      </c>
      <c r="R630" t="e">
        <f>RigheOfferte[[#This Row],[Tipo Protezione]]</f>
        <v>#VALUE!</v>
      </c>
    </row>
    <row r="631" spans="1:18">
      <c r="A631" t="e">
        <f>RigheOfferte[[#This Row],[Nprev]]</f>
        <v>#VALUE!</v>
      </c>
      <c r="B631" t="e">
        <f>RigheOfferte[[#This Row],[Nriga]]</f>
        <v>#VALUE!</v>
      </c>
      <c r="C631" t="e">
        <f>RigheOfferte[[#This Row],[Cliente]]</f>
        <v>#VALUE!</v>
      </c>
      <c r="D631" t="e">
        <f>RigheOfferte[[#This Row],[sub_cliente]]</f>
        <v>#VALUE!</v>
      </c>
      <c r="E631" t="e">
        <f>RigheOfferte[[#This Row],[cod.Art.]]</f>
        <v>#VALUE!</v>
      </c>
      <c r="F631" t="e">
        <f>RigheOfferte[[#This Row],[Descrizione]]</f>
        <v>#VALUE!</v>
      </c>
      <c r="G631" t="e">
        <f>RigheOfferte[[#This Row],[Q.ta'']]</f>
        <v>#VALUE!</v>
      </c>
      <c r="H631" t="e">
        <f>RigheOfferte[[#This Row],[Lavorazione]]</f>
        <v>#VALUE!</v>
      </c>
      <c r="I631" t="e">
        <f>RigheOfferte[[#This Row],[Colore]]</f>
        <v>#VALUE!</v>
      </c>
      <c r="J631" t="e">
        <f>RigheOfferte[[#This Row],[Velocità]]</f>
        <v>#VALUE!</v>
      </c>
      <c r="K631" t="e">
        <f>RigheOfferte[[#This Row],[Superf.pz Mq]]</f>
        <v>#VALUE!</v>
      </c>
      <c r="L631" t="e">
        <f>RigheOfferte[[#This Row],[passo]]</f>
        <v>#VALUE!</v>
      </c>
      <c r="M631" t="e">
        <f>RigheOfferte[[#This Row],[nr.pezzi Telaio]]</f>
        <v>#VALUE!</v>
      </c>
      <c r="N631" t="e">
        <f>RigheOfferte[[#This Row],[nr.pezzi ora-unita]]</f>
        <v>#VALUE!</v>
      </c>
      <c r="O631" t="e">
        <f>Tabella1[[#This Row],[superificie]]*Resa</f>
        <v>#VALUE!</v>
      </c>
      <c r="P631" t="e">
        <f>Tabella1[[#This Row],[KgPezzo]]*Tabella1[[#This Row],[q.ta offerta]]</f>
        <v>#VALUE!</v>
      </c>
      <c r="Q631" t="e">
        <f>RigheOfferte[[#This Row],[QtaProtez]]</f>
        <v>#VALUE!</v>
      </c>
      <c r="R631" t="e">
        <f>RigheOfferte[[#This Row],[Tipo Protezione]]</f>
        <v>#VALUE!</v>
      </c>
    </row>
    <row r="632" spans="1:18">
      <c r="A632" t="e">
        <f>RigheOfferte[[#This Row],[Nprev]]</f>
        <v>#VALUE!</v>
      </c>
      <c r="B632" t="e">
        <f>RigheOfferte[[#This Row],[Nriga]]</f>
        <v>#VALUE!</v>
      </c>
      <c r="C632" t="e">
        <f>RigheOfferte[[#This Row],[Cliente]]</f>
        <v>#VALUE!</v>
      </c>
      <c r="D632" t="e">
        <f>RigheOfferte[[#This Row],[sub_cliente]]</f>
        <v>#VALUE!</v>
      </c>
      <c r="E632" t="e">
        <f>RigheOfferte[[#This Row],[cod.Art.]]</f>
        <v>#VALUE!</v>
      </c>
      <c r="F632" t="e">
        <f>RigheOfferte[[#This Row],[Descrizione]]</f>
        <v>#VALUE!</v>
      </c>
      <c r="G632" t="e">
        <f>RigheOfferte[[#This Row],[Q.ta'']]</f>
        <v>#VALUE!</v>
      </c>
      <c r="H632" t="e">
        <f>RigheOfferte[[#This Row],[Lavorazione]]</f>
        <v>#VALUE!</v>
      </c>
      <c r="I632" t="e">
        <f>RigheOfferte[[#This Row],[Colore]]</f>
        <v>#VALUE!</v>
      </c>
      <c r="J632" t="e">
        <f>RigheOfferte[[#This Row],[Velocità]]</f>
        <v>#VALUE!</v>
      </c>
      <c r="K632" t="e">
        <f>RigheOfferte[[#This Row],[Superf.pz Mq]]</f>
        <v>#VALUE!</v>
      </c>
      <c r="L632" t="e">
        <f>RigheOfferte[[#This Row],[passo]]</f>
        <v>#VALUE!</v>
      </c>
      <c r="M632" t="e">
        <f>RigheOfferte[[#This Row],[nr.pezzi Telaio]]</f>
        <v>#VALUE!</v>
      </c>
      <c r="N632" t="e">
        <f>RigheOfferte[[#This Row],[nr.pezzi ora-unita]]</f>
        <v>#VALUE!</v>
      </c>
      <c r="O632" t="e">
        <f>Tabella1[[#This Row],[superificie]]*Resa</f>
        <v>#VALUE!</v>
      </c>
      <c r="P632" t="e">
        <f>Tabella1[[#This Row],[KgPezzo]]*Tabella1[[#This Row],[q.ta offerta]]</f>
        <v>#VALUE!</v>
      </c>
      <c r="Q632" t="e">
        <f>RigheOfferte[[#This Row],[QtaProtez]]</f>
        <v>#VALUE!</v>
      </c>
      <c r="R632" t="e">
        <f>RigheOfferte[[#This Row],[Tipo Protezione]]</f>
        <v>#VALUE!</v>
      </c>
    </row>
    <row r="633" spans="1:18">
      <c r="A633" t="e">
        <f>RigheOfferte[[#This Row],[Nprev]]</f>
        <v>#VALUE!</v>
      </c>
      <c r="B633" t="e">
        <f>RigheOfferte[[#This Row],[Nriga]]</f>
        <v>#VALUE!</v>
      </c>
      <c r="C633" t="e">
        <f>RigheOfferte[[#This Row],[Cliente]]</f>
        <v>#VALUE!</v>
      </c>
      <c r="D633" t="e">
        <f>RigheOfferte[[#This Row],[sub_cliente]]</f>
        <v>#VALUE!</v>
      </c>
      <c r="E633" t="e">
        <f>RigheOfferte[[#This Row],[cod.Art.]]</f>
        <v>#VALUE!</v>
      </c>
      <c r="F633" t="e">
        <f>RigheOfferte[[#This Row],[Descrizione]]</f>
        <v>#VALUE!</v>
      </c>
      <c r="G633" t="e">
        <f>RigheOfferte[[#This Row],[Q.ta'']]</f>
        <v>#VALUE!</v>
      </c>
      <c r="H633" t="e">
        <f>RigheOfferte[[#This Row],[Lavorazione]]</f>
        <v>#VALUE!</v>
      </c>
      <c r="I633" t="e">
        <f>RigheOfferte[[#This Row],[Colore]]</f>
        <v>#VALUE!</v>
      </c>
      <c r="J633" t="e">
        <f>RigheOfferte[[#This Row],[Velocità]]</f>
        <v>#VALUE!</v>
      </c>
      <c r="K633" t="e">
        <f>RigheOfferte[[#This Row],[Superf.pz Mq]]</f>
        <v>#VALUE!</v>
      </c>
      <c r="L633" t="e">
        <f>RigheOfferte[[#This Row],[passo]]</f>
        <v>#VALUE!</v>
      </c>
      <c r="M633" t="e">
        <f>RigheOfferte[[#This Row],[nr.pezzi Telaio]]</f>
        <v>#VALUE!</v>
      </c>
      <c r="N633" t="e">
        <f>RigheOfferte[[#This Row],[nr.pezzi ora-unita]]</f>
        <v>#VALUE!</v>
      </c>
      <c r="O633" t="e">
        <f>Tabella1[[#This Row],[superificie]]*Resa</f>
        <v>#VALUE!</v>
      </c>
      <c r="P633" t="e">
        <f>Tabella1[[#This Row],[KgPezzo]]*Tabella1[[#This Row],[q.ta offerta]]</f>
        <v>#VALUE!</v>
      </c>
      <c r="Q633" t="e">
        <f>RigheOfferte[[#This Row],[QtaProtez]]</f>
        <v>#VALUE!</v>
      </c>
      <c r="R633" t="e">
        <f>RigheOfferte[[#This Row],[Tipo Protezione]]</f>
        <v>#VALUE!</v>
      </c>
    </row>
    <row r="634" spans="1:18">
      <c r="A634" t="e">
        <f>RigheOfferte[[#This Row],[Nprev]]</f>
        <v>#VALUE!</v>
      </c>
      <c r="B634" t="e">
        <f>RigheOfferte[[#This Row],[Nriga]]</f>
        <v>#VALUE!</v>
      </c>
      <c r="C634" t="e">
        <f>RigheOfferte[[#This Row],[Cliente]]</f>
        <v>#VALUE!</v>
      </c>
      <c r="D634" t="e">
        <f>RigheOfferte[[#This Row],[sub_cliente]]</f>
        <v>#VALUE!</v>
      </c>
      <c r="E634" t="e">
        <f>RigheOfferte[[#This Row],[cod.Art.]]</f>
        <v>#VALUE!</v>
      </c>
      <c r="F634" t="e">
        <f>RigheOfferte[[#This Row],[Descrizione]]</f>
        <v>#VALUE!</v>
      </c>
      <c r="G634" t="e">
        <f>RigheOfferte[[#This Row],[Q.ta'']]</f>
        <v>#VALUE!</v>
      </c>
      <c r="H634" t="e">
        <f>RigheOfferte[[#This Row],[Lavorazione]]</f>
        <v>#VALUE!</v>
      </c>
      <c r="I634" t="e">
        <f>RigheOfferte[[#This Row],[Colore]]</f>
        <v>#VALUE!</v>
      </c>
      <c r="J634" t="e">
        <f>RigheOfferte[[#This Row],[Velocità]]</f>
        <v>#VALUE!</v>
      </c>
      <c r="K634" t="e">
        <f>RigheOfferte[[#This Row],[Superf.pz Mq]]</f>
        <v>#VALUE!</v>
      </c>
      <c r="L634" t="e">
        <f>RigheOfferte[[#This Row],[passo]]</f>
        <v>#VALUE!</v>
      </c>
      <c r="M634" t="e">
        <f>RigheOfferte[[#This Row],[nr.pezzi Telaio]]</f>
        <v>#VALUE!</v>
      </c>
      <c r="N634" t="e">
        <f>RigheOfferte[[#This Row],[nr.pezzi ora-unita]]</f>
        <v>#VALUE!</v>
      </c>
      <c r="O634" t="e">
        <f>Tabella1[[#This Row],[superificie]]*Resa</f>
        <v>#VALUE!</v>
      </c>
      <c r="P634" t="e">
        <f>Tabella1[[#This Row],[KgPezzo]]*Tabella1[[#This Row],[q.ta offerta]]</f>
        <v>#VALUE!</v>
      </c>
      <c r="Q634" t="e">
        <f>RigheOfferte[[#This Row],[QtaProtez]]</f>
        <v>#VALUE!</v>
      </c>
      <c r="R634" t="e">
        <f>RigheOfferte[[#This Row],[Tipo Protezione]]</f>
        <v>#VALUE!</v>
      </c>
    </row>
    <row r="635" spans="1:18">
      <c r="A635" t="e">
        <f>RigheOfferte[[#This Row],[Nprev]]</f>
        <v>#VALUE!</v>
      </c>
      <c r="B635" t="e">
        <f>RigheOfferte[[#This Row],[Nriga]]</f>
        <v>#VALUE!</v>
      </c>
      <c r="C635" t="e">
        <f>RigheOfferte[[#This Row],[Cliente]]</f>
        <v>#VALUE!</v>
      </c>
      <c r="D635" t="e">
        <f>RigheOfferte[[#This Row],[sub_cliente]]</f>
        <v>#VALUE!</v>
      </c>
      <c r="E635" t="e">
        <f>RigheOfferte[[#This Row],[cod.Art.]]</f>
        <v>#VALUE!</v>
      </c>
      <c r="F635" t="e">
        <f>RigheOfferte[[#This Row],[Descrizione]]</f>
        <v>#VALUE!</v>
      </c>
      <c r="G635" t="e">
        <f>RigheOfferte[[#This Row],[Q.ta'']]</f>
        <v>#VALUE!</v>
      </c>
      <c r="H635" t="e">
        <f>RigheOfferte[[#This Row],[Lavorazione]]</f>
        <v>#VALUE!</v>
      </c>
      <c r="I635" t="e">
        <f>RigheOfferte[[#This Row],[Colore]]</f>
        <v>#VALUE!</v>
      </c>
      <c r="J635" t="e">
        <f>RigheOfferte[[#This Row],[Velocità]]</f>
        <v>#VALUE!</v>
      </c>
      <c r="K635" t="e">
        <f>RigheOfferte[[#This Row],[Superf.pz Mq]]</f>
        <v>#VALUE!</v>
      </c>
      <c r="L635" t="e">
        <f>RigheOfferte[[#This Row],[passo]]</f>
        <v>#VALUE!</v>
      </c>
      <c r="M635" t="e">
        <f>RigheOfferte[[#This Row],[nr.pezzi Telaio]]</f>
        <v>#VALUE!</v>
      </c>
      <c r="N635" t="e">
        <f>RigheOfferte[[#This Row],[nr.pezzi ora-unita]]</f>
        <v>#VALUE!</v>
      </c>
      <c r="O635" t="e">
        <f>Tabella1[[#This Row],[superificie]]*Resa</f>
        <v>#VALUE!</v>
      </c>
      <c r="P635" t="e">
        <f>Tabella1[[#This Row],[KgPezzo]]*Tabella1[[#This Row],[q.ta offerta]]</f>
        <v>#VALUE!</v>
      </c>
      <c r="Q635" t="e">
        <f>RigheOfferte[[#This Row],[QtaProtez]]</f>
        <v>#VALUE!</v>
      </c>
      <c r="R635" t="e">
        <f>RigheOfferte[[#This Row],[Tipo Protezione]]</f>
        <v>#VALUE!</v>
      </c>
    </row>
    <row r="636" spans="1:18">
      <c r="A636" t="e">
        <f>RigheOfferte[[#This Row],[Nprev]]</f>
        <v>#VALUE!</v>
      </c>
      <c r="B636" t="e">
        <f>RigheOfferte[[#This Row],[Nriga]]</f>
        <v>#VALUE!</v>
      </c>
      <c r="C636" t="e">
        <f>RigheOfferte[[#This Row],[Cliente]]</f>
        <v>#VALUE!</v>
      </c>
      <c r="D636" t="e">
        <f>RigheOfferte[[#This Row],[sub_cliente]]</f>
        <v>#VALUE!</v>
      </c>
      <c r="E636" t="e">
        <f>RigheOfferte[[#This Row],[cod.Art.]]</f>
        <v>#VALUE!</v>
      </c>
      <c r="F636" t="e">
        <f>RigheOfferte[[#This Row],[Descrizione]]</f>
        <v>#VALUE!</v>
      </c>
      <c r="G636" t="e">
        <f>RigheOfferte[[#This Row],[Q.ta'']]</f>
        <v>#VALUE!</v>
      </c>
      <c r="H636" t="e">
        <f>RigheOfferte[[#This Row],[Lavorazione]]</f>
        <v>#VALUE!</v>
      </c>
      <c r="I636" t="e">
        <f>RigheOfferte[[#This Row],[Colore]]</f>
        <v>#VALUE!</v>
      </c>
      <c r="J636" t="e">
        <f>RigheOfferte[[#This Row],[Velocità]]</f>
        <v>#VALUE!</v>
      </c>
      <c r="K636" t="e">
        <f>RigheOfferte[[#This Row],[Superf.pz Mq]]</f>
        <v>#VALUE!</v>
      </c>
      <c r="L636" t="e">
        <f>RigheOfferte[[#This Row],[passo]]</f>
        <v>#VALUE!</v>
      </c>
      <c r="M636" t="e">
        <f>RigheOfferte[[#This Row],[nr.pezzi Telaio]]</f>
        <v>#VALUE!</v>
      </c>
      <c r="N636" t="e">
        <f>RigheOfferte[[#This Row],[nr.pezzi ora-unita]]</f>
        <v>#VALUE!</v>
      </c>
      <c r="O636" t="e">
        <f>Tabella1[[#This Row],[superificie]]*Resa</f>
        <v>#VALUE!</v>
      </c>
      <c r="P636" t="e">
        <f>Tabella1[[#This Row],[KgPezzo]]*Tabella1[[#This Row],[q.ta offerta]]</f>
        <v>#VALUE!</v>
      </c>
      <c r="Q636" t="e">
        <f>RigheOfferte[[#This Row],[QtaProtez]]</f>
        <v>#VALUE!</v>
      </c>
      <c r="R636" t="e">
        <f>RigheOfferte[[#This Row],[Tipo Protezione]]</f>
        <v>#VALUE!</v>
      </c>
    </row>
    <row r="637" spans="1:18">
      <c r="A637" t="e">
        <f>RigheOfferte[[#This Row],[Nprev]]</f>
        <v>#VALUE!</v>
      </c>
      <c r="B637" t="e">
        <f>RigheOfferte[[#This Row],[Nriga]]</f>
        <v>#VALUE!</v>
      </c>
      <c r="C637" t="e">
        <f>RigheOfferte[[#This Row],[Cliente]]</f>
        <v>#VALUE!</v>
      </c>
      <c r="D637" t="e">
        <f>RigheOfferte[[#This Row],[sub_cliente]]</f>
        <v>#VALUE!</v>
      </c>
      <c r="E637" t="e">
        <f>RigheOfferte[[#This Row],[cod.Art.]]</f>
        <v>#VALUE!</v>
      </c>
      <c r="F637" t="e">
        <f>RigheOfferte[[#This Row],[Descrizione]]</f>
        <v>#VALUE!</v>
      </c>
      <c r="G637" t="e">
        <f>RigheOfferte[[#This Row],[Q.ta'']]</f>
        <v>#VALUE!</v>
      </c>
      <c r="H637" t="e">
        <f>RigheOfferte[[#This Row],[Lavorazione]]</f>
        <v>#VALUE!</v>
      </c>
      <c r="I637" t="e">
        <f>RigheOfferte[[#This Row],[Colore]]</f>
        <v>#VALUE!</v>
      </c>
      <c r="J637" t="e">
        <f>RigheOfferte[[#This Row],[Velocità]]</f>
        <v>#VALUE!</v>
      </c>
      <c r="K637" t="e">
        <f>RigheOfferte[[#This Row],[Superf.pz Mq]]</f>
        <v>#VALUE!</v>
      </c>
      <c r="L637" t="e">
        <f>RigheOfferte[[#This Row],[passo]]</f>
        <v>#VALUE!</v>
      </c>
      <c r="M637" t="e">
        <f>RigheOfferte[[#This Row],[nr.pezzi Telaio]]</f>
        <v>#VALUE!</v>
      </c>
      <c r="N637" t="e">
        <f>RigheOfferte[[#This Row],[nr.pezzi ora-unita]]</f>
        <v>#VALUE!</v>
      </c>
      <c r="O637" t="e">
        <f>Tabella1[[#This Row],[superificie]]*Resa</f>
        <v>#VALUE!</v>
      </c>
      <c r="P637" t="e">
        <f>Tabella1[[#This Row],[KgPezzo]]*Tabella1[[#This Row],[q.ta offerta]]</f>
        <v>#VALUE!</v>
      </c>
      <c r="Q637" t="e">
        <f>RigheOfferte[[#This Row],[QtaProtez]]</f>
        <v>#VALUE!</v>
      </c>
      <c r="R637" t="e">
        <f>RigheOfferte[[#This Row],[Tipo Protezione]]</f>
        <v>#VALUE!</v>
      </c>
    </row>
    <row r="638" spans="1:18">
      <c r="A638" t="e">
        <f>RigheOfferte[[#This Row],[Nprev]]</f>
        <v>#VALUE!</v>
      </c>
      <c r="B638" t="e">
        <f>RigheOfferte[[#This Row],[Nriga]]</f>
        <v>#VALUE!</v>
      </c>
      <c r="C638" t="e">
        <f>RigheOfferte[[#This Row],[Cliente]]</f>
        <v>#VALUE!</v>
      </c>
      <c r="D638" t="e">
        <f>RigheOfferte[[#This Row],[sub_cliente]]</f>
        <v>#VALUE!</v>
      </c>
      <c r="E638" t="e">
        <f>RigheOfferte[[#This Row],[cod.Art.]]</f>
        <v>#VALUE!</v>
      </c>
      <c r="F638" t="e">
        <f>RigheOfferte[[#This Row],[Descrizione]]</f>
        <v>#VALUE!</v>
      </c>
      <c r="G638" t="e">
        <f>RigheOfferte[[#This Row],[Q.ta'']]</f>
        <v>#VALUE!</v>
      </c>
      <c r="H638" t="e">
        <f>RigheOfferte[[#This Row],[Lavorazione]]</f>
        <v>#VALUE!</v>
      </c>
      <c r="I638" t="e">
        <f>RigheOfferte[[#This Row],[Colore]]</f>
        <v>#VALUE!</v>
      </c>
      <c r="J638" t="e">
        <f>RigheOfferte[[#This Row],[Velocità]]</f>
        <v>#VALUE!</v>
      </c>
      <c r="K638" t="e">
        <f>RigheOfferte[[#This Row],[Superf.pz Mq]]</f>
        <v>#VALUE!</v>
      </c>
      <c r="L638" t="e">
        <f>RigheOfferte[[#This Row],[passo]]</f>
        <v>#VALUE!</v>
      </c>
      <c r="M638" t="e">
        <f>RigheOfferte[[#This Row],[nr.pezzi Telaio]]</f>
        <v>#VALUE!</v>
      </c>
      <c r="N638" t="e">
        <f>RigheOfferte[[#This Row],[nr.pezzi ora-unita]]</f>
        <v>#VALUE!</v>
      </c>
      <c r="O638" t="e">
        <f>Tabella1[[#This Row],[superificie]]*Resa</f>
        <v>#VALUE!</v>
      </c>
      <c r="P638" t="e">
        <f>Tabella1[[#This Row],[KgPezzo]]*Tabella1[[#This Row],[q.ta offerta]]</f>
        <v>#VALUE!</v>
      </c>
      <c r="Q638" t="e">
        <f>RigheOfferte[[#This Row],[QtaProtez]]</f>
        <v>#VALUE!</v>
      </c>
      <c r="R638" t="e">
        <f>RigheOfferte[[#This Row],[Tipo Protezione]]</f>
        <v>#VALUE!</v>
      </c>
    </row>
    <row r="639" spans="1:18">
      <c r="A639" t="e">
        <f>RigheOfferte[[#This Row],[Nprev]]</f>
        <v>#VALUE!</v>
      </c>
      <c r="B639" t="e">
        <f>RigheOfferte[[#This Row],[Nriga]]</f>
        <v>#VALUE!</v>
      </c>
      <c r="C639" t="e">
        <f>RigheOfferte[[#This Row],[Cliente]]</f>
        <v>#VALUE!</v>
      </c>
      <c r="D639" t="e">
        <f>RigheOfferte[[#This Row],[sub_cliente]]</f>
        <v>#VALUE!</v>
      </c>
      <c r="E639" t="e">
        <f>RigheOfferte[[#This Row],[cod.Art.]]</f>
        <v>#VALUE!</v>
      </c>
      <c r="F639" t="e">
        <f>RigheOfferte[[#This Row],[Descrizione]]</f>
        <v>#VALUE!</v>
      </c>
      <c r="G639" t="e">
        <f>RigheOfferte[[#This Row],[Q.ta'']]</f>
        <v>#VALUE!</v>
      </c>
      <c r="H639" t="e">
        <f>RigheOfferte[[#This Row],[Lavorazione]]</f>
        <v>#VALUE!</v>
      </c>
      <c r="I639" t="e">
        <f>RigheOfferte[[#This Row],[Colore]]</f>
        <v>#VALUE!</v>
      </c>
      <c r="J639" t="e">
        <f>RigheOfferte[[#This Row],[Velocità]]</f>
        <v>#VALUE!</v>
      </c>
      <c r="K639" t="e">
        <f>RigheOfferte[[#This Row],[Superf.pz Mq]]</f>
        <v>#VALUE!</v>
      </c>
      <c r="L639" t="e">
        <f>RigheOfferte[[#This Row],[passo]]</f>
        <v>#VALUE!</v>
      </c>
      <c r="M639" t="e">
        <f>RigheOfferte[[#This Row],[nr.pezzi Telaio]]</f>
        <v>#VALUE!</v>
      </c>
      <c r="N639" t="e">
        <f>RigheOfferte[[#This Row],[nr.pezzi ora-unita]]</f>
        <v>#VALUE!</v>
      </c>
      <c r="O639" t="e">
        <f>Tabella1[[#This Row],[superificie]]*Resa</f>
        <v>#VALUE!</v>
      </c>
      <c r="P639" t="e">
        <f>Tabella1[[#This Row],[KgPezzo]]*Tabella1[[#This Row],[q.ta offerta]]</f>
        <v>#VALUE!</v>
      </c>
      <c r="Q639" t="e">
        <f>RigheOfferte[[#This Row],[QtaProtez]]</f>
        <v>#VALUE!</v>
      </c>
      <c r="R639" t="e">
        <f>RigheOfferte[[#This Row],[Tipo Protezione]]</f>
        <v>#VALUE!</v>
      </c>
    </row>
    <row r="640" spans="1:18">
      <c r="A640" t="e">
        <f>RigheOfferte[[#This Row],[Nprev]]</f>
        <v>#VALUE!</v>
      </c>
      <c r="B640" t="e">
        <f>RigheOfferte[[#This Row],[Nriga]]</f>
        <v>#VALUE!</v>
      </c>
      <c r="C640" t="e">
        <f>RigheOfferte[[#This Row],[Cliente]]</f>
        <v>#VALUE!</v>
      </c>
      <c r="D640" t="e">
        <f>RigheOfferte[[#This Row],[sub_cliente]]</f>
        <v>#VALUE!</v>
      </c>
      <c r="E640" t="e">
        <f>RigheOfferte[[#This Row],[cod.Art.]]</f>
        <v>#VALUE!</v>
      </c>
      <c r="F640" t="e">
        <f>RigheOfferte[[#This Row],[Descrizione]]</f>
        <v>#VALUE!</v>
      </c>
      <c r="G640" t="e">
        <f>RigheOfferte[[#This Row],[Q.ta'']]</f>
        <v>#VALUE!</v>
      </c>
      <c r="H640" t="e">
        <f>RigheOfferte[[#This Row],[Lavorazione]]</f>
        <v>#VALUE!</v>
      </c>
      <c r="I640" t="e">
        <f>RigheOfferte[[#This Row],[Colore]]</f>
        <v>#VALUE!</v>
      </c>
      <c r="J640" t="e">
        <f>RigheOfferte[[#This Row],[Velocità]]</f>
        <v>#VALUE!</v>
      </c>
      <c r="K640" t="e">
        <f>RigheOfferte[[#This Row],[Superf.pz Mq]]</f>
        <v>#VALUE!</v>
      </c>
      <c r="L640" t="e">
        <f>RigheOfferte[[#This Row],[passo]]</f>
        <v>#VALUE!</v>
      </c>
      <c r="M640" t="e">
        <f>RigheOfferte[[#This Row],[nr.pezzi Telaio]]</f>
        <v>#VALUE!</v>
      </c>
      <c r="N640" t="e">
        <f>RigheOfferte[[#This Row],[nr.pezzi ora-unita]]</f>
        <v>#VALUE!</v>
      </c>
      <c r="O640" t="e">
        <f>Tabella1[[#This Row],[superificie]]*Resa</f>
        <v>#VALUE!</v>
      </c>
      <c r="P640" t="e">
        <f>Tabella1[[#This Row],[KgPezzo]]*Tabella1[[#This Row],[q.ta offerta]]</f>
        <v>#VALUE!</v>
      </c>
      <c r="Q640" t="e">
        <f>RigheOfferte[[#This Row],[QtaProtez]]</f>
        <v>#VALUE!</v>
      </c>
      <c r="R640" t="e">
        <f>RigheOfferte[[#This Row],[Tipo Protezione]]</f>
        <v>#VALUE!</v>
      </c>
    </row>
    <row r="641" spans="1:18">
      <c r="A641" t="e">
        <f>RigheOfferte[[#This Row],[Nprev]]</f>
        <v>#VALUE!</v>
      </c>
      <c r="B641" t="e">
        <f>RigheOfferte[[#This Row],[Nriga]]</f>
        <v>#VALUE!</v>
      </c>
      <c r="C641" t="e">
        <f>RigheOfferte[[#This Row],[Cliente]]</f>
        <v>#VALUE!</v>
      </c>
      <c r="D641" t="e">
        <f>RigheOfferte[[#This Row],[sub_cliente]]</f>
        <v>#VALUE!</v>
      </c>
      <c r="E641" t="e">
        <f>RigheOfferte[[#This Row],[cod.Art.]]</f>
        <v>#VALUE!</v>
      </c>
      <c r="F641" t="e">
        <f>RigheOfferte[[#This Row],[Descrizione]]</f>
        <v>#VALUE!</v>
      </c>
      <c r="G641" t="e">
        <f>RigheOfferte[[#This Row],[Q.ta'']]</f>
        <v>#VALUE!</v>
      </c>
      <c r="H641" t="e">
        <f>RigheOfferte[[#This Row],[Lavorazione]]</f>
        <v>#VALUE!</v>
      </c>
      <c r="I641" t="e">
        <f>RigheOfferte[[#This Row],[Colore]]</f>
        <v>#VALUE!</v>
      </c>
      <c r="J641" t="e">
        <f>RigheOfferte[[#This Row],[Velocità]]</f>
        <v>#VALUE!</v>
      </c>
      <c r="K641" t="e">
        <f>RigheOfferte[[#This Row],[Superf.pz Mq]]</f>
        <v>#VALUE!</v>
      </c>
      <c r="L641" t="e">
        <f>RigheOfferte[[#This Row],[passo]]</f>
        <v>#VALUE!</v>
      </c>
      <c r="M641" t="e">
        <f>RigheOfferte[[#This Row],[nr.pezzi Telaio]]</f>
        <v>#VALUE!</v>
      </c>
      <c r="N641" t="e">
        <f>RigheOfferte[[#This Row],[nr.pezzi ora-unita]]</f>
        <v>#VALUE!</v>
      </c>
      <c r="O641" t="e">
        <f>Tabella1[[#This Row],[superificie]]*Resa</f>
        <v>#VALUE!</v>
      </c>
      <c r="P641" t="e">
        <f>Tabella1[[#This Row],[KgPezzo]]*Tabella1[[#This Row],[q.ta offerta]]</f>
        <v>#VALUE!</v>
      </c>
      <c r="Q641" t="e">
        <f>RigheOfferte[[#This Row],[QtaProtez]]</f>
        <v>#VALUE!</v>
      </c>
      <c r="R641" t="e">
        <f>RigheOfferte[[#This Row],[Tipo Protezione]]</f>
        <v>#VALUE!</v>
      </c>
    </row>
    <row r="642" spans="1:18">
      <c r="A642" t="e">
        <f>RigheOfferte[[#This Row],[Nprev]]</f>
        <v>#VALUE!</v>
      </c>
      <c r="B642" t="e">
        <f>RigheOfferte[[#This Row],[Nriga]]</f>
        <v>#VALUE!</v>
      </c>
      <c r="C642" t="e">
        <f>RigheOfferte[[#This Row],[Cliente]]</f>
        <v>#VALUE!</v>
      </c>
      <c r="D642" t="e">
        <f>RigheOfferte[[#This Row],[sub_cliente]]</f>
        <v>#VALUE!</v>
      </c>
      <c r="E642" t="e">
        <f>RigheOfferte[[#This Row],[cod.Art.]]</f>
        <v>#VALUE!</v>
      </c>
      <c r="F642" t="e">
        <f>RigheOfferte[[#This Row],[Descrizione]]</f>
        <v>#VALUE!</v>
      </c>
      <c r="G642" t="e">
        <f>RigheOfferte[[#This Row],[Q.ta'']]</f>
        <v>#VALUE!</v>
      </c>
      <c r="H642" t="e">
        <f>RigheOfferte[[#This Row],[Lavorazione]]</f>
        <v>#VALUE!</v>
      </c>
      <c r="I642" t="e">
        <f>RigheOfferte[[#This Row],[Colore]]</f>
        <v>#VALUE!</v>
      </c>
      <c r="J642" t="e">
        <f>RigheOfferte[[#This Row],[Velocità]]</f>
        <v>#VALUE!</v>
      </c>
      <c r="K642" t="e">
        <f>RigheOfferte[[#This Row],[Superf.pz Mq]]</f>
        <v>#VALUE!</v>
      </c>
      <c r="L642" t="e">
        <f>RigheOfferte[[#This Row],[passo]]</f>
        <v>#VALUE!</v>
      </c>
      <c r="M642" t="e">
        <f>RigheOfferte[[#This Row],[nr.pezzi Telaio]]</f>
        <v>#VALUE!</v>
      </c>
      <c r="N642" t="e">
        <f>RigheOfferte[[#This Row],[nr.pezzi ora-unita]]</f>
        <v>#VALUE!</v>
      </c>
      <c r="O642" t="e">
        <f>Tabella1[[#This Row],[superificie]]*Resa</f>
        <v>#VALUE!</v>
      </c>
      <c r="P642" t="e">
        <f>Tabella1[[#This Row],[KgPezzo]]*Tabella1[[#This Row],[q.ta offerta]]</f>
        <v>#VALUE!</v>
      </c>
      <c r="Q642" t="e">
        <f>RigheOfferte[[#This Row],[QtaProtez]]</f>
        <v>#VALUE!</v>
      </c>
      <c r="R642" t="e">
        <f>RigheOfferte[[#This Row],[Tipo Protezione]]</f>
        <v>#VALUE!</v>
      </c>
    </row>
    <row r="643" spans="1:18">
      <c r="A643" t="e">
        <f>RigheOfferte[[#This Row],[Nprev]]</f>
        <v>#VALUE!</v>
      </c>
      <c r="B643" t="e">
        <f>RigheOfferte[[#This Row],[Nriga]]</f>
        <v>#VALUE!</v>
      </c>
      <c r="C643" t="e">
        <f>RigheOfferte[[#This Row],[Cliente]]</f>
        <v>#VALUE!</v>
      </c>
      <c r="D643" t="e">
        <f>RigheOfferte[[#This Row],[sub_cliente]]</f>
        <v>#VALUE!</v>
      </c>
      <c r="E643" t="e">
        <f>RigheOfferte[[#This Row],[cod.Art.]]</f>
        <v>#VALUE!</v>
      </c>
      <c r="F643" t="e">
        <f>RigheOfferte[[#This Row],[Descrizione]]</f>
        <v>#VALUE!</v>
      </c>
      <c r="G643" t="e">
        <f>RigheOfferte[[#This Row],[Q.ta'']]</f>
        <v>#VALUE!</v>
      </c>
      <c r="H643" t="e">
        <f>RigheOfferte[[#This Row],[Lavorazione]]</f>
        <v>#VALUE!</v>
      </c>
      <c r="I643" t="e">
        <f>RigheOfferte[[#This Row],[Colore]]</f>
        <v>#VALUE!</v>
      </c>
      <c r="J643" t="e">
        <f>RigheOfferte[[#This Row],[Velocità]]</f>
        <v>#VALUE!</v>
      </c>
      <c r="K643" t="e">
        <f>RigheOfferte[[#This Row],[Superf.pz Mq]]</f>
        <v>#VALUE!</v>
      </c>
      <c r="L643" t="e">
        <f>RigheOfferte[[#This Row],[passo]]</f>
        <v>#VALUE!</v>
      </c>
      <c r="M643" t="e">
        <f>RigheOfferte[[#This Row],[nr.pezzi Telaio]]</f>
        <v>#VALUE!</v>
      </c>
      <c r="N643" t="e">
        <f>RigheOfferte[[#This Row],[nr.pezzi ora-unita]]</f>
        <v>#VALUE!</v>
      </c>
      <c r="O643" t="e">
        <f>Tabella1[[#This Row],[superificie]]*Resa</f>
        <v>#VALUE!</v>
      </c>
      <c r="P643" t="e">
        <f>Tabella1[[#This Row],[KgPezzo]]*Tabella1[[#This Row],[q.ta offerta]]</f>
        <v>#VALUE!</v>
      </c>
      <c r="Q643" t="e">
        <f>RigheOfferte[[#This Row],[QtaProtez]]</f>
        <v>#VALUE!</v>
      </c>
      <c r="R643" t="e">
        <f>RigheOfferte[[#This Row],[Tipo Protezione]]</f>
        <v>#VALUE!</v>
      </c>
    </row>
    <row r="644" spans="1:18">
      <c r="A644" t="e">
        <f>RigheOfferte[[#This Row],[Nprev]]</f>
        <v>#VALUE!</v>
      </c>
      <c r="B644" t="e">
        <f>RigheOfferte[[#This Row],[Nriga]]</f>
        <v>#VALUE!</v>
      </c>
      <c r="C644" t="e">
        <f>RigheOfferte[[#This Row],[Cliente]]</f>
        <v>#VALUE!</v>
      </c>
      <c r="D644" t="e">
        <f>RigheOfferte[[#This Row],[sub_cliente]]</f>
        <v>#VALUE!</v>
      </c>
      <c r="E644" t="e">
        <f>RigheOfferte[[#This Row],[cod.Art.]]</f>
        <v>#VALUE!</v>
      </c>
      <c r="F644" t="e">
        <f>RigheOfferte[[#This Row],[Descrizione]]</f>
        <v>#VALUE!</v>
      </c>
      <c r="G644" t="e">
        <f>RigheOfferte[[#This Row],[Q.ta'']]</f>
        <v>#VALUE!</v>
      </c>
      <c r="H644" t="e">
        <f>RigheOfferte[[#This Row],[Lavorazione]]</f>
        <v>#VALUE!</v>
      </c>
      <c r="I644" t="e">
        <f>RigheOfferte[[#This Row],[Colore]]</f>
        <v>#VALUE!</v>
      </c>
      <c r="J644" t="e">
        <f>RigheOfferte[[#This Row],[Velocità]]</f>
        <v>#VALUE!</v>
      </c>
      <c r="K644" t="e">
        <f>RigheOfferte[[#This Row],[Superf.pz Mq]]</f>
        <v>#VALUE!</v>
      </c>
      <c r="L644" t="e">
        <f>RigheOfferte[[#This Row],[passo]]</f>
        <v>#VALUE!</v>
      </c>
      <c r="M644" t="e">
        <f>RigheOfferte[[#This Row],[nr.pezzi Telaio]]</f>
        <v>#VALUE!</v>
      </c>
      <c r="N644" t="e">
        <f>RigheOfferte[[#This Row],[nr.pezzi ora-unita]]</f>
        <v>#VALUE!</v>
      </c>
      <c r="O644" t="e">
        <f>Tabella1[[#This Row],[superificie]]*Resa</f>
        <v>#VALUE!</v>
      </c>
      <c r="P644" t="e">
        <f>Tabella1[[#This Row],[KgPezzo]]*Tabella1[[#This Row],[q.ta offerta]]</f>
        <v>#VALUE!</v>
      </c>
      <c r="Q644" t="e">
        <f>RigheOfferte[[#This Row],[QtaProtez]]</f>
        <v>#VALUE!</v>
      </c>
      <c r="R644" t="e">
        <f>RigheOfferte[[#This Row],[Tipo Protezione]]</f>
        <v>#VALUE!</v>
      </c>
    </row>
    <row r="645" spans="1:18">
      <c r="A645" t="e">
        <f>RigheOfferte[[#This Row],[Nprev]]</f>
        <v>#VALUE!</v>
      </c>
      <c r="B645" t="e">
        <f>RigheOfferte[[#This Row],[Nriga]]</f>
        <v>#VALUE!</v>
      </c>
      <c r="C645" t="e">
        <f>RigheOfferte[[#This Row],[Cliente]]</f>
        <v>#VALUE!</v>
      </c>
      <c r="D645" t="e">
        <f>RigheOfferte[[#This Row],[sub_cliente]]</f>
        <v>#VALUE!</v>
      </c>
      <c r="E645" t="e">
        <f>RigheOfferte[[#This Row],[cod.Art.]]</f>
        <v>#VALUE!</v>
      </c>
      <c r="F645" t="e">
        <f>RigheOfferte[[#This Row],[Descrizione]]</f>
        <v>#VALUE!</v>
      </c>
      <c r="G645" t="e">
        <f>RigheOfferte[[#This Row],[Q.ta'']]</f>
        <v>#VALUE!</v>
      </c>
      <c r="H645" t="e">
        <f>RigheOfferte[[#This Row],[Lavorazione]]</f>
        <v>#VALUE!</v>
      </c>
      <c r="I645" t="e">
        <f>RigheOfferte[[#This Row],[Colore]]</f>
        <v>#VALUE!</v>
      </c>
      <c r="J645" t="e">
        <f>RigheOfferte[[#This Row],[Velocità]]</f>
        <v>#VALUE!</v>
      </c>
      <c r="K645" t="e">
        <f>RigheOfferte[[#This Row],[Superf.pz Mq]]</f>
        <v>#VALUE!</v>
      </c>
      <c r="L645" t="e">
        <f>RigheOfferte[[#This Row],[passo]]</f>
        <v>#VALUE!</v>
      </c>
      <c r="M645" t="e">
        <f>RigheOfferte[[#This Row],[nr.pezzi Telaio]]</f>
        <v>#VALUE!</v>
      </c>
      <c r="N645" t="e">
        <f>RigheOfferte[[#This Row],[nr.pezzi ora-unita]]</f>
        <v>#VALUE!</v>
      </c>
      <c r="O645" t="e">
        <f>Tabella1[[#This Row],[superificie]]*Resa</f>
        <v>#VALUE!</v>
      </c>
      <c r="P645" t="e">
        <f>Tabella1[[#This Row],[KgPezzo]]*Tabella1[[#This Row],[q.ta offerta]]</f>
        <v>#VALUE!</v>
      </c>
      <c r="Q645" t="e">
        <f>RigheOfferte[[#This Row],[QtaProtez]]</f>
        <v>#VALUE!</v>
      </c>
      <c r="R645" t="e">
        <f>RigheOfferte[[#This Row],[Tipo Protezione]]</f>
        <v>#VALUE!</v>
      </c>
    </row>
    <row r="646" spans="1:18">
      <c r="A646" t="e">
        <f>RigheOfferte[[#This Row],[Nprev]]</f>
        <v>#VALUE!</v>
      </c>
      <c r="B646" t="e">
        <f>RigheOfferte[[#This Row],[Nriga]]</f>
        <v>#VALUE!</v>
      </c>
      <c r="C646" t="e">
        <f>RigheOfferte[[#This Row],[Cliente]]</f>
        <v>#VALUE!</v>
      </c>
      <c r="D646" t="e">
        <f>RigheOfferte[[#This Row],[sub_cliente]]</f>
        <v>#VALUE!</v>
      </c>
      <c r="E646" t="e">
        <f>RigheOfferte[[#This Row],[cod.Art.]]</f>
        <v>#VALUE!</v>
      </c>
      <c r="F646" t="e">
        <f>RigheOfferte[[#This Row],[Descrizione]]</f>
        <v>#VALUE!</v>
      </c>
      <c r="G646" t="e">
        <f>RigheOfferte[[#This Row],[Q.ta'']]</f>
        <v>#VALUE!</v>
      </c>
      <c r="H646" t="e">
        <f>RigheOfferte[[#This Row],[Lavorazione]]</f>
        <v>#VALUE!</v>
      </c>
      <c r="I646" t="e">
        <f>RigheOfferte[[#This Row],[Colore]]</f>
        <v>#VALUE!</v>
      </c>
      <c r="J646" t="e">
        <f>RigheOfferte[[#This Row],[Velocità]]</f>
        <v>#VALUE!</v>
      </c>
      <c r="K646" t="e">
        <f>RigheOfferte[[#This Row],[Superf.pz Mq]]</f>
        <v>#VALUE!</v>
      </c>
      <c r="L646" t="e">
        <f>RigheOfferte[[#This Row],[passo]]</f>
        <v>#VALUE!</v>
      </c>
      <c r="M646" t="e">
        <f>RigheOfferte[[#This Row],[nr.pezzi Telaio]]</f>
        <v>#VALUE!</v>
      </c>
      <c r="N646" t="e">
        <f>RigheOfferte[[#This Row],[nr.pezzi ora-unita]]</f>
        <v>#VALUE!</v>
      </c>
      <c r="O646" t="e">
        <f>Tabella1[[#This Row],[superificie]]*Resa</f>
        <v>#VALUE!</v>
      </c>
      <c r="P646" t="e">
        <f>Tabella1[[#This Row],[KgPezzo]]*Tabella1[[#This Row],[q.ta offerta]]</f>
        <v>#VALUE!</v>
      </c>
      <c r="Q646" t="e">
        <f>RigheOfferte[[#This Row],[QtaProtez]]</f>
        <v>#VALUE!</v>
      </c>
      <c r="R646" t="e">
        <f>RigheOfferte[[#This Row],[Tipo Protezione]]</f>
        <v>#VALUE!</v>
      </c>
    </row>
    <row r="647" spans="1:18">
      <c r="A647" t="e">
        <f>RigheOfferte[[#This Row],[Nprev]]</f>
        <v>#VALUE!</v>
      </c>
      <c r="B647" t="e">
        <f>RigheOfferte[[#This Row],[Nriga]]</f>
        <v>#VALUE!</v>
      </c>
      <c r="C647" t="e">
        <f>RigheOfferte[[#This Row],[Cliente]]</f>
        <v>#VALUE!</v>
      </c>
      <c r="D647" t="e">
        <f>RigheOfferte[[#This Row],[sub_cliente]]</f>
        <v>#VALUE!</v>
      </c>
      <c r="E647" t="e">
        <f>RigheOfferte[[#This Row],[cod.Art.]]</f>
        <v>#VALUE!</v>
      </c>
      <c r="F647" t="e">
        <f>RigheOfferte[[#This Row],[Descrizione]]</f>
        <v>#VALUE!</v>
      </c>
      <c r="G647" t="e">
        <f>RigheOfferte[[#This Row],[Q.ta'']]</f>
        <v>#VALUE!</v>
      </c>
      <c r="H647" t="e">
        <f>RigheOfferte[[#This Row],[Lavorazione]]</f>
        <v>#VALUE!</v>
      </c>
      <c r="I647" t="e">
        <f>RigheOfferte[[#This Row],[Colore]]</f>
        <v>#VALUE!</v>
      </c>
      <c r="J647" t="e">
        <f>RigheOfferte[[#This Row],[Velocità]]</f>
        <v>#VALUE!</v>
      </c>
      <c r="K647" t="e">
        <f>RigheOfferte[[#This Row],[Superf.pz Mq]]</f>
        <v>#VALUE!</v>
      </c>
      <c r="L647" t="e">
        <f>RigheOfferte[[#This Row],[passo]]</f>
        <v>#VALUE!</v>
      </c>
      <c r="M647" t="e">
        <f>RigheOfferte[[#This Row],[nr.pezzi Telaio]]</f>
        <v>#VALUE!</v>
      </c>
      <c r="N647" t="e">
        <f>RigheOfferte[[#This Row],[nr.pezzi ora-unita]]</f>
        <v>#VALUE!</v>
      </c>
      <c r="O647" t="e">
        <f>Tabella1[[#This Row],[superificie]]*Resa</f>
        <v>#VALUE!</v>
      </c>
      <c r="P647" t="e">
        <f>Tabella1[[#This Row],[KgPezzo]]*Tabella1[[#This Row],[q.ta offerta]]</f>
        <v>#VALUE!</v>
      </c>
      <c r="Q647" t="e">
        <f>RigheOfferte[[#This Row],[QtaProtez]]</f>
        <v>#VALUE!</v>
      </c>
      <c r="R647" t="e">
        <f>RigheOfferte[[#This Row],[Tipo Protezione]]</f>
        <v>#VALUE!</v>
      </c>
    </row>
    <row r="648" spans="1:18">
      <c r="A648" t="e">
        <f>RigheOfferte[[#This Row],[Nprev]]</f>
        <v>#VALUE!</v>
      </c>
      <c r="B648" t="e">
        <f>RigheOfferte[[#This Row],[Nriga]]</f>
        <v>#VALUE!</v>
      </c>
      <c r="C648" t="e">
        <f>RigheOfferte[[#This Row],[Cliente]]</f>
        <v>#VALUE!</v>
      </c>
      <c r="D648" t="e">
        <f>RigheOfferte[[#This Row],[sub_cliente]]</f>
        <v>#VALUE!</v>
      </c>
      <c r="E648" t="e">
        <f>RigheOfferte[[#This Row],[cod.Art.]]</f>
        <v>#VALUE!</v>
      </c>
      <c r="F648" t="e">
        <f>RigheOfferte[[#This Row],[Descrizione]]</f>
        <v>#VALUE!</v>
      </c>
      <c r="G648" t="e">
        <f>RigheOfferte[[#This Row],[Q.ta'']]</f>
        <v>#VALUE!</v>
      </c>
      <c r="H648" t="e">
        <f>RigheOfferte[[#This Row],[Lavorazione]]</f>
        <v>#VALUE!</v>
      </c>
      <c r="I648" t="e">
        <f>RigheOfferte[[#This Row],[Colore]]</f>
        <v>#VALUE!</v>
      </c>
      <c r="J648" t="e">
        <f>RigheOfferte[[#This Row],[Velocità]]</f>
        <v>#VALUE!</v>
      </c>
      <c r="K648" t="e">
        <f>RigheOfferte[[#This Row],[Superf.pz Mq]]</f>
        <v>#VALUE!</v>
      </c>
      <c r="L648" t="e">
        <f>RigheOfferte[[#This Row],[passo]]</f>
        <v>#VALUE!</v>
      </c>
      <c r="M648" t="e">
        <f>RigheOfferte[[#This Row],[nr.pezzi Telaio]]</f>
        <v>#VALUE!</v>
      </c>
      <c r="N648" t="e">
        <f>RigheOfferte[[#This Row],[nr.pezzi ora-unita]]</f>
        <v>#VALUE!</v>
      </c>
      <c r="O648" t="e">
        <f>Tabella1[[#This Row],[superificie]]*Resa</f>
        <v>#VALUE!</v>
      </c>
      <c r="P648" t="e">
        <f>Tabella1[[#This Row],[KgPezzo]]*Tabella1[[#This Row],[q.ta offerta]]</f>
        <v>#VALUE!</v>
      </c>
      <c r="Q648" t="e">
        <f>RigheOfferte[[#This Row],[QtaProtez]]</f>
        <v>#VALUE!</v>
      </c>
      <c r="R648" t="e">
        <f>RigheOfferte[[#This Row],[Tipo Protezione]]</f>
        <v>#VALUE!</v>
      </c>
    </row>
    <row r="649" spans="1:18">
      <c r="A649" t="e">
        <f>RigheOfferte[[#This Row],[Nprev]]</f>
        <v>#VALUE!</v>
      </c>
      <c r="B649" t="e">
        <f>RigheOfferte[[#This Row],[Nriga]]</f>
        <v>#VALUE!</v>
      </c>
      <c r="C649" t="e">
        <f>RigheOfferte[[#This Row],[Cliente]]</f>
        <v>#VALUE!</v>
      </c>
      <c r="D649" t="e">
        <f>RigheOfferte[[#This Row],[sub_cliente]]</f>
        <v>#VALUE!</v>
      </c>
      <c r="E649" t="e">
        <f>RigheOfferte[[#This Row],[cod.Art.]]</f>
        <v>#VALUE!</v>
      </c>
      <c r="F649" t="e">
        <f>RigheOfferte[[#This Row],[Descrizione]]</f>
        <v>#VALUE!</v>
      </c>
      <c r="G649" t="e">
        <f>RigheOfferte[[#This Row],[Q.ta'']]</f>
        <v>#VALUE!</v>
      </c>
      <c r="H649" t="e">
        <f>RigheOfferte[[#This Row],[Lavorazione]]</f>
        <v>#VALUE!</v>
      </c>
      <c r="I649" t="e">
        <f>RigheOfferte[[#This Row],[Colore]]</f>
        <v>#VALUE!</v>
      </c>
      <c r="J649" t="e">
        <f>RigheOfferte[[#This Row],[Velocità]]</f>
        <v>#VALUE!</v>
      </c>
      <c r="K649" t="e">
        <f>RigheOfferte[[#This Row],[Superf.pz Mq]]</f>
        <v>#VALUE!</v>
      </c>
      <c r="L649" t="e">
        <f>RigheOfferte[[#This Row],[passo]]</f>
        <v>#VALUE!</v>
      </c>
      <c r="M649" t="e">
        <f>RigheOfferte[[#This Row],[nr.pezzi Telaio]]</f>
        <v>#VALUE!</v>
      </c>
      <c r="N649" t="e">
        <f>RigheOfferte[[#This Row],[nr.pezzi ora-unita]]</f>
        <v>#VALUE!</v>
      </c>
      <c r="O649" t="e">
        <f>Tabella1[[#This Row],[superificie]]*Resa</f>
        <v>#VALUE!</v>
      </c>
      <c r="P649" t="e">
        <f>Tabella1[[#This Row],[KgPezzo]]*Tabella1[[#This Row],[q.ta offerta]]</f>
        <v>#VALUE!</v>
      </c>
      <c r="Q649" t="e">
        <f>RigheOfferte[[#This Row],[QtaProtez]]</f>
        <v>#VALUE!</v>
      </c>
      <c r="R649" t="e">
        <f>RigheOfferte[[#This Row],[Tipo Protezione]]</f>
        <v>#VALUE!</v>
      </c>
    </row>
    <row r="650" spans="1:18">
      <c r="A650" t="e">
        <f>RigheOfferte[[#This Row],[Nprev]]</f>
        <v>#VALUE!</v>
      </c>
      <c r="B650" t="e">
        <f>RigheOfferte[[#This Row],[Nriga]]</f>
        <v>#VALUE!</v>
      </c>
      <c r="C650" t="e">
        <f>RigheOfferte[[#This Row],[Cliente]]</f>
        <v>#VALUE!</v>
      </c>
      <c r="D650" t="e">
        <f>RigheOfferte[[#This Row],[sub_cliente]]</f>
        <v>#VALUE!</v>
      </c>
      <c r="E650" t="e">
        <f>RigheOfferte[[#This Row],[cod.Art.]]</f>
        <v>#VALUE!</v>
      </c>
      <c r="F650" t="e">
        <f>RigheOfferte[[#This Row],[Descrizione]]</f>
        <v>#VALUE!</v>
      </c>
      <c r="G650" t="e">
        <f>RigheOfferte[[#This Row],[Q.ta'']]</f>
        <v>#VALUE!</v>
      </c>
      <c r="H650" t="e">
        <f>RigheOfferte[[#This Row],[Lavorazione]]</f>
        <v>#VALUE!</v>
      </c>
      <c r="I650" t="e">
        <f>RigheOfferte[[#This Row],[Colore]]</f>
        <v>#VALUE!</v>
      </c>
      <c r="J650" t="e">
        <f>RigheOfferte[[#This Row],[Velocità]]</f>
        <v>#VALUE!</v>
      </c>
      <c r="K650" t="e">
        <f>RigheOfferte[[#This Row],[Superf.pz Mq]]</f>
        <v>#VALUE!</v>
      </c>
      <c r="L650" t="e">
        <f>RigheOfferte[[#This Row],[passo]]</f>
        <v>#VALUE!</v>
      </c>
      <c r="M650" t="e">
        <f>RigheOfferte[[#This Row],[nr.pezzi Telaio]]</f>
        <v>#VALUE!</v>
      </c>
      <c r="N650" t="e">
        <f>RigheOfferte[[#This Row],[nr.pezzi ora-unita]]</f>
        <v>#VALUE!</v>
      </c>
      <c r="O650" t="e">
        <f>Tabella1[[#This Row],[superificie]]*Resa</f>
        <v>#VALUE!</v>
      </c>
      <c r="P650" t="e">
        <f>Tabella1[[#This Row],[KgPezzo]]*Tabella1[[#This Row],[q.ta offerta]]</f>
        <v>#VALUE!</v>
      </c>
      <c r="Q650" t="e">
        <f>RigheOfferte[[#This Row],[QtaProtez]]</f>
        <v>#VALUE!</v>
      </c>
      <c r="R650" t="e">
        <f>RigheOfferte[[#This Row],[Tipo Protezione]]</f>
        <v>#VALUE!</v>
      </c>
    </row>
    <row r="651" spans="1:18">
      <c r="A651" t="e">
        <f>RigheOfferte[[#This Row],[Nprev]]</f>
        <v>#VALUE!</v>
      </c>
      <c r="B651" t="e">
        <f>RigheOfferte[[#This Row],[Nriga]]</f>
        <v>#VALUE!</v>
      </c>
      <c r="C651" t="e">
        <f>RigheOfferte[[#This Row],[Cliente]]</f>
        <v>#VALUE!</v>
      </c>
      <c r="D651" t="e">
        <f>RigheOfferte[[#This Row],[sub_cliente]]</f>
        <v>#VALUE!</v>
      </c>
      <c r="E651" t="e">
        <f>RigheOfferte[[#This Row],[cod.Art.]]</f>
        <v>#VALUE!</v>
      </c>
      <c r="F651" t="e">
        <f>RigheOfferte[[#This Row],[Descrizione]]</f>
        <v>#VALUE!</v>
      </c>
      <c r="G651" t="e">
        <f>RigheOfferte[[#This Row],[Q.ta'']]</f>
        <v>#VALUE!</v>
      </c>
      <c r="H651" t="e">
        <f>RigheOfferte[[#This Row],[Lavorazione]]</f>
        <v>#VALUE!</v>
      </c>
      <c r="I651" t="e">
        <f>RigheOfferte[[#This Row],[Colore]]</f>
        <v>#VALUE!</v>
      </c>
      <c r="J651" t="e">
        <f>RigheOfferte[[#This Row],[Velocità]]</f>
        <v>#VALUE!</v>
      </c>
      <c r="K651" t="e">
        <f>RigheOfferte[[#This Row],[Superf.pz Mq]]</f>
        <v>#VALUE!</v>
      </c>
      <c r="L651" t="e">
        <f>RigheOfferte[[#This Row],[passo]]</f>
        <v>#VALUE!</v>
      </c>
      <c r="M651" t="e">
        <f>RigheOfferte[[#This Row],[nr.pezzi Telaio]]</f>
        <v>#VALUE!</v>
      </c>
      <c r="N651" t="e">
        <f>RigheOfferte[[#This Row],[nr.pezzi ora-unita]]</f>
        <v>#VALUE!</v>
      </c>
      <c r="O651" t="e">
        <f>Tabella1[[#This Row],[superificie]]*Resa</f>
        <v>#VALUE!</v>
      </c>
      <c r="P651" t="e">
        <f>Tabella1[[#This Row],[KgPezzo]]*Tabella1[[#This Row],[q.ta offerta]]</f>
        <v>#VALUE!</v>
      </c>
      <c r="Q651" t="e">
        <f>RigheOfferte[[#This Row],[QtaProtez]]</f>
        <v>#VALUE!</v>
      </c>
      <c r="R651" t="e">
        <f>RigheOfferte[[#This Row],[Tipo Protezione]]</f>
        <v>#VALUE!</v>
      </c>
    </row>
    <row r="652" spans="1:18">
      <c r="A652" t="e">
        <f>RigheOfferte[[#This Row],[Nprev]]</f>
        <v>#VALUE!</v>
      </c>
      <c r="B652" t="e">
        <f>RigheOfferte[[#This Row],[Nriga]]</f>
        <v>#VALUE!</v>
      </c>
      <c r="C652" t="e">
        <f>RigheOfferte[[#This Row],[Cliente]]</f>
        <v>#VALUE!</v>
      </c>
      <c r="D652" t="e">
        <f>RigheOfferte[[#This Row],[sub_cliente]]</f>
        <v>#VALUE!</v>
      </c>
      <c r="E652" t="e">
        <f>RigheOfferte[[#This Row],[cod.Art.]]</f>
        <v>#VALUE!</v>
      </c>
      <c r="F652" t="e">
        <f>RigheOfferte[[#This Row],[Descrizione]]</f>
        <v>#VALUE!</v>
      </c>
      <c r="G652" t="e">
        <f>RigheOfferte[[#This Row],[Q.ta'']]</f>
        <v>#VALUE!</v>
      </c>
      <c r="H652" t="e">
        <f>RigheOfferte[[#This Row],[Lavorazione]]</f>
        <v>#VALUE!</v>
      </c>
      <c r="I652" t="e">
        <f>RigheOfferte[[#This Row],[Colore]]</f>
        <v>#VALUE!</v>
      </c>
      <c r="J652" t="e">
        <f>RigheOfferte[[#This Row],[Velocità]]</f>
        <v>#VALUE!</v>
      </c>
      <c r="K652" t="e">
        <f>RigheOfferte[[#This Row],[Superf.pz Mq]]</f>
        <v>#VALUE!</v>
      </c>
      <c r="L652" t="e">
        <f>RigheOfferte[[#This Row],[passo]]</f>
        <v>#VALUE!</v>
      </c>
      <c r="M652" t="e">
        <f>RigheOfferte[[#This Row],[nr.pezzi Telaio]]</f>
        <v>#VALUE!</v>
      </c>
      <c r="N652" t="e">
        <f>RigheOfferte[[#This Row],[nr.pezzi ora-unita]]</f>
        <v>#VALUE!</v>
      </c>
      <c r="O652" t="e">
        <f>Tabella1[[#This Row],[superificie]]*Resa</f>
        <v>#VALUE!</v>
      </c>
      <c r="P652" t="e">
        <f>Tabella1[[#This Row],[KgPezzo]]*Tabella1[[#This Row],[q.ta offerta]]</f>
        <v>#VALUE!</v>
      </c>
      <c r="Q652" t="e">
        <f>RigheOfferte[[#This Row],[QtaProtez]]</f>
        <v>#VALUE!</v>
      </c>
      <c r="R652" t="e">
        <f>RigheOfferte[[#This Row],[Tipo Protezione]]</f>
        <v>#VALUE!</v>
      </c>
    </row>
    <row r="653" spans="1:18">
      <c r="A653" t="e">
        <f>RigheOfferte[[#This Row],[Nprev]]</f>
        <v>#VALUE!</v>
      </c>
      <c r="B653" t="e">
        <f>RigheOfferte[[#This Row],[Nriga]]</f>
        <v>#VALUE!</v>
      </c>
      <c r="C653" t="e">
        <f>RigheOfferte[[#This Row],[Cliente]]</f>
        <v>#VALUE!</v>
      </c>
      <c r="D653" t="e">
        <f>RigheOfferte[[#This Row],[sub_cliente]]</f>
        <v>#VALUE!</v>
      </c>
      <c r="E653" t="e">
        <f>RigheOfferte[[#This Row],[cod.Art.]]</f>
        <v>#VALUE!</v>
      </c>
      <c r="F653" t="e">
        <f>RigheOfferte[[#This Row],[Descrizione]]</f>
        <v>#VALUE!</v>
      </c>
      <c r="G653" t="e">
        <f>RigheOfferte[[#This Row],[Q.ta'']]</f>
        <v>#VALUE!</v>
      </c>
      <c r="H653" t="e">
        <f>RigheOfferte[[#This Row],[Lavorazione]]</f>
        <v>#VALUE!</v>
      </c>
      <c r="I653" t="e">
        <f>RigheOfferte[[#This Row],[Colore]]</f>
        <v>#VALUE!</v>
      </c>
      <c r="J653" t="e">
        <f>RigheOfferte[[#This Row],[Velocità]]</f>
        <v>#VALUE!</v>
      </c>
      <c r="K653" t="e">
        <f>RigheOfferte[[#This Row],[Superf.pz Mq]]</f>
        <v>#VALUE!</v>
      </c>
      <c r="L653" t="e">
        <f>RigheOfferte[[#This Row],[passo]]</f>
        <v>#VALUE!</v>
      </c>
      <c r="M653" t="e">
        <f>RigheOfferte[[#This Row],[nr.pezzi Telaio]]</f>
        <v>#VALUE!</v>
      </c>
      <c r="N653" t="e">
        <f>RigheOfferte[[#This Row],[nr.pezzi ora-unita]]</f>
        <v>#VALUE!</v>
      </c>
      <c r="O653" t="e">
        <f>Tabella1[[#This Row],[superificie]]*Resa</f>
        <v>#VALUE!</v>
      </c>
      <c r="P653" t="e">
        <f>Tabella1[[#This Row],[KgPezzo]]*Tabella1[[#This Row],[q.ta offerta]]</f>
        <v>#VALUE!</v>
      </c>
      <c r="Q653" t="e">
        <f>RigheOfferte[[#This Row],[QtaProtez]]</f>
        <v>#VALUE!</v>
      </c>
      <c r="R653" t="e">
        <f>RigheOfferte[[#This Row],[Tipo Protezione]]</f>
        <v>#VALUE!</v>
      </c>
    </row>
    <row r="654" spans="1:18">
      <c r="A654" t="e">
        <f>RigheOfferte[[#This Row],[Nprev]]</f>
        <v>#VALUE!</v>
      </c>
      <c r="B654" t="e">
        <f>RigheOfferte[[#This Row],[Nriga]]</f>
        <v>#VALUE!</v>
      </c>
      <c r="C654" t="e">
        <f>RigheOfferte[[#This Row],[Cliente]]</f>
        <v>#VALUE!</v>
      </c>
      <c r="D654" t="e">
        <f>RigheOfferte[[#This Row],[sub_cliente]]</f>
        <v>#VALUE!</v>
      </c>
      <c r="E654" t="e">
        <f>RigheOfferte[[#This Row],[cod.Art.]]</f>
        <v>#VALUE!</v>
      </c>
      <c r="F654" t="e">
        <f>RigheOfferte[[#This Row],[Descrizione]]</f>
        <v>#VALUE!</v>
      </c>
      <c r="G654" t="e">
        <f>RigheOfferte[[#This Row],[Q.ta'']]</f>
        <v>#VALUE!</v>
      </c>
      <c r="H654" t="e">
        <f>RigheOfferte[[#This Row],[Lavorazione]]</f>
        <v>#VALUE!</v>
      </c>
      <c r="I654" t="e">
        <f>RigheOfferte[[#This Row],[Colore]]</f>
        <v>#VALUE!</v>
      </c>
      <c r="J654" t="e">
        <f>RigheOfferte[[#This Row],[Velocità]]</f>
        <v>#VALUE!</v>
      </c>
      <c r="K654" t="e">
        <f>RigheOfferte[[#This Row],[Superf.pz Mq]]</f>
        <v>#VALUE!</v>
      </c>
      <c r="L654" t="e">
        <f>RigheOfferte[[#This Row],[passo]]</f>
        <v>#VALUE!</v>
      </c>
      <c r="M654" t="e">
        <f>RigheOfferte[[#This Row],[nr.pezzi Telaio]]</f>
        <v>#VALUE!</v>
      </c>
      <c r="N654" t="e">
        <f>RigheOfferte[[#This Row],[nr.pezzi ora-unita]]</f>
        <v>#VALUE!</v>
      </c>
      <c r="O654" t="e">
        <f>Tabella1[[#This Row],[superificie]]*Resa</f>
        <v>#VALUE!</v>
      </c>
      <c r="P654" t="e">
        <f>Tabella1[[#This Row],[KgPezzo]]*Tabella1[[#This Row],[q.ta offerta]]</f>
        <v>#VALUE!</v>
      </c>
      <c r="Q654" t="e">
        <f>RigheOfferte[[#This Row],[QtaProtez]]</f>
        <v>#VALUE!</v>
      </c>
      <c r="R654" t="e">
        <f>RigheOfferte[[#This Row],[Tipo Protezione]]</f>
        <v>#VALUE!</v>
      </c>
    </row>
    <row r="655" spans="1:18">
      <c r="A655" t="e">
        <f>RigheOfferte[[#This Row],[Nprev]]</f>
        <v>#VALUE!</v>
      </c>
      <c r="B655" t="e">
        <f>RigheOfferte[[#This Row],[Nriga]]</f>
        <v>#VALUE!</v>
      </c>
      <c r="C655" t="e">
        <f>RigheOfferte[[#This Row],[Cliente]]</f>
        <v>#VALUE!</v>
      </c>
      <c r="D655" t="e">
        <f>RigheOfferte[[#This Row],[sub_cliente]]</f>
        <v>#VALUE!</v>
      </c>
      <c r="E655" t="e">
        <f>RigheOfferte[[#This Row],[cod.Art.]]</f>
        <v>#VALUE!</v>
      </c>
      <c r="F655" t="e">
        <f>RigheOfferte[[#This Row],[Descrizione]]</f>
        <v>#VALUE!</v>
      </c>
      <c r="G655" t="e">
        <f>RigheOfferte[[#This Row],[Q.ta'']]</f>
        <v>#VALUE!</v>
      </c>
      <c r="H655" t="e">
        <f>RigheOfferte[[#This Row],[Lavorazione]]</f>
        <v>#VALUE!</v>
      </c>
      <c r="I655" t="e">
        <f>RigheOfferte[[#This Row],[Colore]]</f>
        <v>#VALUE!</v>
      </c>
      <c r="J655" t="e">
        <f>RigheOfferte[[#This Row],[Velocità]]</f>
        <v>#VALUE!</v>
      </c>
      <c r="K655" t="e">
        <f>RigheOfferte[[#This Row],[Superf.pz Mq]]</f>
        <v>#VALUE!</v>
      </c>
      <c r="L655" t="e">
        <f>RigheOfferte[[#This Row],[passo]]</f>
        <v>#VALUE!</v>
      </c>
      <c r="M655" t="e">
        <f>RigheOfferte[[#This Row],[nr.pezzi Telaio]]</f>
        <v>#VALUE!</v>
      </c>
      <c r="N655" t="e">
        <f>RigheOfferte[[#This Row],[nr.pezzi ora-unita]]</f>
        <v>#VALUE!</v>
      </c>
      <c r="O655" t="e">
        <f>Tabella1[[#This Row],[superificie]]*Resa</f>
        <v>#VALUE!</v>
      </c>
      <c r="P655" t="e">
        <f>Tabella1[[#This Row],[KgPezzo]]*Tabella1[[#This Row],[q.ta offerta]]</f>
        <v>#VALUE!</v>
      </c>
      <c r="Q655" t="e">
        <f>RigheOfferte[[#This Row],[QtaProtez]]</f>
        <v>#VALUE!</v>
      </c>
      <c r="R655" t="e">
        <f>RigheOfferte[[#This Row],[Tipo Protezione]]</f>
        <v>#VALUE!</v>
      </c>
    </row>
    <row r="656" spans="1:18">
      <c r="A656" t="e">
        <f>RigheOfferte[[#This Row],[Nprev]]</f>
        <v>#VALUE!</v>
      </c>
      <c r="B656" t="e">
        <f>RigheOfferte[[#This Row],[Nriga]]</f>
        <v>#VALUE!</v>
      </c>
      <c r="C656" t="e">
        <f>RigheOfferte[[#This Row],[Cliente]]</f>
        <v>#VALUE!</v>
      </c>
      <c r="D656" t="e">
        <f>RigheOfferte[[#This Row],[sub_cliente]]</f>
        <v>#VALUE!</v>
      </c>
      <c r="E656" t="e">
        <f>RigheOfferte[[#This Row],[cod.Art.]]</f>
        <v>#VALUE!</v>
      </c>
      <c r="F656" t="e">
        <f>RigheOfferte[[#This Row],[Descrizione]]</f>
        <v>#VALUE!</v>
      </c>
      <c r="G656" t="e">
        <f>RigheOfferte[[#This Row],[Q.ta'']]</f>
        <v>#VALUE!</v>
      </c>
      <c r="H656" t="e">
        <f>RigheOfferte[[#This Row],[Lavorazione]]</f>
        <v>#VALUE!</v>
      </c>
      <c r="I656" t="e">
        <f>RigheOfferte[[#This Row],[Colore]]</f>
        <v>#VALUE!</v>
      </c>
      <c r="J656" t="e">
        <f>RigheOfferte[[#This Row],[Velocità]]</f>
        <v>#VALUE!</v>
      </c>
      <c r="K656" t="e">
        <f>RigheOfferte[[#This Row],[Superf.pz Mq]]</f>
        <v>#VALUE!</v>
      </c>
      <c r="L656" t="e">
        <f>RigheOfferte[[#This Row],[passo]]</f>
        <v>#VALUE!</v>
      </c>
      <c r="M656" t="e">
        <f>RigheOfferte[[#This Row],[nr.pezzi Telaio]]</f>
        <v>#VALUE!</v>
      </c>
      <c r="N656" t="e">
        <f>RigheOfferte[[#This Row],[nr.pezzi ora-unita]]</f>
        <v>#VALUE!</v>
      </c>
      <c r="O656" t="e">
        <f>Tabella1[[#This Row],[superificie]]*Resa</f>
        <v>#VALUE!</v>
      </c>
      <c r="P656" t="e">
        <f>Tabella1[[#This Row],[KgPezzo]]*Tabella1[[#This Row],[q.ta offerta]]</f>
        <v>#VALUE!</v>
      </c>
      <c r="Q656" t="e">
        <f>RigheOfferte[[#This Row],[QtaProtez]]</f>
        <v>#VALUE!</v>
      </c>
      <c r="R656" t="e">
        <f>RigheOfferte[[#This Row],[Tipo Protezione]]</f>
        <v>#VALUE!</v>
      </c>
    </row>
    <row r="657" spans="1:18">
      <c r="A657" t="e">
        <f>RigheOfferte[[#This Row],[Nprev]]</f>
        <v>#VALUE!</v>
      </c>
      <c r="B657" t="e">
        <f>RigheOfferte[[#This Row],[Nriga]]</f>
        <v>#VALUE!</v>
      </c>
      <c r="C657" t="e">
        <f>RigheOfferte[[#This Row],[Cliente]]</f>
        <v>#VALUE!</v>
      </c>
      <c r="D657" t="e">
        <f>RigheOfferte[[#This Row],[sub_cliente]]</f>
        <v>#VALUE!</v>
      </c>
      <c r="E657" t="e">
        <f>RigheOfferte[[#This Row],[cod.Art.]]</f>
        <v>#VALUE!</v>
      </c>
      <c r="F657" t="e">
        <f>RigheOfferte[[#This Row],[Descrizione]]</f>
        <v>#VALUE!</v>
      </c>
      <c r="G657" t="e">
        <f>RigheOfferte[[#This Row],[Q.ta'']]</f>
        <v>#VALUE!</v>
      </c>
      <c r="H657" t="e">
        <f>RigheOfferte[[#This Row],[Lavorazione]]</f>
        <v>#VALUE!</v>
      </c>
      <c r="I657" t="e">
        <f>RigheOfferte[[#This Row],[Colore]]</f>
        <v>#VALUE!</v>
      </c>
      <c r="J657" t="e">
        <f>RigheOfferte[[#This Row],[Velocità]]</f>
        <v>#VALUE!</v>
      </c>
      <c r="K657" t="e">
        <f>RigheOfferte[[#This Row],[Superf.pz Mq]]</f>
        <v>#VALUE!</v>
      </c>
      <c r="L657" t="e">
        <f>RigheOfferte[[#This Row],[passo]]</f>
        <v>#VALUE!</v>
      </c>
      <c r="M657" t="e">
        <f>RigheOfferte[[#This Row],[nr.pezzi Telaio]]</f>
        <v>#VALUE!</v>
      </c>
      <c r="N657" t="e">
        <f>RigheOfferte[[#This Row],[nr.pezzi ora-unita]]</f>
        <v>#VALUE!</v>
      </c>
      <c r="O657" t="e">
        <f>Tabella1[[#This Row],[superificie]]*Resa</f>
        <v>#VALUE!</v>
      </c>
      <c r="P657" t="e">
        <f>Tabella1[[#This Row],[KgPezzo]]*Tabella1[[#This Row],[q.ta offerta]]</f>
        <v>#VALUE!</v>
      </c>
      <c r="Q657" t="e">
        <f>RigheOfferte[[#This Row],[QtaProtez]]</f>
        <v>#VALUE!</v>
      </c>
      <c r="R657" t="e">
        <f>RigheOfferte[[#This Row],[Tipo Protezione]]</f>
        <v>#VALUE!</v>
      </c>
    </row>
    <row r="658" spans="1:18">
      <c r="A658" t="e">
        <f>RigheOfferte[[#This Row],[Nprev]]</f>
        <v>#VALUE!</v>
      </c>
      <c r="B658" t="e">
        <f>RigheOfferte[[#This Row],[Nriga]]</f>
        <v>#VALUE!</v>
      </c>
      <c r="C658" t="e">
        <f>RigheOfferte[[#This Row],[Cliente]]</f>
        <v>#VALUE!</v>
      </c>
      <c r="D658" t="e">
        <f>RigheOfferte[[#This Row],[sub_cliente]]</f>
        <v>#VALUE!</v>
      </c>
      <c r="E658" t="e">
        <f>RigheOfferte[[#This Row],[cod.Art.]]</f>
        <v>#VALUE!</v>
      </c>
      <c r="F658" t="e">
        <f>RigheOfferte[[#This Row],[Descrizione]]</f>
        <v>#VALUE!</v>
      </c>
      <c r="G658" t="e">
        <f>RigheOfferte[[#This Row],[Q.ta'']]</f>
        <v>#VALUE!</v>
      </c>
      <c r="H658" t="e">
        <f>RigheOfferte[[#This Row],[Lavorazione]]</f>
        <v>#VALUE!</v>
      </c>
      <c r="I658" t="e">
        <f>RigheOfferte[[#This Row],[Colore]]</f>
        <v>#VALUE!</v>
      </c>
      <c r="J658" t="e">
        <f>RigheOfferte[[#This Row],[Velocità]]</f>
        <v>#VALUE!</v>
      </c>
      <c r="K658" t="e">
        <f>RigheOfferte[[#This Row],[Superf.pz Mq]]</f>
        <v>#VALUE!</v>
      </c>
      <c r="L658" t="e">
        <f>RigheOfferte[[#This Row],[passo]]</f>
        <v>#VALUE!</v>
      </c>
      <c r="M658" t="e">
        <f>RigheOfferte[[#This Row],[nr.pezzi Telaio]]</f>
        <v>#VALUE!</v>
      </c>
      <c r="N658" t="e">
        <f>RigheOfferte[[#This Row],[nr.pezzi ora-unita]]</f>
        <v>#VALUE!</v>
      </c>
      <c r="O658" t="e">
        <f>Tabella1[[#This Row],[superificie]]*Resa</f>
        <v>#VALUE!</v>
      </c>
      <c r="P658" t="e">
        <f>Tabella1[[#This Row],[KgPezzo]]*Tabella1[[#This Row],[q.ta offerta]]</f>
        <v>#VALUE!</v>
      </c>
      <c r="Q658" t="e">
        <f>RigheOfferte[[#This Row],[QtaProtez]]</f>
        <v>#VALUE!</v>
      </c>
      <c r="R658" t="e">
        <f>RigheOfferte[[#This Row],[Tipo Protezione]]</f>
        <v>#VALUE!</v>
      </c>
    </row>
    <row r="659" spans="1:18">
      <c r="A659" t="e">
        <f>RigheOfferte[[#This Row],[Nprev]]</f>
        <v>#VALUE!</v>
      </c>
      <c r="B659" t="e">
        <f>RigheOfferte[[#This Row],[Nriga]]</f>
        <v>#VALUE!</v>
      </c>
      <c r="C659" t="e">
        <f>RigheOfferte[[#This Row],[Cliente]]</f>
        <v>#VALUE!</v>
      </c>
      <c r="D659" t="e">
        <f>RigheOfferte[[#This Row],[sub_cliente]]</f>
        <v>#VALUE!</v>
      </c>
      <c r="E659" t="e">
        <f>RigheOfferte[[#This Row],[cod.Art.]]</f>
        <v>#VALUE!</v>
      </c>
      <c r="F659" t="e">
        <f>RigheOfferte[[#This Row],[Descrizione]]</f>
        <v>#VALUE!</v>
      </c>
      <c r="G659" t="e">
        <f>RigheOfferte[[#This Row],[Q.ta'']]</f>
        <v>#VALUE!</v>
      </c>
      <c r="H659" t="e">
        <f>RigheOfferte[[#This Row],[Lavorazione]]</f>
        <v>#VALUE!</v>
      </c>
      <c r="I659" t="e">
        <f>RigheOfferte[[#This Row],[Colore]]</f>
        <v>#VALUE!</v>
      </c>
      <c r="J659" t="e">
        <f>RigheOfferte[[#This Row],[Velocità]]</f>
        <v>#VALUE!</v>
      </c>
      <c r="K659" t="e">
        <f>RigheOfferte[[#This Row],[Superf.pz Mq]]</f>
        <v>#VALUE!</v>
      </c>
      <c r="L659" t="e">
        <f>RigheOfferte[[#This Row],[passo]]</f>
        <v>#VALUE!</v>
      </c>
      <c r="M659" t="e">
        <f>RigheOfferte[[#This Row],[nr.pezzi Telaio]]</f>
        <v>#VALUE!</v>
      </c>
      <c r="N659" t="e">
        <f>RigheOfferte[[#This Row],[nr.pezzi ora-unita]]</f>
        <v>#VALUE!</v>
      </c>
      <c r="O659" t="e">
        <f>Tabella1[[#This Row],[superificie]]*Resa</f>
        <v>#VALUE!</v>
      </c>
      <c r="P659" t="e">
        <f>Tabella1[[#This Row],[KgPezzo]]*Tabella1[[#This Row],[q.ta offerta]]</f>
        <v>#VALUE!</v>
      </c>
      <c r="Q659" t="e">
        <f>RigheOfferte[[#This Row],[QtaProtez]]</f>
        <v>#VALUE!</v>
      </c>
      <c r="R659" t="e">
        <f>RigheOfferte[[#This Row],[Tipo Protezione]]</f>
        <v>#VALUE!</v>
      </c>
    </row>
    <row r="660" spans="1:18">
      <c r="A660" t="e">
        <f>RigheOfferte[[#This Row],[Nprev]]</f>
        <v>#VALUE!</v>
      </c>
      <c r="B660" t="e">
        <f>RigheOfferte[[#This Row],[Nriga]]</f>
        <v>#VALUE!</v>
      </c>
      <c r="C660" t="e">
        <f>RigheOfferte[[#This Row],[Cliente]]</f>
        <v>#VALUE!</v>
      </c>
      <c r="D660" t="e">
        <f>RigheOfferte[[#This Row],[sub_cliente]]</f>
        <v>#VALUE!</v>
      </c>
      <c r="E660" t="e">
        <f>RigheOfferte[[#This Row],[cod.Art.]]</f>
        <v>#VALUE!</v>
      </c>
      <c r="F660" t="e">
        <f>RigheOfferte[[#This Row],[Descrizione]]</f>
        <v>#VALUE!</v>
      </c>
      <c r="G660" t="e">
        <f>RigheOfferte[[#This Row],[Q.ta'']]</f>
        <v>#VALUE!</v>
      </c>
      <c r="H660" t="e">
        <f>RigheOfferte[[#This Row],[Lavorazione]]</f>
        <v>#VALUE!</v>
      </c>
      <c r="I660" t="e">
        <f>RigheOfferte[[#This Row],[Colore]]</f>
        <v>#VALUE!</v>
      </c>
      <c r="J660" t="e">
        <f>RigheOfferte[[#This Row],[Velocità]]</f>
        <v>#VALUE!</v>
      </c>
      <c r="K660" t="e">
        <f>RigheOfferte[[#This Row],[Superf.pz Mq]]</f>
        <v>#VALUE!</v>
      </c>
      <c r="L660" t="e">
        <f>RigheOfferte[[#This Row],[passo]]</f>
        <v>#VALUE!</v>
      </c>
      <c r="M660" t="e">
        <f>RigheOfferte[[#This Row],[nr.pezzi Telaio]]</f>
        <v>#VALUE!</v>
      </c>
      <c r="N660" t="e">
        <f>RigheOfferte[[#This Row],[nr.pezzi ora-unita]]</f>
        <v>#VALUE!</v>
      </c>
      <c r="O660" t="e">
        <f>Tabella1[[#This Row],[superificie]]*Resa</f>
        <v>#VALUE!</v>
      </c>
      <c r="P660" t="e">
        <f>Tabella1[[#This Row],[KgPezzo]]*Tabella1[[#This Row],[q.ta offerta]]</f>
        <v>#VALUE!</v>
      </c>
      <c r="Q660" t="e">
        <f>RigheOfferte[[#This Row],[QtaProtez]]</f>
        <v>#VALUE!</v>
      </c>
      <c r="R660" t="e">
        <f>RigheOfferte[[#This Row],[Tipo Protezione]]</f>
        <v>#VALUE!</v>
      </c>
    </row>
    <row r="661" spans="1:18">
      <c r="A661" t="e">
        <f>RigheOfferte[[#This Row],[Nprev]]</f>
        <v>#VALUE!</v>
      </c>
      <c r="B661" t="e">
        <f>RigheOfferte[[#This Row],[Nriga]]</f>
        <v>#VALUE!</v>
      </c>
      <c r="C661" t="e">
        <f>RigheOfferte[[#This Row],[Cliente]]</f>
        <v>#VALUE!</v>
      </c>
      <c r="D661" t="e">
        <f>RigheOfferte[[#This Row],[sub_cliente]]</f>
        <v>#VALUE!</v>
      </c>
      <c r="E661" t="e">
        <f>RigheOfferte[[#This Row],[cod.Art.]]</f>
        <v>#VALUE!</v>
      </c>
      <c r="F661" t="e">
        <f>RigheOfferte[[#This Row],[Descrizione]]</f>
        <v>#VALUE!</v>
      </c>
      <c r="G661" t="e">
        <f>RigheOfferte[[#This Row],[Q.ta'']]</f>
        <v>#VALUE!</v>
      </c>
      <c r="H661" t="e">
        <f>RigheOfferte[[#This Row],[Lavorazione]]</f>
        <v>#VALUE!</v>
      </c>
      <c r="I661" t="e">
        <f>RigheOfferte[[#This Row],[Colore]]</f>
        <v>#VALUE!</v>
      </c>
      <c r="J661" t="e">
        <f>RigheOfferte[[#This Row],[Velocità]]</f>
        <v>#VALUE!</v>
      </c>
      <c r="K661" t="e">
        <f>RigheOfferte[[#This Row],[Superf.pz Mq]]</f>
        <v>#VALUE!</v>
      </c>
      <c r="L661" t="e">
        <f>RigheOfferte[[#This Row],[passo]]</f>
        <v>#VALUE!</v>
      </c>
      <c r="M661" t="e">
        <f>RigheOfferte[[#This Row],[nr.pezzi Telaio]]</f>
        <v>#VALUE!</v>
      </c>
      <c r="N661" t="e">
        <f>RigheOfferte[[#This Row],[nr.pezzi ora-unita]]</f>
        <v>#VALUE!</v>
      </c>
      <c r="O661" t="e">
        <f>Tabella1[[#This Row],[superificie]]*Resa</f>
        <v>#VALUE!</v>
      </c>
      <c r="P661" t="e">
        <f>Tabella1[[#This Row],[KgPezzo]]*Tabella1[[#This Row],[q.ta offerta]]</f>
        <v>#VALUE!</v>
      </c>
      <c r="Q661" t="e">
        <f>RigheOfferte[[#This Row],[QtaProtez]]</f>
        <v>#VALUE!</v>
      </c>
      <c r="R661" t="e">
        <f>RigheOfferte[[#This Row],[Tipo Protezione]]</f>
        <v>#VALUE!</v>
      </c>
    </row>
    <row r="662" spans="1:18">
      <c r="A662" t="e">
        <f>RigheOfferte[[#This Row],[Nprev]]</f>
        <v>#VALUE!</v>
      </c>
      <c r="B662" t="e">
        <f>RigheOfferte[[#This Row],[Nriga]]</f>
        <v>#VALUE!</v>
      </c>
      <c r="C662" t="e">
        <f>RigheOfferte[[#This Row],[Cliente]]</f>
        <v>#VALUE!</v>
      </c>
      <c r="D662" t="e">
        <f>RigheOfferte[[#This Row],[sub_cliente]]</f>
        <v>#VALUE!</v>
      </c>
      <c r="E662" t="e">
        <f>RigheOfferte[[#This Row],[cod.Art.]]</f>
        <v>#VALUE!</v>
      </c>
      <c r="F662" t="e">
        <f>RigheOfferte[[#This Row],[Descrizione]]</f>
        <v>#VALUE!</v>
      </c>
      <c r="G662" t="e">
        <f>RigheOfferte[[#This Row],[Q.ta'']]</f>
        <v>#VALUE!</v>
      </c>
      <c r="H662" t="e">
        <f>RigheOfferte[[#This Row],[Lavorazione]]</f>
        <v>#VALUE!</v>
      </c>
      <c r="I662" t="e">
        <f>RigheOfferte[[#This Row],[Colore]]</f>
        <v>#VALUE!</v>
      </c>
      <c r="J662" t="e">
        <f>RigheOfferte[[#This Row],[Velocità]]</f>
        <v>#VALUE!</v>
      </c>
      <c r="K662" t="e">
        <f>RigheOfferte[[#This Row],[Superf.pz Mq]]</f>
        <v>#VALUE!</v>
      </c>
      <c r="L662" t="e">
        <f>RigheOfferte[[#This Row],[passo]]</f>
        <v>#VALUE!</v>
      </c>
      <c r="M662" t="e">
        <f>RigheOfferte[[#This Row],[nr.pezzi Telaio]]</f>
        <v>#VALUE!</v>
      </c>
      <c r="N662" t="e">
        <f>RigheOfferte[[#This Row],[nr.pezzi ora-unita]]</f>
        <v>#VALUE!</v>
      </c>
      <c r="O662" t="e">
        <f>Tabella1[[#This Row],[superificie]]*Resa</f>
        <v>#VALUE!</v>
      </c>
      <c r="P662" t="e">
        <f>Tabella1[[#This Row],[KgPezzo]]*Tabella1[[#This Row],[q.ta offerta]]</f>
        <v>#VALUE!</v>
      </c>
      <c r="Q662" t="e">
        <f>RigheOfferte[[#This Row],[QtaProtez]]</f>
        <v>#VALUE!</v>
      </c>
      <c r="R662" t="e">
        <f>RigheOfferte[[#This Row],[Tipo Protezione]]</f>
        <v>#VALUE!</v>
      </c>
    </row>
    <row r="663" spans="1:18">
      <c r="A663" t="e">
        <f>RigheOfferte[[#This Row],[Nprev]]</f>
        <v>#VALUE!</v>
      </c>
      <c r="B663" t="e">
        <f>RigheOfferte[[#This Row],[Nriga]]</f>
        <v>#VALUE!</v>
      </c>
      <c r="C663" t="e">
        <f>RigheOfferte[[#This Row],[Cliente]]</f>
        <v>#VALUE!</v>
      </c>
      <c r="D663" t="e">
        <f>RigheOfferte[[#This Row],[sub_cliente]]</f>
        <v>#VALUE!</v>
      </c>
      <c r="E663" t="e">
        <f>RigheOfferte[[#This Row],[cod.Art.]]</f>
        <v>#VALUE!</v>
      </c>
      <c r="F663" t="e">
        <f>RigheOfferte[[#This Row],[Descrizione]]</f>
        <v>#VALUE!</v>
      </c>
      <c r="G663" t="e">
        <f>RigheOfferte[[#This Row],[Q.ta'']]</f>
        <v>#VALUE!</v>
      </c>
      <c r="H663" t="e">
        <f>RigheOfferte[[#This Row],[Lavorazione]]</f>
        <v>#VALUE!</v>
      </c>
      <c r="I663" t="e">
        <f>RigheOfferte[[#This Row],[Colore]]</f>
        <v>#VALUE!</v>
      </c>
      <c r="J663" t="e">
        <f>RigheOfferte[[#This Row],[Velocità]]</f>
        <v>#VALUE!</v>
      </c>
      <c r="K663" t="e">
        <f>RigheOfferte[[#This Row],[Superf.pz Mq]]</f>
        <v>#VALUE!</v>
      </c>
      <c r="L663" t="e">
        <f>RigheOfferte[[#This Row],[passo]]</f>
        <v>#VALUE!</v>
      </c>
      <c r="M663" t="e">
        <f>RigheOfferte[[#This Row],[nr.pezzi Telaio]]</f>
        <v>#VALUE!</v>
      </c>
      <c r="N663" t="e">
        <f>RigheOfferte[[#This Row],[nr.pezzi ora-unita]]</f>
        <v>#VALUE!</v>
      </c>
      <c r="O663" t="e">
        <f>Tabella1[[#This Row],[superificie]]*Resa</f>
        <v>#VALUE!</v>
      </c>
      <c r="P663" t="e">
        <f>Tabella1[[#This Row],[KgPezzo]]*Tabella1[[#This Row],[q.ta offerta]]</f>
        <v>#VALUE!</v>
      </c>
      <c r="Q663" t="e">
        <f>RigheOfferte[[#This Row],[QtaProtez]]</f>
        <v>#VALUE!</v>
      </c>
      <c r="R663" t="e">
        <f>RigheOfferte[[#This Row],[Tipo Protezione]]</f>
        <v>#VALUE!</v>
      </c>
    </row>
    <row r="664" spans="1:18">
      <c r="A664" t="e">
        <f>RigheOfferte[[#This Row],[Nprev]]</f>
        <v>#VALUE!</v>
      </c>
      <c r="B664" t="e">
        <f>RigheOfferte[[#This Row],[Nriga]]</f>
        <v>#VALUE!</v>
      </c>
      <c r="C664" t="e">
        <f>RigheOfferte[[#This Row],[Cliente]]</f>
        <v>#VALUE!</v>
      </c>
      <c r="D664" t="e">
        <f>RigheOfferte[[#This Row],[sub_cliente]]</f>
        <v>#VALUE!</v>
      </c>
      <c r="E664" t="e">
        <f>RigheOfferte[[#This Row],[cod.Art.]]</f>
        <v>#VALUE!</v>
      </c>
      <c r="F664" t="e">
        <f>RigheOfferte[[#This Row],[Descrizione]]</f>
        <v>#VALUE!</v>
      </c>
      <c r="G664" t="e">
        <f>RigheOfferte[[#This Row],[Q.ta'']]</f>
        <v>#VALUE!</v>
      </c>
      <c r="H664" t="e">
        <f>RigheOfferte[[#This Row],[Lavorazione]]</f>
        <v>#VALUE!</v>
      </c>
      <c r="I664" t="e">
        <f>RigheOfferte[[#This Row],[Colore]]</f>
        <v>#VALUE!</v>
      </c>
      <c r="J664" t="e">
        <f>RigheOfferte[[#This Row],[Velocità]]</f>
        <v>#VALUE!</v>
      </c>
      <c r="K664" t="e">
        <f>RigheOfferte[[#This Row],[Superf.pz Mq]]</f>
        <v>#VALUE!</v>
      </c>
      <c r="L664" t="e">
        <f>RigheOfferte[[#This Row],[passo]]</f>
        <v>#VALUE!</v>
      </c>
      <c r="M664" t="e">
        <f>RigheOfferte[[#This Row],[nr.pezzi Telaio]]</f>
        <v>#VALUE!</v>
      </c>
      <c r="N664" t="e">
        <f>RigheOfferte[[#This Row],[nr.pezzi ora-unita]]</f>
        <v>#VALUE!</v>
      </c>
      <c r="O664" t="e">
        <f>Tabella1[[#This Row],[superificie]]*Resa</f>
        <v>#VALUE!</v>
      </c>
      <c r="P664" t="e">
        <f>Tabella1[[#This Row],[KgPezzo]]*Tabella1[[#This Row],[q.ta offerta]]</f>
        <v>#VALUE!</v>
      </c>
      <c r="Q664" t="e">
        <f>RigheOfferte[[#This Row],[QtaProtez]]</f>
        <v>#VALUE!</v>
      </c>
      <c r="R664" t="e">
        <f>RigheOfferte[[#This Row],[Tipo Protezione]]</f>
        <v>#VALUE!</v>
      </c>
    </row>
    <row r="665" spans="1:18">
      <c r="A665" t="e">
        <f>RigheOfferte[[#This Row],[Nprev]]</f>
        <v>#VALUE!</v>
      </c>
      <c r="B665" t="e">
        <f>RigheOfferte[[#This Row],[Nriga]]</f>
        <v>#VALUE!</v>
      </c>
      <c r="C665" t="e">
        <f>RigheOfferte[[#This Row],[Cliente]]</f>
        <v>#VALUE!</v>
      </c>
      <c r="D665" t="e">
        <f>RigheOfferte[[#This Row],[sub_cliente]]</f>
        <v>#VALUE!</v>
      </c>
      <c r="E665" t="e">
        <f>RigheOfferte[[#This Row],[cod.Art.]]</f>
        <v>#VALUE!</v>
      </c>
      <c r="F665" t="e">
        <f>RigheOfferte[[#This Row],[Descrizione]]</f>
        <v>#VALUE!</v>
      </c>
      <c r="G665" t="e">
        <f>RigheOfferte[[#This Row],[Q.ta'']]</f>
        <v>#VALUE!</v>
      </c>
      <c r="H665" t="e">
        <f>RigheOfferte[[#This Row],[Lavorazione]]</f>
        <v>#VALUE!</v>
      </c>
      <c r="I665" t="e">
        <f>RigheOfferte[[#This Row],[Colore]]</f>
        <v>#VALUE!</v>
      </c>
      <c r="J665" t="e">
        <f>RigheOfferte[[#This Row],[Velocità]]</f>
        <v>#VALUE!</v>
      </c>
      <c r="K665" t="e">
        <f>RigheOfferte[[#This Row],[Superf.pz Mq]]</f>
        <v>#VALUE!</v>
      </c>
      <c r="L665" t="e">
        <f>RigheOfferte[[#This Row],[passo]]</f>
        <v>#VALUE!</v>
      </c>
      <c r="M665" t="e">
        <f>RigheOfferte[[#This Row],[nr.pezzi Telaio]]</f>
        <v>#VALUE!</v>
      </c>
      <c r="N665" t="e">
        <f>RigheOfferte[[#This Row],[nr.pezzi ora-unita]]</f>
        <v>#VALUE!</v>
      </c>
      <c r="O665" t="e">
        <f>Tabella1[[#This Row],[superificie]]*Resa</f>
        <v>#VALUE!</v>
      </c>
      <c r="P665" t="e">
        <f>Tabella1[[#This Row],[KgPezzo]]*Tabella1[[#This Row],[q.ta offerta]]</f>
        <v>#VALUE!</v>
      </c>
      <c r="Q665" t="e">
        <f>RigheOfferte[[#This Row],[QtaProtez]]</f>
        <v>#VALUE!</v>
      </c>
      <c r="R665" t="e">
        <f>RigheOfferte[[#This Row],[Tipo Protezione]]</f>
        <v>#VALUE!</v>
      </c>
    </row>
    <row r="666" spans="1:18">
      <c r="A666" t="e">
        <f>RigheOfferte[[#This Row],[Nprev]]</f>
        <v>#VALUE!</v>
      </c>
      <c r="B666" t="e">
        <f>RigheOfferte[[#This Row],[Nriga]]</f>
        <v>#VALUE!</v>
      </c>
      <c r="C666" t="e">
        <f>RigheOfferte[[#This Row],[Cliente]]</f>
        <v>#VALUE!</v>
      </c>
      <c r="D666" t="e">
        <f>RigheOfferte[[#This Row],[sub_cliente]]</f>
        <v>#VALUE!</v>
      </c>
      <c r="E666" t="e">
        <f>RigheOfferte[[#This Row],[cod.Art.]]</f>
        <v>#VALUE!</v>
      </c>
      <c r="F666" t="e">
        <f>RigheOfferte[[#This Row],[Descrizione]]</f>
        <v>#VALUE!</v>
      </c>
      <c r="G666" t="e">
        <f>RigheOfferte[[#This Row],[Q.ta'']]</f>
        <v>#VALUE!</v>
      </c>
      <c r="H666" t="e">
        <f>RigheOfferte[[#This Row],[Lavorazione]]</f>
        <v>#VALUE!</v>
      </c>
      <c r="I666" t="e">
        <f>RigheOfferte[[#This Row],[Colore]]</f>
        <v>#VALUE!</v>
      </c>
      <c r="J666" t="e">
        <f>RigheOfferte[[#This Row],[Velocità]]</f>
        <v>#VALUE!</v>
      </c>
      <c r="K666" t="e">
        <f>RigheOfferte[[#This Row],[Superf.pz Mq]]</f>
        <v>#VALUE!</v>
      </c>
      <c r="L666" t="e">
        <f>RigheOfferte[[#This Row],[passo]]</f>
        <v>#VALUE!</v>
      </c>
      <c r="M666" t="e">
        <f>RigheOfferte[[#This Row],[nr.pezzi Telaio]]</f>
        <v>#VALUE!</v>
      </c>
      <c r="N666" t="e">
        <f>RigheOfferte[[#This Row],[nr.pezzi ora-unita]]</f>
        <v>#VALUE!</v>
      </c>
      <c r="O666" t="e">
        <f>Tabella1[[#This Row],[superificie]]*Resa</f>
        <v>#VALUE!</v>
      </c>
      <c r="P666" t="e">
        <f>Tabella1[[#This Row],[KgPezzo]]*Tabella1[[#This Row],[q.ta offerta]]</f>
        <v>#VALUE!</v>
      </c>
      <c r="Q666" t="e">
        <f>RigheOfferte[[#This Row],[QtaProtez]]</f>
        <v>#VALUE!</v>
      </c>
      <c r="R666" t="e">
        <f>RigheOfferte[[#This Row],[Tipo Protezione]]</f>
        <v>#VALUE!</v>
      </c>
    </row>
    <row r="667" spans="1:18">
      <c r="A667" t="e">
        <f>RigheOfferte[[#This Row],[Nprev]]</f>
        <v>#VALUE!</v>
      </c>
      <c r="B667" t="e">
        <f>RigheOfferte[[#This Row],[Nriga]]</f>
        <v>#VALUE!</v>
      </c>
      <c r="C667" t="e">
        <f>RigheOfferte[[#This Row],[Cliente]]</f>
        <v>#VALUE!</v>
      </c>
      <c r="D667" t="e">
        <f>RigheOfferte[[#This Row],[sub_cliente]]</f>
        <v>#VALUE!</v>
      </c>
      <c r="E667" t="e">
        <f>RigheOfferte[[#This Row],[cod.Art.]]</f>
        <v>#VALUE!</v>
      </c>
      <c r="F667" t="e">
        <f>RigheOfferte[[#This Row],[Descrizione]]</f>
        <v>#VALUE!</v>
      </c>
      <c r="G667" t="e">
        <f>RigheOfferte[[#This Row],[Q.ta'']]</f>
        <v>#VALUE!</v>
      </c>
      <c r="H667" t="e">
        <f>RigheOfferte[[#This Row],[Lavorazione]]</f>
        <v>#VALUE!</v>
      </c>
      <c r="I667" t="e">
        <f>RigheOfferte[[#This Row],[Colore]]</f>
        <v>#VALUE!</v>
      </c>
      <c r="J667" t="e">
        <f>RigheOfferte[[#This Row],[Velocità]]</f>
        <v>#VALUE!</v>
      </c>
      <c r="K667" t="e">
        <f>RigheOfferte[[#This Row],[Superf.pz Mq]]</f>
        <v>#VALUE!</v>
      </c>
      <c r="L667" t="e">
        <f>RigheOfferte[[#This Row],[passo]]</f>
        <v>#VALUE!</v>
      </c>
      <c r="M667" t="e">
        <f>RigheOfferte[[#This Row],[nr.pezzi Telaio]]</f>
        <v>#VALUE!</v>
      </c>
      <c r="N667" t="e">
        <f>RigheOfferte[[#This Row],[nr.pezzi ora-unita]]</f>
        <v>#VALUE!</v>
      </c>
      <c r="O667" t="e">
        <f>Tabella1[[#This Row],[superificie]]*Resa</f>
        <v>#VALUE!</v>
      </c>
      <c r="P667" t="e">
        <f>Tabella1[[#This Row],[KgPezzo]]*Tabella1[[#This Row],[q.ta offerta]]</f>
        <v>#VALUE!</v>
      </c>
      <c r="Q667" t="e">
        <f>RigheOfferte[[#This Row],[QtaProtez]]</f>
        <v>#VALUE!</v>
      </c>
      <c r="R667" t="e">
        <f>RigheOfferte[[#This Row],[Tipo Protezione]]</f>
        <v>#VALUE!</v>
      </c>
    </row>
    <row r="668" spans="1:18">
      <c r="A668" t="e">
        <f>RigheOfferte[[#This Row],[Nprev]]</f>
        <v>#VALUE!</v>
      </c>
      <c r="B668" t="e">
        <f>RigheOfferte[[#This Row],[Nriga]]</f>
        <v>#VALUE!</v>
      </c>
      <c r="C668" t="e">
        <f>RigheOfferte[[#This Row],[Cliente]]</f>
        <v>#VALUE!</v>
      </c>
      <c r="D668" t="e">
        <f>RigheOfferte[[#This Row],[sub_cliente]]</f>
        <v>#VALUE!</v>
      </c>
      <c r="E668" t="e">
        <f>RigheOfferte[[#This Row],[cod.Art.]]</f>
        <v>#VALUE!</v>
      </c>
      <c r="F668" t="e">
        <f>RigheOfferte[[#This Row],[Descrizione]]</f>
        <v>#VALUE!</v>
      </c>
      <c r="G668" t="e">
        <f>RigheOfferte[[#This Row],[Q.ta'']]</f>
        <v>#VALUE!</v>
      </c>
      <c r="H668" t="e">
        <f>RigheOfferte[[#This Row],[Lavorazione]]</f>
        <v>#VALUE!</v>
      </c>
      <c r="I668" t="e">
        <f>RigheOfferte[[#This Row],[Colore]]</f>
        <v>#VALUE!</v>
      </c>
      <c r="J668" t="e">
        <f>RigheOfferte[[#This Row],[Velocità]]</f>
        <v>#VALUE!</v>
      </c>
      <c r="K668" t="e">
        <f>RigheOfferte[[#This Row],[Superf.pz Mq]]</f>
        <v>#VALUE!</v>
      </c>
      <c r="L668" t="e">
        <f>RigheOfferte[[#This Row],[passo]]</f>
        <v>#VALUE!</v>
      </c>
      <c r="M668" t="e">
        <f>RigheOfferte[[#This Row],[nr.pezzi Telaio]]</f>
        <v>#VALUE!</v>
      </c>
      <c r="N668" t="e">
        <f>RigheOfferte[[#This Row],[nr.pezzi ora-unita]]</f>
        <v>#VALUE!</v>
      </c>
      <c r="O668" t="e">
        <f>Tabella1[[#This Row],[superificie]]*Resa</f>
        <v>#VALUE!</v>
      </c>
      <c r="P668" t="e">
        <f>Tabella1[[#This Row],[KgPezzo]]*Tabella1[[#This Row],[q.ta offerta]]</f>
        <v>#VALUE!</v>
      </c>
      <c r="Q668" t="e">
        <f>RigheOfferte[[#This Row],[QtaProtez]]</f>
        <v>#VALUE!</v>
      </c>
      <c r="R668" t="e">
        <f>RigheOfferte[[#This Row],[Tipo Protezione]]</f>
        <v>#VALUE!</v>
      </c>
    </row>
    <row r="669" spans="1:18">
      <c r="A669" t="e">
        <f>RigheOfferte[[#This Row],[Nprev]]</f>
        <v>#VALUE!</v>
      </c>
      <c r="B669" t="e">
        <f>RigheOfferte[[#This Row],[Nriga]]</f>
        <v>#VALUE!</v>
      </c>
      <c r="C669" t="e">
        <f>RigheOfferte[[#This Row],[Cliente]]</f>
        <v>#VALUE!</v>
      </c>
      <c r="D669" t="e">
        <f>RigheOfferte[[#This Row],[sub_cliente]]</f>
        <v>#VALUE!</v>
      </c>
      <c r="E669" t="e">
        <f>RigheOfferte[[#This Row],[cod.Art.]]</f>
        <v>#VALUE!</v>
      </c>
      <c r="F669" t="e">
        <f>RigheOfferte[[#This Row],[Descrizione]]</f>
        <v>#VALUE!</v>
      </c>
      <c r="G669" t="e">
        <f>RigheOfferte[[#This Row],[Q.ta'']]</f>
        <v>#VALUE!</v>
      </c>
      <c r="H669" t="e">
        <f>RigheOfferte[[#This Row],[Lavorazione]]</f>
        <v>#VALUE!</v>
      </c>
      <c r="I669" t="e">
        <f>RigheOfferte[[#This Row],[Colore]]</f>
        <v>#VALUE!</v>
      </c>
      <c r="J669" t="e">
        <f>RigheOfferte[[#This Row],[Velocità]]</f>
        <v>#VALUE!</v>
      </c>
      <c r="K669" t="e">
        <f>RigheOfferte[[#This Row],[Superf.pz Mq]]</f>
        <v>#VALUE!</v>
      </c>
      <c r="L669" t="e">
        <f>RigheOfferte[[#This Row],[passo]]</f>
        <v>#VALUE!</v>
      </c>
      <c r="M669" t="e">
        <f>RigheOfferte[[#This Row],[nr.pezzi Telaio]]</f>
        <v>#VALUE!</v>
      </c>
      <c r="N669" t="e">
        <f>RigheOfferte[[#This Row],[nr.pezzi ora-unita]]</f>
        <v>#VALUE!</v>
      </c>
      <c r="O669" t="e">
        <f>Tabella1[[#This Row],[superificie]]*Resa</f>
        <v>#VALUE!</v>
      </c>
      <c r="P669" t="e">
        <f>Tabella1[[#This Row],[KgPezzo]]*Tabella1[[#This Row],[q.ta offerta]]</f>
        <v>#VALUE!</v>
      </c>
      <c r="Q669" t="e">
        <f>RigheOfferte[[#This Row],[QtaProtez]]</f>
        <v>#VALUE!</v>
      </c>
      <c r="R669" t="e">
        <f>RigheOfferte[[#This Row],[Tipo Protezione]]</f>
        <v>#VALUE!</v>
      </c>
    </row>
    <row r="670" spans="1:18">
      <c r="A670" t="e">
        <f>RigheOfferte[[#This Row],[Nprev]]</f>
        <v>#VALUE!</v>
      </c>
      <c r="B670" t="e">
        <f>RigheOfferte[[#This Row],[Nriga]]</f>
        <v>#VALUE!</v>
      </c>
      <c r="C670" t="e">
        <f>RigheOfferte[[#This Row],[Cliente]]</f>
        <v>#VALUE!</v>
      </c>
      <c r="D670" t="e">
        <f>RigheOfferte[[#This Row],[sub_cliente]]</f>
        <v>#VALUE!</v>
      </c>
      <c r="E670" t="e">
        <f>RigheOfferte[[#This Row],[cod.Art.]]</f>
        <v>#VALUE!</v>
      </c>
      <c r="F670" t="e">
        <f>RigheOfferte[[#This Row],[Descrizione]]</f>
        <v>#VALUE!</v>
      </c>
      <c r="G670" t="e">
        <f>RigheOfferte[[#This Row],[Q.ta'']]</f>
        <v>#VALUE!</v>
      </c>
      <c r="H670" t="e">
        <f>RigheOfferte[[#This Row],[Lavorazione]]</f>
        <v>#VALUE!</v>
      </c>
      <c r="I670" t="e">
        <f>RigheOfferte[[#This Row],[Colore]]</f>
        <v>#VALUE!</v>
      </c>
      <c r="J670" t="e">
        <f>RigheOfferte[[#This Row],[Velocità]]</f>
        <v>#VALUE!</v>
      </c>
      <c r="K670" t="e">
        <f>RigheOfferte[[#This Row],[Superf.pz Mq]]</f>
        <v>#VALUE!</v>
      </c>
      <c r="L670" t="e">
        <f>RigheOfferte[[#This Row],[passo]]</f>
        <v>#VALUE!</v>
      </c>
      <c r="M670" t="e">
        <f>RigheOfferte[[#This Row],[nr.pezzi Telaio]]</f>
        <v>#VALUE!</v>
      </c>
      <c r="N670" t="e">
        <f>RigheOfferte[[#This Row],[nr.pezzi ora-unita]]</f>
        <v>#VALUE!</v>
      </c>
      <c r="O670" t="e">
        <f>Tabella1[[#This Row],[superificie]]*Resa</f>
        <v>#VALUE!</v>
      </c>
      <c r="P670" t="e">
        <f>Tabella1[[#This Row],[KgPezzo]]*Tabella1[[#This Row],[q.ta offerta]]</f>
        <v>#VALUE!</v>
      </c>
      <c r="Q670" t="e">
        <f>RigheOfferte[[#This Row],[QtaProtez]]</f>
        <v>#VALUE!</v>
      </c>
      <c r="R670" t="e">
        <f>RigheOfferte[[#This Row],[Tipo Protezione]]</f>
        <v>#VALUE!</v>
      </c>
    </row>
    <row r="671" spans="1:18">
      <c r="A671" t="e">
        <f>RigheOfferte[[#This Row],[Nprev]]</f>
        <v>#VALUE!</v>
      </c>
      <c r="B671" t="e">
        <f>RigheOfferte[[#This Row],[Nriga]]</f>
        <v>#VALUE!</v>
      </c>
      <c r="C671" t="e">
        <f>RigheOfferte[[#This Row],[Cliente]]</f>
        <v>#VALUE!</v>
      </c>
      <c r="D671" t="e">
        <f>RigheOfferte[[#This Row],[sub_cliente]]</f>
        <v>#VALUE!</v>
      </c>
      <c r="E671" t="e">
        <f>RigheOfferte[[#This Row],[cod.Art.]]</f>
        <v>#VALUE!</v>
      </c>
      <c r="F671" t="e">
        <f>RigheOfferte[[#This Row],[Descrizione]]</f>
        <v>#VALUE!</v>
      </c>
      <c r="G671" t="e">
        <f>RigheOfferte[[#This Row],[Q.ta'']]</f>
        <v>#VALUE!</v>
      </c>
      <c r="H671" t="e">
        <f>RigheOfferte[[#This Row],[Lavorazione]]</f>
        <v>#VALUE!</v>
      </c>
      <c r="I671" t="e">
        <f>RigheOfferte[[#This Row],[Colore]]</f>
        <v>#VALUE!</v>
      </c>
      <c r="J671" t="e">
        <f>RigheOfferte[[#This Row],[Velocità]]</f>
        <v>#VALUE!</v>
      </c>
      <c r="K671" t="e">
        <f>RigheOfferte[[#This Row],[Superf.pz Mq]]</f>
        <v>#VALUE!</v>
      </c>
      <c r="L671" t="e">
        <f>RigheOfferte[[#This Row],[passo]]</f>
        <v>#VALUE!</v>
      </c>
      <c r="M671" t="e">
        <f>RigheOfferte[[#This Row],[nr.pezzi Telaio]]</f>
        <v>#VALUE!</v>
      </c>
      <c r="N671" t="e">
        <f>RigheOfferte[[#This Row],[nr.pezzi ora-unita]]</f>
        <v>#VALUE!</v>
      </c>
      <c r="O671" t="e">
        <f>Tabella1[[#This Row],[superificie]]*Resa</f>
        <v>#VALUE!</v>
      </c>
      <c r="P671" t="e">
        <f>Tabella1[[#This Row],[KgPezzo]]*Tabella1[[#This Row],[q.ta offerta]]</f>
        <v>#VALUE!</v>
      </c>
      <c r="Q671" t="e">
        <f>RigheOfferte[[#This Row],[QtaProtez]]</f>
        <v>#VALUE!</v>
      </c>
      <c r="R671" t="e">
        <f>RigheOfferte[[#This Row],[Tipo Protezione]]</f>
        <v>#VALUE!</v>
      </c>
    </row>
    <row r="672" spans="1:18">
      <c r="A672" t="e">
        <f>RigheOfferte[[#This Row],[Nprev]]</f>
        <v>#VALUE!</v>
      </c>
      <c r="B672" t="e">
        <f>RigheOfferte[[#This Row],[Nriga]]</f>
        <v>#VALUE!</v>
      </c>
      <c r="C672" t="e">
        <f>RigheOfferte[[#This Row],[Cliente]]</f>
        <v>#VALUE!</v>
      </c>
      <c r="D672" t="e">
        <f>RigheOfferte[[#This Row],[sub_cliente]]</f>
        <v>#VALUE!</v>
      </c>
      <c r="E672" t="e">
        <f>RigheOfferte[[#This Row],[cod.Art.]]</f>
        <v>#VALUE!</v>
      </c>
      <c r="F672" t="e">
        <f>RigheOfferte[[#This Row],[Descrizione]]</f>
        <v>#VALUE!</v>
      </c>
      <c r="G672" t="e">
        <f>RigheOfferte[[#This Row],[Q.ta'']]</f>
        <v>#VALUE!</v>
      </c>
      <c r="H672" t="e">
        <f>RigheOfferte[[#This Row],[Lavorazione]]</f>
        <v>#VALUE!</v>
      </c>
      <c r="I672" t="e">
        <f>RigheOfferte[[#This Row],[Colore]]</f>
        <v>#VALUE!</v>
      </c>
      <c r="J672" t="e">
        <f>RigheOfferte[[#This Row],[Velocità]]</f>
        <v>#VALUE!</v>
      </c>
      <c r="K672" t="e">
        <f>RigheOfferte[[#This Row],[Superf.pz Mq]]</f>
        <v>#VALUE!</v>
      </c>
      <c r="L672" t="e">
        <f>RigheOfferte[[#This Row],[passo]]</f>
        <v>#VALUE!</v>
      </c>
      <c r="M672" t="e">
        <f>RigheOfferte[[#This Row],[nr.pezzi Telaio]]</f>
        <v>#VALUE!</v>
      </c>
      <c r="N672" t="e">
        <f>RigheOfferte[[#This Row],[nr.pezzi ora-unita]]</f>
        <v>#VALUE!</v>
      </c>
      <c r="O672" t="e">
        <f>Tabella1[[#This Row],[superificie]]*Resa</f>
        <v>#VALUE!</v>
      </c>
      <c r="P672" t="e">
        <f>Tabella1[[#This Row],[KgPezzo]]*Tabella1[[#This Row],[q.ta offerta]]</f>
        <v>#VALUE!</v>
      </c>
      <c r="Q672" t="e">
        <f>RigheOfferte[[#This Row],[QtaProtez]]</f>
        <v>#VALUE!</v>
      </c>
      <c r="R672" t="e">
        <f>RigheOfferte[[#This Row],[Tipo Protezione]]</f>
        <v>#VALUE!</v>
      </c>
    </row>
    <row r="673" spans="1:18">
      <c r="A673" t="e">
        <f>RigheOfferte[[#This Row],[Nprev]]</f>
        <v>#VALUE!</v>
      </c>
      <c r="B673" t="e">
        <f>RigheOfferte[[#This Row],[Nriga]]</f>
        <v>#VALUE!</v>
      </c>
      <c r="C673" t="e">
        <f>RigheOfferte[[#This Row],[Cliente]]</f>
        <v>#VALUE!</v>
      </c>
      <c r="D673" t="e">
        <f>RigheOfferte[[#This Row],[sub_cliente]]</f>
        <v>#VALUE!</v>
      </c>
      <c r="E673" t="e">
        <f>RigheOfferte[[#This Row],[cod.Art.]]</f>
        <v>#VALUE!</v>
      </c>
      <c r="F673" t="e">
        <f>RigheOfferte[[#This Row],[Descrizione]]</f>
        <v>#VALUE!</v>
      </c>
      <c r="G673" t="e">
        <f>RigheOfferte[[#This Row],[Q.ta'']]</f>
        <v>#VALUE!</v>
      </c>
      <c r="H673" t="e">
        <f>RigheOfferte[[#This Row],[Lavorazione]]</f>
        <v>#VALUE!</v>
      </c>
      <c r="I673" t="e">
        <f>RigheOfferte[[#This Row],[Colore]]</f>
        <v>#VALUE!</v>
      </c>
      <c r="J673" t="e">
        <f>RigheOfferte[[#This Row],[Velocità]]</f>
        <v>#VALUE!</v>
      </c>
      <c r="K673" t="e">
        <f>RigheOfferte[[#This Row],[Superf.pz Mq]]</f>
        <v>#VALUE!</v>
      </c>
      <c r="L673" t="e">
        <f>RigheOfferte[[#This Row],[passo]]</f>
        <v>#VALUE!</v>
      </c>
      <c r="M673" t="e">
        <f>RigheOfferte[[#This Row],[nr.pezzi Telaio]]</f>
        <v>#VALUE!</v>
      </c>
      <c r="N673" t="e">
        <f>RigheOfferte[[#This Row],[nr.pezzi ora-unita]]</f>
        <v>#VALUE!</v>
      </c>
      <c r="O673" t="e">
        <f>Tabella1[[#This Row],[superificie]]*Resa</f>
        <v>#VALUE!</v>
      </c>
      <c r="P673" t="e">
        <f>Tabella1[[#This Row],[KgPezzo]]*Tabella1[[#This Row],[q.ta offerta]]</f>
        <v>#VALUE!</v>
      </c>
      <c r="Q673" t="e">
        <f>RigheOfferte[[#This Row],[QtaProtez]]</f>
        <v>#VALUE!</v>
      </c>
      <c r="R673" t="e">
        <f>RigheOfferte[[#This Row],[Tipo Protezione]]</f>
        <v>#VALUE!</v>
      </c>
    </row>
    <row r="674" spans="1:18">
      <c r="A674" t="e">
        <f>RigheOfferte[[#This Row],[Nprev]]</f>
        <v>#VALUE!</v>
      </c>
      <c r="B674" t="e">
        <f>RigheOfferte[[#This Row],[Nriga]]</f>
        <v>#VALUE!</v>
      </c>
      <c r="C674" t="e">
        <f>RigheOfferte[[#This Row],[Cliente]]</f>
        <v>#VALUE!</v>
      </c>
      <c r="D674" t="e">
        <f>RigheOfferte[[#This Row],[sub_cliente]]</f>
        <v>#VALUE!</v>
      </c>
      <c r="E674" t="e">
        <f>RigheOfferte[[#This Row],[cod.Art.]]</f>
        <v>#VALUE!</v>
      </c>
      <c r="F674" t="e">
        <f>RigheOfferte[[#This Row],[Descrizione]]</f>
        <v>#VALUE!</v>
      </c>
      <c r="G674" t="e">
        <f>RigheOfferte[[#This Row],[Q.ta'']]</f>
        <v>#VALUE!</v>
      </c>
      <c r="H674" t="e">
        <f>RigheOfferte[[#This Row],[Lavorazione]]</f>
        <v>#VALUE!</v>
      </c>
      <c r="I674" t="e">
        <f>RigheOfferte[[#This Row],[Colore]]</f>
        <v>#VALUE!</v>
      </c>
      <c r="J674" t="e">
        <f>RigheOfferte[[#This Row],[Velocità]]</f>
        <v>#VALUE!</v>
      </c>
      <c r="K674" t="e">
        <f>RigheOfferte[[#This Row],[Superf.pz Mq]]</f>
        <v>#VALUE!</v>
      </c>
      <c r="L674" t="e">
        <f>RigheOfferte[[#This Row],[passo]]</f>
        <v>#VALUE!</v>
      </c>
      <c r="M674" t="e">
        <f>RigheOfferte[[#This Row],[nr.pezzi Telaio]]</f>
        <v>#VALUE!</v>
      </c>
      <c r="N674" t="e">
        <f>RigheOfferte[[#This Row],[nr.pezzi ora-unita]]</f>
        <v>#VALUE!</v>
      </c>
      <c r="O674" t="e">
        <f>Tabella1[[#This Row],[superificie]]*Resa</f>
        <v>#VALUE!</v>
      </c>
      <c r="P674" t="e">
        <f>Tabella1[[#This Row],[KgPezzo]]*Tabella1[[#This Row],[q.ta offerta]]</f>
        <v>#VALUE!</v>
      </c>
      <c r="Q674" t="e">
        <f>RigheOfferte[[#This Row],[QtaProtez]]</f>
        <v>#VALUE!</v>
      </c>
      <c r="R674" t="e">
        <f>RigheOfferte[[#This Row],[Tipo Protezione]]</f>
        <v>#VALUE!</v>
      </c>
    </row>
    <row r="675" spans="1:18">
      <c r="A675" t="e">
        <f>RigheOfferte[[#This Row],[Nprev]]</f>
        <v>#VALUE!</v>
      </c>
      <c r="B675" t="e">
        <f>RigheOfferte[[#This Row],[Nriga]]</f>
        <v>#VALUE!</v>
      </c>
      <c r="C675" t="e">
        <f>RigheOfferte[[#This Row],[Cliente]]</f>
        <v>#VALUE!</v>
      </c>
      <c r="D675" t="e">
        <f>RigheOfferte[[#This Row],[sub_cliente]]</f>
        <v>#VALUE!</v>
      </c>
      <c r="E675" t="e">
        <f>RigheOfferte[[#This Row],[cod.Art.]]</f>
        <v>#VALUE!</v>
      </c>
      <c r="F675" t="e">
        <f>RigheOfferte[[#This Row],[Descrizione]]</f>
        <v>#VALUE!</v>
      </c>
      <c r="G675" t="e">
        <f>RigheOfferte[[#This Row],[Q.ta'']]</f>
        <v>#VALUE!</v>
      </c>
      <c r="H675" t="e">
        <f>RigheOfferte[[#This Row],[Lavorazione]]</f>
        <v>#VALUE!</v>
      </c>
      <c r="I675" t="e">
        <f>RigheOfferte[[#This Row],[Colore]]</f>
        <v>#VALUE!</v>
      </c>
      <c r="J675" t="e">
        <f>RigheOfferte[[#This Row],[Velocità]]</f>
        <v>#VALUE!</v>
      </c>
      <c r="K675" t="e">
        <f>RigheOfferte[[#This Row],[Superf.pz Mq]]</f>
        <v>#VALUE!</v>
      </c>
      <c r="L675" t="e">
        <f>RigheOfferte[[#This Row],[passo]]</f>
        <v>#VALUE!</v>
      </c>
      <c r="M675" t="e">
        <f>RigheOfferte[[#This Row],[nr.pezzi Telaio]]</f>
        <v>#VALUE!</v>
      </c>
      <c r="N675" t="e">
        <f>RigheOfferte[[#This Row],[nr.pezzi ora-unita]]</f>
        <v>#VALUE!</v>
      </c>
      <c r="O675" t="e">
        <f>Tabella1[[#This Row],[superificie]]*Resa</f>
        <v>#VALUE!</v>
      </c>
      <c r="P675" t="e">
        <f>Tabella1[[#This Row],[KgPezzo]]*Tabella1[[#This Row],[q.ta offerta]]</f>
        <v>#VALUE!</v>
      </c>
      <c r="Q675" t="e">
        <f>RigheOfferte[[#This Row],[QtaProtez]]</f>
        <v>#VALUE!</v>
      </c>
      <c r="R675" t="e">
        <f>RigheOfferte[[#This Row],[Tipo Protezione]]</f>
        <v>#VALUE!</v>
      </c>
    </row>
    <row r="676" spans="1:18">
      <c r="A676" t="e">
        <f>RigheOfferte[[#This Row],[Nprev]]</f>
        <v>#VALUE!</v>
      </c>
      <c r="B676" t="e">
        <f>RigheOfferte[[#This Row],[Nriga]]</f>
        <v>#VALUE!</v>
      </c>
      <c r="C676" t="e">
        <f>RigheOfferte[[#This Row],[Cliente]]</f>
        <v>#VALUE!</v>
      </c>
      <c r="D676" t="e">
        <f>RigheOfferte[[#This Row],[sub_cliente]]</f>
        <v>#VALUE!</v>
      </c>
      <c r="E676" t="e">
        <f>RigheOfferte[[#This Row],[cod.Art.]]</f>
        <v>#VALUE!</v>
      </c>
      <c r="F676" t="e">
        <f>RigheOfferte[[#This Row],[Descrizione]]</f>
        <v>#VALUE!</v>
      </c>
      <c r="G676" t="e">
        <f>RigheOfferte[[#This Row],[Q.ta'']]</f>
        <v>#VALUE!</v>
      </c>
      <c r="H676" t="e">
        <f>RigheOfferte[[#This Row],[Lavorazione]]</f>
        <v>#VALUE!</v>
      </c>
      <c r="I676" t="e">
        <f>RigheOfferte[[#This Row],[Colore]]</f>
        <v>#VALUE!</v>
      </c>
      <c r="J676" t="e">
        <f>RigheOfferte[[#This Row],[Velocità]]</f>
        <v>#VALUE!</v>
      </c>
      <c r="K676" t="e">
        <f>RigheOfferte[[#This Row],[Superf.pz Mq]]</f>
        <v>#VALUE!</v>
      </c>
      <c r="L676" t="e">
        <f>RigheOfferte[[#This Row],[passo]]</f>
        <v>#VALUE!</v>
      </c>
      <c r="M676" t="e">
        <f>RigheOfferte[[#This Row],[nr.pezzi Telaio]]</f>
        <v>#VALUE!</v>
      </c>
      <c r="N676" t="e">
        <f>RigheOfferte[[#This Row],[nr.pezzi ora-unita]]</f>
        <v>#VALUE!</v>
      </c>
      <c r="O676" t="e">
        <f>Tabella1[[#This Row],[superificie]]*Resa</f>
        <v>#VALUE!</v>
      </c>
      <c r="P676" t="e">
        <f>Tabella1[[#This Row],[KgPezzo]]*Tabella1[[#This Row],[q.ta offerta]]</f>
        <v>#VALUE!</v>
      </c>
      <c r="Q676" t="e">
        <f>RigheOfferte[[#This Row],[QtaProtez]]</f>
        <v>#VALUE!</v>
      </c>
      <c r="R676" t="e">
        <f>RigheOfferte[[#This Row],[Tipo Protezione]]</f>
        <v>#VALUE!</v>
      </c>
    </row>
    <row r="677" spans="1:18">
      <c r="A677" t="e">
        <f>RigheOfferte[[#This Row],[Nprev]]</f>
        <v>#VALUE!</v>
      </c>
      <c r="B677" t="e">
        <f>RigheOfferte[[#This Row],[Nriga]]</f>
        <v>#VALUE!</v>
      </c>
      <c r="C677" t="e">
        <f>RigheOfferte[[#This Row],[Cliente]]</f>
        <v>#VALUE!</v>
      </c>
      <c r="D677" t="e">
        <f>RigheOfferte[[#This Row],[sub_cliente]]</f>
        <v>#VALUE!</v>
      </c>
      <c r="E677" t="e">
        <f>RigheOfferte[[#This Row],[cod.Art.]]</f>
        <v>#VALUE!</v>
      </c>
      <c r="F677" t="e">
        <f>RigheOfferte[[#This Row],[Descrizione]]</f>
        <v>#VALUE!</v>
      </c>
      <c r="G677" t="e">
        <f>RigheOfferte[[#This Row],[Q.ta'']]</f>
        <v>#VALUE!</v>
      </c>
      <c r="H677" t="e">
        <f>RigheOfferte[[#This Row],[Lavorazione]]</f>
        <v>#VALUE!</v>
      </c>
      <c r="I677" t="e">
        <f>RigheOfferte[[#This Row],[Colore]]</f>
        <v>#VALUE!</v>
      </c>
      <c r="J677" t="e">
        <f>RigheOfferte[[#This Row],[Velocità]]</f>
        <v>#VALUE!</v>
      </c>
      <c r="K677" t="e">
        <f>RigheOfferte[[#This Row],[Superf.pz Mq]]</f>
        <v>#VALUE!</v>
      </c>
      <c r="L677" t="e">
        <f>RigheOfferte[[#This Row],[passo]]</f>
        <v>#VALUE!</v>
      </c>
      <c r="M677" t="e">
        <f>RigheOfferte[[#This Row],[nr.pezzi Telaio]]</f>
        <v>#VALUE!</v>
      </c>
      <c r="N677" t="e">
        <f>RigheOfferte[[#This Row],[nr.pezzi ora-unita]]</f>
        <v>#VALUE!</v>
      </c>
      <c r="O677" t="e">
        <f>Tabella1[[#This Row],[superificie]]*Resa</f>
        <v>#VALUE!</v>
      </c>
      <c r="P677" t="e">
        <f>Tabella1[[#This Row],[KgPezzo]]*Tabella1[[#This Row],[q.ta offerta]]</f>
        <v>#VALUE!</v>
      </c>
      <c r="Q677" t="e">
        <f>RigheOfferte[[#This Row],[QtaProtez]]</f>
        <v>#VALUE!</v>
      </c>
      <c r="R677" t="e">
        <f>RigheOfferte[[#This Row],[Tipo Protezione]]</f>
        <v>#VALUE!</v>
      </c>
    </row>
    <row r="678" spans="1:18">
      <c r="A678" t="e">
        <f>RigheOfferte[[#This Row],[Nprev]]</f>
        <v>#VALUE!</v>
      </c>
      <c r="B678" t="e">
        <f>RigheOfferte[[#This Row],[Nriga]]</f>
        <v>#VALUE!</v>
      </c>
      <c r="C678" t="e">
        <f>RigheOfferte[[#This Row],[Cliente]]</f>
        <v>#VALUE!</v>
      </c>
      <c r="D678" t="e">
        <f>RigheOfferte[[#This Row],[sub_cliente]]</f>
        <v>#VALUE!</v>
      </c>
      <c r="E678" t="e">
        <f>RigheOfferte[[#This Row],[cod.Art.]]</f>
        <v>#VALUE!</v>
      </c>
      <c r="F678" t="e">
        <f>RigheOfferte[[#This Row],[Descrizione]]</f>
        <v>#VALUE!</v>
      </c>
      <c r="G678" t="e">
        <f>RigheOfferte[[#This Row],[Q.ta'']]</f>
        <v>#VALUE!</v>
      </c>
      <c r="H678" t="e">
        <f>RigheOfferte[[#This Row],[Lavorazione]]</f>
        <v>#VALUE!</v>
      </c>
      <c r="I678" t="e">
        <f>RigheOfferte[[#This Row],[Colore]]</f>
        <v>#VALUE!</v>
      </c>
      <c r="J678" t="e">
        <f>RigheOfferte[[#This Row],[Velocità]]</f>
        <v>#VALUE!</v>
      </c>
      <c r="K678" t="e">
        <f>RigheOfferte[[#This Row],[Superf.pz Mq]]</f>
        <v>#VALUE!</v>
      </c>
      <c r="L678" t="e">
        <f>RigheOfferte[[#This Row],[passo]]</f>
        <v>#VALUE!</v>
      </c>
      <c r="M678" t="e">
        <f>RigheOfferte[[#This Row],[nr.pezzi Telaio]]</f>
        <v>#VALUE!</v>
      </c>
      <c r="N678" t="e">
        <f>RigheOfferte[[#This Row],[nr.pezzi ora-unita]]</f>
        <v>#VALUE!</v>
      </c>
      <c r="O678" t="e">
        <f>Tabella1[[#This Row],[superificie]]*Resa</f>
        <v>#VALUE!</v>
      </c>
      <c r="P678" t="e">
        <f>Tabella1[[#This Row],[KgPezzo]]*Tabella1[[#This Row],[q.ta offerta]]</f>
        <v>#VALUE!</v>
      </c>
      <c r="Q678" t="e">
        <f>RigheOfferte[[#This Row],[QtaProtez]]</f>
        <v>#VALUE!</v>
      </c>
      <c r="R678" t="e">
        <f>RigheOfferte[[#This Row],[Tipo Protezione]]</f>
        <v>#VALUE!</v>
      </c>
    </row>
    <row r="679" spans="1:18">
      <c r="A679" t="e">
        <f>RigheOfferte[[#This Row],[Nprev]]</f>
        <v>#VALUE!</v>
      </c>
      <c r="B679" t="e">
        <f>RigheOfferte[[#This Row],[Nriga]]</f>
        <v>#VALUE!</v>
      </c>
      <c r="C679" t="e">
        <f>RigheOfferte[[#This Row],[Cliente]]</f>
        <v>#VALUE!</v>
      </c>
      <c r="D679" t="e">
        <f>RigheOfferte[[#This Row],[sub_cliente]]</f>
        <v>#VALUE!</v>
      </c>
      <c r="E679" t="e">
        <f>RigheOfferte[[#This Row],[cod.Art.]]</f>
        <v>#VALUE!</v>
      </c>
      <c r="F679" t="e">
        <f>RigheOfferte[[#This Row],[Descrizione]]</f>
        <v>#VALUE!</v>
      </c>
      <c r="G679" t="e">
        <f>RigheOfferte[[#This Row],[Q.ta'']]</f>
        <v>#VALUE!</v>
      </c>
      <c r="H679" t="e">
        <f>RigheOfferte[[#This Row],[Lavorazione]]</f>
        <v>#VALUE!</v>
      </c>
      <c r="I679" t="e">
        <f>RigheOfferte[[#This Row],[Colore]]</f>
        <v>#VALUE!</v>
      </c>
      <c r="J679" t="e">
        <f>RigheOfferte[[#This Row],[Velocità]]</f>
        <v>#VALUE!</v>
      </c>
      <c r="K679" t="e">
        <f>RigheOfferte[[#This Row],[Superf.pz Mq]]</f>
        <v>#VALUE!</v>
      </c>
      <c r="L679" t="e">
        <f>RigheOfferte[[#This Row],[passo]]</f>
        <v>#VALUE!</v>
      </c>
      <c r="M679" t="e">
        <f>RigheOfferte[[#This Row],[nr.pezzi Telaio]]</f>
        <v>#VALUE!</v>
      </c>
      <c r="N679" t="e">
        <f>RigheOfferte[[#This Row],[nr.pezzi ora-unita]]</f>
        <v>#VALUE!</v>
      </c>
      <c r="O679" t="e">
        <f>Tabella1[[#This Row],[superificie]]*Resa</f>
        <v>#VALUE!</v>
      </c>
      <c r="P679" t="e">
        <f>Tabella1[[#This Row],[KgPezzo]]*Tabella1[[#This Row],[q.ta offerta]]</f>
        <v>#VALUE!</v>
      </c>
      <c r="Q679" t="e">
        <f>RigheOfferte[[#This Row],[QtaProtez]]</f>
        <v>#VALUE!</v>
      </c>
      <c r="R679" t="e">
        <f>RigheOfferte[[#This Row],[Tipo Protezione]]</f>
        <v>#VALUE!</v>
      </c>
    </row>
    <row r="680" spans="1:18">
      <c r="A680" t="e">
        <f>RigheOfferte[[#This Row],[Nprev]]</f>
        <v>#VALUE!</v>
      </c>
      <c r="B680" t="e">
        <f>RigheOfferte[[#This Row],[Nriga]]</f>
        <v>#VALUE!</v>
      </c>
      <c r="C680" t="e">
        <f>RigheOfferte[[#This Row],[Cliente]]</f>
        <v>#VALUE!</v>
      </c>
      <c r="D680" t="e">
        <f>RigheOfferte[[#This Row],[sub_cliente]]</f>
        <v>#VALUE!</v>
      </c>
      <c r="E680" t="e">
        <f>RigheOfferte[[#This Row],[cod.Art.]]</f>
        <v>#VALUE!</v>
      </c>
      <c r="F680" t="e">
        <f>RigheOfferte[[#This Row],[Descrizione]]</f>
        <v>#VALUE!</v>
      </c>
      <c r="G680" t="e">
        <f>RigheOfferte[[#This Row],[Q.ta'']]</f>
        <v>#VALUE!</v>
      </c>
      <c r="H680" t="e">
        <f>RigheOfferte[[#This Row],[Lavorazione]]</f>
        <v>#VALUE!</v>
      </c>
      <c r="I680" t="e">
        <f>RigheOfferte[[#This Row],[Colore]]</f>
        <v>#VALUE!</v>
      </c>
      <c r="J680" t="e">
        <f>RigheOfferte[[#This Row],[Velocità]]</f>
        <v>#VALUE!</v>
      </c>
      <c r="K680" t="e">
        <f>RigheOfferte[[#This Row],[Superf.pz Mq]]</f>
        <v>#VALUE!</v>
      </c>
      <c r="L680" t="e">
        <f>RigheOfferte[[#This Row],[passo]]</f>
        <v>#VALUE!</v>
      </c>
      <c r="M680" t="e">
        <f>RigheOfferte[[#This Row],[nr.pezzi Telaio]]</f>
        <v>#VALUE!</v>
      </c>
      <c r="N680" t="e">
        <f>RigheOfferte[[#This Row],[nr.pezzi ora-unita]]</f>
        <v>#VALUE!</v>
      </c>
      <c r="O680" t="e">
        <f>Tabella1[[#This Row],[superificie]]*Resa</f>
        <v>#VALUE!</v>
      </c>
      <c r="P680" t="e">
        <f>Tabella1[[#This Row],[KgPezzo]]*Tabella1[[#This Row],[q.ta offerta]]</f>
        <v>#VALUE!</v>
      </c>
      <c r="Q680" t="e">
        <f>RigheOfferte[[#This Row],[QtaProtez]]</f>
        <v>#VALUE!</v>
      </c>
      <c r="R680" t="e">
        <f>RigheOfferte[[#This Row],[Tipo Protezione]]</f>
        <v>#VALUE!</v>
      </c>
    </row>
    <row r="681" spans="1:18">
      <c r="A681" t="e">
        <f>RigheOfferte[[#This Row],[Nprev]]</f>
        <v>#VALUE!</v>
      </c>
      <c r="B681" t="e">
        <f>RigheOfferte[[#This Row],[Nriga]]</f>
        <v>#VALUE!</v>
      </c>
      <c r="C681" t="e">
        <f>RigheOfferte[[#This Row],[Cliente]]</f>
        <v>#VALUE!</v>
      </c>
      <c r="D681" t="e">
        <f>RigheOfferte[[#This Row],[sub_cliente]]</f>
        <v>#VALUE!</v>
      </c>
      <c r="E681" t="e">
        <f>RigheOfferte[[#This Row],[cod.Art.]]</f>
        <v>#VALUE!</v>
      </c>
      <c r="F681" t="e">
        <f>RigheOfferte[[#This Row],[Descrizione]]</f>
        <v>#VALUE!</v>
      </c>
      <c r="G681" t="e">
        <f>RigheOfferte[[#This Row],[Q.ta'']]</f>
        <v>#VALUE!</v>
      </c>
      <c r="H681" t="e">
        <f>RigheOfferte[[#This Row],[Lavorazione]]</f>
        <v>#VALUE!</v>
      </c>
      <c r="I681" t="e">
        <f>RigheOfferte[[#This Row],[Colore]]</f>
        <v>#VALUE!</v>
      </c>
      <c r="J681" t="e">
        <f>RigheOfferte[[#This Row],[Velocità]]</f>
        <v>#VALUE!</v>
      </c>
      <c r="K681" t="e">
        <f>RigheOfferte[[#This Row],[Superf.pz Mq]]</f>
        <v>#VALUE!</v>
      </c>
      <c r="L681" t="e">
        <f>RigheOfferte[[#This Row],[passo]]</f>
        <v>#VALUE!</v>
      </c>
      <c r="M681" t="e">
        <f>RigheOfferte[[#This Row],[nr.pezzi Telaio]]</f>
        <v>#VALUE!</v>
      </c>
      <c r="N681" t="e">
        <f>RigheOfferte[[#This Row],[nr.pezzi ora-unita]]</f>
        <v>#VALUE!</v>
      </c>
      <c r="O681" t="e">
        <f>Tabella1[[#This Row],[superificie]]*Resa</f>
        <v>#VALUE!</v>
      </c>
      <c r="P681" t="e">
        <f>Tabella1[[#This Row],[KgPezzo]]*Tabella1[[#This Row],[q.ta offerta]]</f>
        <v>#VALUE!</v>
      </c>
      <c r="Q681" t="e">
        <f>RigheOfferte[[#This Row],[QtaProtez]]</f>
        <v>#VALUE!</v>
      </c>
      <c r="R681" t="e">
        <f>RigheOfferte[[#This Row],[Tipo Protezione]]</f>
        <v>#VALUE!</v>
      </c>
    </row>
    <row r="682" spans="1:18">
      <c r="A682" t="e">
        <f>RigheOfferte[[#This Row],[Nprev]]</f>
        <v>#VALUE!</v>
      </c>
      <c r="B682" t="e">
        <f>RigheOfferte[[#This Row],[Nriga]]</f>
        <v>#VALUE!</v>
      </c>
      <c r="C682" t="e">
        <f>RigheOfferte[[#This Row],[Cliente]]</f>
        <v>#VALUE!</v>
      </c>
      <c r="D682" t="e">
        <f>RigheOfferte[[#This Row],[sub_cliente]]</f>
        <v>#VALUE!</v>
      </c>
      <c r="E682" t="e">
        <f>RigheOfferte[[#This Row],[cod.Art.]]</f>
        <v>#VALUE!</v>
      </c>
      <c r="F682" t="e">
        <f>RigheOfferte[[#This Row],[Descrizione]]</f>
        <v>#VALUE!</v>
      </c>
      <c r="G682" t="e">
        <f>RigheOfferte[[#This Row],[Q.ta'']]</f>
        <v>#VALUE!</v>
      </c>
      <c r="H682" t="e">
        <f>RigheOfferte[[#This Row],[Lavorazione]]</f>
        <v>#VALUE!</v>
      </c>
      <c r="I682" t="e">
        <f>RigheOfferte[[#This Row],[Colore]]</f>
        <v>#VALUE!</v>
      </c>
      <c r="J682" t="e">
        <f>RigheOfferte[[#This Row],[Velocità]]</f>
        <v>#VALUE!</v>
      </c>
      <c r="K682" t="e">
        <f>RigheOfferte[[#This Row],[Superf.pz Mq]]</f>
        <v>#VALUE!</v>
      </c>
      <c r="L682" t="e">
        <f>RigheOfferte[[#This Row],[passo]]</f>
        <v>#VALUE!</v>
      </c>
      <c r="M682" t="e">
        <f>RigheOfferte[[#This Row],[nr.pezzi Telaio]]</f>
        <v>#VALUE!</v>
      </c>
      <c r="N682" t="e">
        <f>RigheOfferte[[#This Row],[nr.pezzi ora-unita]]</f>
        <v>#VALUE!</v>
      </c>
      <c r="O682" t="e">
        <f>Tabella1[[#This Row],[superificie]]*Resa</f>
        <v>#VALUE!</v>
      </c>
      <c r="P682" t="e">
        <f>Tabella1[[#This Row],[KgPezzo]]*Tabella1[[#This Row],[q.ta offerta]]</f>
        <v>#VALUE!</v>
      </c>
      <c r="Q682" t="e">
        <f>RigheOfferte[[#This Row],[QtaProtez]]</f>
        <v>#VALUE!</v>
      </c>
      <c r="R682" t="e">
        <f>RigheOfferte[[#This Row],[Tipo Protezione]]</f>
        <v>#VALUE!</v>
      </c>
    </row>
    <row r="683" spans="1:18">
      <c r="A683" t="e">
        <f>RigheOfferte[[#This Row],[Nprev]]</f>
        <v>#VALUE!</v>
      </c>
      <c r="B683" t="e">
        <f>RigheOfferte[[#This Row],[Nriga]]</f>
        <v>#VALUE!</v>
      </c>
      <c r="C683" t="e">
        <f>RigheOfferte[[#This Row],[Cliente]]</f>
        <v>#VALUE!</v>
      </c>
      <c r="D683" t="e">
        <f>RigheOfferte[[#This Row],[sub_cliente]]</f>
        <v>#VALUE!</v>
      </c>
      <c r="E683" t="e">
        <f>RigheOfferte[[#This Row],[cod.Art.]]</f>
        <v>#VALUE!</v>
      </c>
      <c r="F683" t="e">
        <f>RigheOfferte[[#This Row],[Descrizione]]</f>
        <v>#VALUE!</v>
      </c>
      <c r="G683" t="e">
        <f>RigheOfferte[[#This Row],[Q.ta'']]</f>
        <v>#VALUE!</v>
      </c>
      <c r="H683" t="e">
        <f>RigheOfferte[[#This Row],[Lavorazione]]</f>
        <v>#VALUE!</v>
      </c>
      <c r="I683" t="e">
        <f>RigheOfferte[[#This Row],[Colore]]</f>
        <v>#VALUE!</v>
      </c>
      <c r="J683" t="e">
        <f>RigheOfferte[[#This Row],[Velocità]]</f>
        <v>#VALUE!</v>
      </c>
      <c r="K683" t="e">
        <f>RigheOfferte[[#This Row],[Superf.pz Mq]]</f>
        <v>#VALUE!</v>
      </c>
      <c r="L683" t="e">
        <f>RigheOfferte[[#This Row],[passo]]</f>
        <v>#VALUE!</v>
      </c>
      <c r="M683" t="e">
        <f>RigheOfferte[[#This Row],[nr.pezzi Telaio]]</f>
        <v>#VALUE!</v>
      </c>
      <c r="N683" t="e">
        <f>RigheOfferte[[#This Row],[nr.pezzi ora-unita]]</f>
        <v>#VALUE!</v>
      </c>
      <c r="O683" t="e">
        <f>Tabella1[[#This Row],[superificie]]*Resa</f>
        <v>#VALUE!</v>
      </c>
      <c r="P683" t="e">
        <f>Tabella1[[#This Row],[KgPezzo]]*Tabella1[[#This Row],[q.ta offerta]]</f>
        <v>#VALUE!</v>
      </c>
      <c r="Q683" t="e">
        <f>RigheOfferte[[#This Row],[QtaProtez]]</f>
        <v>#VALUE!</v>
      </c>
      <c r="R683" t="e">
        <f>RigheOfferte[[#This Row],[Tipo Protezione]]</f>
        <v>#VALUE!</v>
      </c>
    </row>
    <row r="684" spans="1:18">
      <c r="A684" t="e">
        <f>RigheOfferte[[#This Row],[Nprev]]</f>
        <v>#VALUE!</v>
      </c>
      <c r="B684" t="e">
        <f>RigheOfferte[[#This Row],[Nriga]]</f>
        <v>#VALUE!</v>
      </c>
      <c r="C684" t="e">
        <f>RigheOfferte[[#This Row],[Cliente]]</f>
        <v>#VALUE!</v>
      </c>
      <c r="D684" t="e">
        <f>RigheOfferte[[#This Row],[sub_cliente]]</f>
        <v>#VALUE!</v>
      </c>
      <c r="E684" t="e">
        <f>RigheOfferte[[#This Row],[cod.Art.]]</f>
        <v>#VALUE!</v>
      </c>
      <c r="F684" t="e">
        <f>RigheOfferte[[#This Row],[Descrizione]]</f>
        <v>#VALUE!</v>
      </c>
      <c r="G684" t="e">
        <f>RigheOfferte[[#This Row],[Q.ta'']]</f>
        <v>#VALUE!</v>
      </c>
      <c r="H684" t="e">
        <f>RigheOfferte[[#This Row],[Lavorazione]]</f>
        <v>#VALUE!</v>
      </c>
      <c r="I684" t="e">
        <f>RigheOfferte[[#This Row],[Colore]]</f>
        <v>#VALUE!</v>
      </c>
      <c r="J684" t="e">
        <f>RigheOfferte[[#This Row],[Velocità]]</f>
        <v>#VALUE!</v>
      </c>
      <c r="K684" t="e">
        <f>RigheOfferte[[#This Row],[Superf.pz Mq]]</f>
        <v>#VALUE!</v>
      </c>
      <c r="L684" t="e">
        <f>RigheOfferte[[#This Row],[passo]]</f>
        <v>#VALUE!</v>
      </c>
      <c r="M684" t="e">
        <f>RigheOfferte[[#This Row],[nr.pezzi Telaio]]</f>
        <v>#VALUE!</v>
      </c>
      <c r="N684" t="e">
        <f>RigheOfferte[[#This Row],[nr.pezzi ora-unita]]</f>
        <v>#VALUE!</v>
      </c>
      <c r="O684" t="e">
        <f>Tabella1[[#This Row],[superificie]]*Resa</f>
        <v>#VALUE!</v>
      </c>
      <c r="P684" t="e">
        <f>Tabella1[[#This Row],[KgPezzo]]*Tabella1[[#This Row],[q.ta offerta]]</f>
        <v>#VALUE!</v>
      </c>
      <c r="Q684" t="e">
        <f>RigheOfferte[[#This Row],[QtaProtez]]</f>
        <v>#VALUE!</v>
      </c>
      <c r="R684" t="e">
        <f>RigheOfferte[[#This Row],[Tipo Protezione]]</f>
        <v>#VALUE!</v>
      </c>
    </row>
    <row r="685" spans="1:18">
      <c r="A685" t="e">
        <f>RigheOfferte[[#This Row],[Nprev]]</f>
        <v>#VALUE!</v>
      </c>
      <c r="B685" t="e">
        <f>RigheOfferte[[#This Row],[Nriga]]</f>
        <v>#VALUE!</v>
      </c>
      <c r="C685" t="e">
        <f>RigheOfferte[[#This Row],[Cliente]]</f>
        <v>#VALUE!</v>
      </c>
      <c r="D685" t="e">
        <f>RigheOfferte[[#This Row],[sub_cliente]]</f>
        <v>#VALUE!</v>
      </c>
      <c r="E685" t="e">
        <f>RigheOfferte[[#This Row],[cod.Art.]]</f>
        <v>#VALUE!</v>
      </c>
      <c r="F685" t="e">
        <f>RigheOfferte[[#This Row],[Descrizione]]</f>
        <v>#VALUE!</v>
      </c>
      <c r="G685" t="e">
        <f>RigheOfferte[[#This Row],[Q.ta'']]</f>
        <v>#VALUE!</v>
      </c>
      <c r="H685" t="e">
        <f>RigheOfferte[[#This Row],[Lavorazione]]</f>
        <v>#VALUE!</v>
      </c>
      <c r="I685" t="e">
        <f>RigheOfferte[[#This Row],[Colore]]</f>
        <v>#VALUE!</v>
      </c>
      <c r="J685" t="e">
        <f>RigheOfferte[[#This Row],[Velocità]]</f>
        <v>#VALUE!</v>
      </c>
      <c r="K685" t="e">
        <f>RigheOfferte[[#This Row],[Superf.pz Mq]]</f>
        <v>#VALUE!</v>
      </c>
      <c r="L685" t="e">
        <f>RigheOfferte[[#This Row],[passo]]</f>
        <v>#VALUE!</v>
      </c>
      <c r="M685" t="e">
        <f>RigheOfferte[[#This Row],[nr.pezzi Telaio]]</f>
        <v>#VALUE!</v>
      </c>
      <c r="N685" t="e">
        <f>RigheOfferte[[#This Row],[nr.pezzi ora-unita]]</f>
        <v>#VALUE!</v>
      </c>
      <c r="O685" t="e">
        <f>Tabella1[[#This Row],[superificie]]*Resa</f>
        <v>#VALUE!</v>
      </c>
      <c r="P685" t="e">
        <f>Tabella1[[#This Row],[KgPezzo]]*Tabella1[[#This Row],[q.ta offerta]]</f>
        <v>#VALUE!</v>
      </c>
      <c r="Q685" t="e">
        <f>RigheOfferte[[#This Row],[QtaProtez]]</f>
        <v>#VALUE!</v>
      </c>
      <c r="R685" t="e">
        <f>RigheOfferte[[#This Row],[Tipo Protezione]]</f>
        <v>#VALUE!</v>
      </c>
    </row>
    <row r="686" spans="1:18">
      <c r="A686" t="e">
        <f>RigheOfferte[[#This Row],[Nprev]]</f>
        <v>#VALUE!</v>
      </c>
      <c r="B686" t="e">
        <f>RigheOfferte[[#This Row],[Nriga]]</f>
        <v>#VALUE!</v>
      </c>
      <c r="C686" t="e">
        <f>RigheOfferte[[#This Row],[Cliente]]</f>
        <v>#VALUE!</v>
      </c>
      <c r="D686" t="e">
        <f>RigheOfferte[[#This Row],[sub_cliente]]</f>
        <v>#VALUE!</v>
      </c>
      <c r="E686" t="e">
        <f>RigheOfferte[[#This Row],[cod.Art.]]</f>
        <v>#VALUE!</v>
      </c>
      <c r="F686" t="e">
        <f>RigheOfferte[[#This Row],[Descrizione]]</f>
        <v>#VALUE!</v>
      </c>
      <c r="G686" t="e">
        <f>RigheOfferte[[#This Row],[Q.ta'']]</f>
        <v>#VALUE!</v>
      </c>
      <c r="H686" t="e">
        <f>RigheOfferte[[#This Row],[Lavorazione]]</f>
        <v>#VALUE!</v>
      </c>
      <c r="I686" t="e">
        <f>RigheOfferte[[#This Row],[Colore]]</f>
        <v>#VALUE!</v>
      </c>
      <c r="J686" t="e">
        <f>RigheOfferte[[#This Row],[Velocità]]</f>
        <v>#VALUE!</v>
      </c>
      <c r="K686" t="e">
        <f>RigheOfferte[[#This Row],[Superf.pz Mq]]</f>
        <v>#VALUE!</v>
      </c>
      <c r="L686" t="e">
        <f>RigheOfferte[[#This Row],[passo]]</f>
        <v>#VALUE!</v>
      </c>
      <c r="M686" t="e">
        <f>RigheOfferte[[#This Row],[nr.pezzi Telaio]]</f>
        <v>#VALUE!</v>
      </c>
      <c r="N686" t="e">
        <f>RigheOfferte[[#This Row],[nr.pezzi ora-unita]]</f>
        <v>#VALUE!</v>
      </c>
      <c r="O686" t="e">
        <f>Tabella1[[#This Row],[superificie]]*Resa</f>
        <v>#VALUE!</v>
      </c>
      <c r="P686" t="e">
        <f>Tabella1[[#This Row],[KgPezzo]]*Tabella1[[#This Row],[q.ta offerta]]</f>
        <v>#VALUE!</v>
      </c>
      <c r="Q686" t="e">
        <f>RigheOfferte[[#This Row],[QtaProtez]]</f>
        <v>#VALUE!</v>
      </c>
      <c r="R686" t="e">
        <f>RigheOfferte[[#This Row],[Tipo Protezione]]</f>
        <v>#VALUE!</v>
      </c>
    </row>
    <row r="687" spans="1:18">
      <c r="A687" t="e">
        <f>RigheOfferte[[#This Row],[Nprev]]</f>
        <v>#VALUE!</v>
      </c>
      <c r="B687" t="e">
        <f>RigheOfferte[[#This Row],[Nriga]]</f>
        <v>#VALUE!</v>
      </c>
      <c r="C687" t="e">
        <f>RigheOfferte[[#This Row],[Cliente]]</f>
        <v>#VALUE!</v>
      </c>
      <c r="D687" t="e">
        <f>RigheOfferte[[#This Row],[sub_cliente]]</f>
        <v>#VALUE!</v>
      </c>
      <c r="E687" t="e">
        <f>RigheOfferte[[#This Row],[cod.Art.]]</f>
        <v>#VALUE!</v>
      </c>
      <c r="F687" t="e">
        <f>RigheOfferte[[#This Row],[Descrizione]]</f>
        <v>#VALUE!</v>
      </c>
      <c r="G687" t="e">
        <f>RigheOfferte[[#This Row],[Q.ta'']]</f>
        <v>#VALUE!</v>
      </c>
      <c r="H687" t="e">
        <f>RigheOfferte[[#This Row],[Lavorazione]]</f>
        <v>#VALUE!</v>
      </c>
      <c r="I687" t="e">
        <f>RigheOfferte[[#This Row],[Colore]]</f>
        <v>#VALUE!</v>
      </c>
      <c r="J687" t="e">
        <f>RigheOfferte[[#This Row],[Velocità]]</f>
        <v>#VALUE!</v>
      </c>
      <c r="K687" t="e">
        <f>RigheOfferte[[#This Row],[Superf.pz Mq]]</f>
        <v>#VALUE!</v>
      </c>
      <c r="L687" t="e">
        <f>RigheOfferte[[#This Row],[passo]]</f>
        <v>#VALUE!</v>
      </c>
      <c r="M687" t="e">
        <f>RigheOfferte[[#This Row],[nr.pezzi Telaio]]</f>
        <v>#VALUE!</v>
      </c>
      <c r="N687" t="e">
        <f>RigheOfferte[[#This Row],[nr.pezzi ora-unita]]</f>
        <v>#VALUE!</v>
      </c>
      <c r="O687" t="e">
        <f>Tabella1[[#This Row],[superificie]]*Resa</f>
        <v>#VALUE!</v>
      </c>
      <c r="P687" t="e">
        <f>Tabella1[[#This Row],[KgPezzo]]*Tabella1[[#This Row],[q.ta offerta]]</f>
        <v>#VALUE!</v>
      </c>
      <c r="Q687" t="e">
        <f>RigheOfferte[[#This Row],[QtaProtez]]</f>
        <v>#VALUE!</v>
      </c>
      <c r="R687" t="e">
        <f>RigheOfferte[[#This Row],[Tipo Protezione]]</f>
        <v>#VALUE!</v>
      </c>
    </row>
    <row r="688" spans="1:18">
      <c r="A688" t="e">
        <f>RigheOfferte[[#This Row],[Nprev]]</f>
        <v>#VALUE!</v>
      </c>
      <c r="B688" t="e">
        <f>RigheOfferte[[#This Row],[Nriga]]</f>
        <v>#VALUE!</v>
      </c>
      <c r="C688" t="e">
        <f>RigheOfferte[[#This Row],[Cliente]]</f>
        <v>#VALUE!</v>
      </c>
      <c r="D688" t="e">
        <f>RigheOfferte[[#This Row],[sub_cliente]]</f>
        <v>#VALUE!</v>
      </c>
      <c r="E688" t="e">
        <f>RigheOfferte[[#This Row],[cod.Art.]]</f>
        <v>#VALUE!</v>
      </c>
      <c r="F688" t="e">
        <f>RigheOfferte[[#This Row],[Descrizione]]</f>
        <v>#VALUE!</v>
      </c>
      <c r="G688" t="e">
        <f>RigheOfferte[[#This Row],[Q.ta'']]</f>
        <v>#VALUE!</v>
      </c>
      <c r="H688" t="e">
        <f>RigheOfferte[[#This Row],[Lavorazione]]</f>
        <v>#VALUE!</v>
      </c>
      <c r="I688" t="e">
        <f>RigheOfferte[[#This Row],[Colore]]</f>
        <v>#VALUE!</v>
      </c>
      <c r="J688" t="e">
        <f>RigheOfferte[[#This Row],[Velocità]]</f>
        <v>#VALUE!</v>
      </c>
      <c r="K688" t="e">
        <f>RigheOfferte[[#This Row],[Superf.pz Mq]]</f>
        <v>#VALUE!</v>
      </c>
      <c r="L688" t="e">
        <f>RigheOfferte[[#This Row],[passo]]</f>
        <v>#VALUE!</v>
      </c>
      <c r="M688" t="e">
        <f>RigheOfferte[[#This Row],[nr.pezzi Telaio]]</f>
        <v>#VALUE!</v>
      </c>
      <c r="N688" t="e">
        <f>RigheOfferte[[#This Row],[nr.pezzi ora-unita]]</f>
        <v>#VALUE!</v>
      </c>
      <c r="O688" t="e">
        <f>Tabella1[[#This Row],[superificie]]*Resa</f>
        <v>#VALUE!</v>
      </c>
      <c r="P688" t="e">
        <f>Tabella1[[#This Row],[KgPezzo]]*Tabella1[[#This Row],[q.ta offerta]]</f>
        <v>#VALUE!</v>
      </c>
      <c r="Q688" t="e">
        <f>RigheOfferte[[#This Row],[QtaProtez]]</f>
        <v>#VALUE!</v>
      </c>
      <c r="R688" t="e">
        <f>RigheOfferte[[#This Row],[Tipo Protezione]]</f>
        <v>#VALUE!</v>
      </c>
    </row>
    <row r="689" spans="1:18">
      <c r="A689" t="e">
        <f>RigheOfferte[[#This Row],[Nprev]]</f>
        <v>#VALUE!</v>
      </c>
      <c r="B689" t="e">
        <f>RigheOfferte[[#This Row],[Nriga]]</f>
        <v>#VALUE!</v>
      </c>
      <c r="C689" t="e">
        <f>RigheOfferte[[#This Row],[Cliente]]</f>
        <v>#VALUE!</v>
      </c>
      <c r="D689" t="e">
        <f>RigheOfferte[[#This Row],[sub_cliente]]</f>
        <v>#VALUE!</v>
      </c>
      <c r="E689" t="e">
        <f>RigheOfferte[[#This Row],[cod.Art.]]</f>
        <v>#VALUE!</v>
      </c>
      <c r="F689" t="e">
        <f>RigheOfferte[[#This Row],[Descrizione]]</f>
        <v>#VALUE!</v>
      </c>
      <c r="G689" t="e">
        <f>RigheOfferte[[#This Row],[Q.ta'']]</f>
        <v>#VALUE!</v>
      </c>
      <c r="H689" t="e">
        <f>RigheOfferte[[#This Row],[Lavorazione]]</f>
        <v>#VALUE!</v>
      </c>
      <c r="I689" t="e">
        <f>RigheOfferte[[#This Row],[Colore]]</f>
        <v>#VALUE!</v>
      </c>
      <c r="J689" t="e">
        <f>RigheOfferte[[#This Row],[Velocità]]</f>
        <v>#VALUE!</v>
      </c>
      <c r="K689" t="e">
        <f>RigheOfferte[[#This Row],[Superf.pz Mq]]</f>
        <v>#VALUE!</v>
      </c>
      <c r="L689" t="e">
        <f>RigheOfferte[[#This Row],[passo]]</f>
        <v>#VALUE!</v>
      </c>
      <c r="M689" t="e">
        <f>RigheOfferte[[#This Row],[nr.pezzi Telaio]]</f>
        <v>#VALUE!</v>
      </c>
      <c r="N689" t="e">
        <f>RigheOfferte[[#This Row],[nr.pezzi ora-unita]]</f>
        <v>#VALUE!</v>
      </c>
      <c r="O689" t="e">
        <f>Tabella1[[#This Row],[superificie]]*Resa</f>
        <v>#VALUE!</v>
      </c>
      <c r="P689" t="e">
        <f>Tabella1[[#This Row],[KgPezzo]]*Tabella1[[#This Row],[q.ta offerta]]</f>
        <v>#VALUE!</v>
      </c>
      <c r="Q689" t="e">
        <f>RigheOfferte[[#This Row],[QtaProtez]]</f>
        <v>#VALUE!</v>
      </c>
      <c r="R689" t="e">
        <f>RigheOfferte[[#This Row],[Tipo Protezione]]</f>
        <v>#VALUE!</v>
      </c>
    </row>
    <row r="690" spans="1:18">
      <c r="A690" t="e">
        <f>RigheOfferte[[#This Row],[Nprev]]</f>
        <v>#VALUE!</v>
      </c>
      <c r="B690" t="e">
        <f>RigheOfferte[[#This Row],[Nriga]]</f>
        <v>#VALUE!</v>
      </c>
      <c r="C690" t="e">
        <f>RigheOfferte[[#This Row],[Cliente]]</f>
        <v>#VALUE!</v>
      </c>
      <c r="D690" t="e">
        <f>RigheOfferte[[#This Row],[sub_cliente]]</f>
        <v>#VALUE!</v>
      </c>
      <c r="E690" t="e">
        <f>RigheOfferte[[#This Row],[cod.Art.]]</f>
        <v>#VALUE!</v>
      </c>
      <c r="F690" t="e">
        <f>RigheOfferte[[#This Row],[Descrizione]]</f>
        <v>#VALUE!</v>
      </c>
      <c r="G690" t="e">
        <f>RigheOfferte[[#This Row],[Q.ta'']]</f>
        <v>#VALUE!</v>
      </c>
      <c r="H690" t="e">
        <f>RigheOfferte[[#This Row],[Lavorazione]]</f>
        <v>#VALUE!</v>
      </c>
      <c r="I690" t="e">
        <f>RigheOfferte[[#This Row],[Colore]]</f>
        <v>#VALUE!</v>
      </c>
      <c r="J690" t="e">
        <f>RigheOfferte[[#This Row],[Velocità]]</f>
        <v>#VALUE!</v>
      </c>
      <c r="K690" t="e">
        <f>RigheOfferte[[#This Row],[Superf.pz Mq]]</f>
        <v>#VALUE!</v>
      </c>
      <c r="L690" t="e">
        <f>RigheOfferte[[#This Row],[passo]]</f>
        <v>#VALUE!</v>
      </c>
      <c r="M690" t="e">
        <f>RigheOfferte[[#This Row],[nr.pezzi Telaio]]</f>
        <v>#VALUE!</v>
      </c>
      <c r="N690" t="e">
        <f>RigheOfferte[[#This Row],[nr.pezzi ora-unita]]</f>
        <v>#VALUE!</v>
      </c>
      <c r="O690" t="e">
        <f>Tabella1[[#This Row],[superificie]]*Resa</f>
        <v>#VALUE!</v>
      </c>
      <c r="P690" t="e">
        <f>Tabella1[[#This Row],[KgPezzo]]*Tabella1[[#This Row],[q.ta offerta]]</f>
        <v>#VALUE!</v>
      </c>
      <c r="Q690" t="e">
        <f>RigheOfferte[[#This Row],[QtaProtez]]</f>
        <v>#VALUE!</v>
      </c>
      <c r="R690" t="e">
        <f>RigheOfferte[[#This Row],[Tipo Protezione]]</f>
        <v>#VALUE!</v>
      </c>
    </row>
    <row r="691" spans="1:18">
      <c r="A691" t="e">
        <f>RigheOfferte[[#This Row],[Nprev]]</f>
        <v>#VALUE!</v>
      </c>
      <c r="B691" t="e">
        <f>RigheOfferte[[#This Row],[Nriga]]</f>
        <v>#VALUE!</v>
      </c>
      <c r="C691" t="e">
        <f>RigheOfferte[[#This Row],[Cliente]]</f>
        <v>#VALUE!</v>
      </c>
      <c r="D691" t="e">
        <f>RigheOfferte[[#This Row],[sub_cliente]]</f>
        <v>#VALUE!</v>
      </c>
      <c r="E691" t="e">
        <f>RigheOfferte[[#This Row],[cod.Art.]]</f>
        <v>#VALUE!</v>
      </c>
      <c r="F691" t="e">
        <f>RigheOfferte[[#This Row],[Descrizione]]</f>
        <v>#VALUE!</v>
      </c>
      <c r="G691" t="e">
        <f>RigheOfferte[[#This Row],[Q.ta'']]</f>
        <v>#VALUE!</v>
      </c>
      <c r="H691" t="e">
        <f>RigheOfferte[[#This Row],[Lavorazione]]</f>
        <v>#VALUE!</v>
      </c>
      <c r="I691" t="e">
        <f>RigheOfferte[[#This Row],[Colore]]</f>
        <v>#VALUE!</v>
      </c>
      <c r="J691" t="e">
        <f>RigheOfferte[[#This Row],[Velocità]]</f>
        <v>#VALUE!</v>
      </c>
      <c r="K691" t="e">
        <f>RigheOfferte[[#This Row],[Superf.pz Mq]]</f>
        <v>#VALUE!</v>
      </c>
      <c r="L691" t="e">
        <f>RigheOfferte[[#This Row],[passo]]</f>
        <v>#VALUE!</v>
      </c>
      <c r="M691" t="e">
        <f>RigheOfferte[[#This Row],[nr.pezzi Telaio]]</f>
        <v>#VALUE!</v>
      </c>
      <c r="N691" t="e">
        <f>RigheOfferte[[#This Row],[nr.pezzi ora-unita]]</f>
        <v>#VALUE!</v>
      </c>
      <c r="O691" t="e">
        <f>Tabella1[[#This Row],[superificie]]*Resa</f>
        <v>#VALUE!</v>
      </c>
      <c r="P691" t="e">
        <f>Tabella1[[#This Row],[KgPezzo]]*Tabella1[[#This Row],[q.ta offerta]]</f>
        <v>#VALUE!</v>
      </c>
      <c r="Q691" t="e">
        <f>RigheOfferte[[#This Row],[QtaProtez]]</f>
        <v>#VALUE!</v>
      </c>
      <c r="R691" t="e">
        <f>RigheOfferte[[#This Row],[Tipo Protezione]]</f>
        <v>#VALUE!</v>
      </c>
    </row>
    <row r="692" spans="1:18">
      <c r="A692" t="e">
        <f>RigheOfferte[[#This Row],[Nprev]]</f>
        <v>#VALUE!</v>
      </c>
      <c r="B692" t="e">
        <f>RigheOfferte[[#This Row],[Nriga]]</f>
        <v>#VALUE!</v>
      </c>
      <c r="C692" t="e">
        <f>RigheOfferte[[#This Row],[Cliente]]</f>
        <v>#VALUE!</v>
      </c>
      <c r="D692" t="e">
        <f>RigheOfferte[[#This Row],[sub_cliente]]</f>
        <v>#VALUE!</v>
      </c>
      <c r="E692" t="e">
        <f>RigheOfferte[[#This Row],[cod.Art.]]</f>
        <v>#VALUE!</v>
      </c>
      <c r="F692" t="e">
        <f>RigheOfferte[[#This Row],[Descrizione]]</f>
        <v>#VALUE!</v>
      </c>
      <c r="G692" t="e">
        <f>RigheOfferte[[#This Row],[Q.ta'']]</f>
        <v>#VALUE!</v>
      </c>
      <c r="H692" t="e">
        <f>RigheOfferte[[#This Row],[Lavorazione]]</f>
        <v>#VALUE!</v>
      </c>
      <c r="I692" t="e">
        <f>RigheOfferte[[#This Row],[Colore]]</f>
        <v>#VALUE!</v>
      </c>
      <c r="J692" t="e">
        <f>RigheOfferte[[#This Row],[Velocità]]</f>
        <v>#VALUE!</v>
      </c>
      <c r="K692" t="e">
        <f>RigheOfferte[[#This Row],[Superf.pz Mq]]</f>
        <v>#VALUE!</v>
      </c>
      <c r="L692" t="e">
        <f>RigheOfferte[[#This Row],[passo]]</f>
        <v>#VALUE!</v>
      </c>
      <c r="M692" t="e">
        <f>RigheOfferte[[#This Row],[nr.pezzi Telaio]]</f>
        <v>#VALUE!</v>
      </c>
      <c r="N692" t="e">
        <f>RigheOfferte[[#This Row],[nr.pezzi ora-unita]]</f>
        <v>#VALUE!</v>
      </c>
      <c r="O692" t="e">
        <f>Tabella1[[#This Row],[superificie]]*Resa</f>
        <v>#VALUE!</v>
      </c>
      <c r="P692" t="e">
        <f>Tabella1[[#This Row],[KgPezzo]]*Tabella1[[#This Row],[q.ta offerta]]</f>
        <v>#VALUE!</v>
      </c>
      <c r="Q692" t="e">
        <f>RigheOfferte[[#This Row],[QtaProtez]]</f>
        <v>#VALUE!</v>
      </c>
      <c r="R692" t="e">
        <f>RigheOfferte[[#This Row],[Tipo Protezione]]</f>
        <v>#VALUE!</v>
      </c>
    </row>
    <row r="693" spans="1:18">
      <c r="A693" t="e">
        <f>RigheOfferte[[#This Row],[Nprev]]</f>
        <v>#VALUE!</v>
      </c>
      <c r="B693" t="e">
        <f>RigheOfferte[[#This Row],[Nriga]]</f>
        <v>#VALUE!</v>
      </c>
      <c r="C693" t="e">
        <f>RigheOfferte[[#This Row],[Cliente]]</f>
        <v>#VALUE!</v>
      </c>
      <c r="D693" t="e">
        <f>RigheOfferte[[#This Row],[sub_cliente]]</f>
        <v>#VALUE!</v>
      </c>
      <c r="E693" t="e">
        <f>RigheOfferte[[#This Row],[cod.Art.]]</f>
        <v>#VALUE!</v>
      </c>
      <c r="F693" t="e">
        <f>RigheOfferte[[#This Row],[Descrizione]]</f>
        <v>#VALUE!</v>
      </c>
      <c r="G693" t="e">
        <f>RigheOfferte[[#This Row],[Q.ta'']]</f>
        <v>#VALUE!</v>
      </c>
      <c r="H693" t="e">
        <f>RigheOfferte[[#This Row],[Lavorazione]]</f>
        <v>#VALUE!</v>
      </c>
      <c r="I693" t="e">
        <f>RigheOfferte[[#This Row],[Colore]]</f>
        <v>#VALUE!</v>
      </c>
      <c r="J693" t="e">
        <f>RigheOfferte[[#This Row],[Velocità]]</f>
        <v>#VALUE!</v>
      </c>
      <c r="K693" t="e">
        <f>RigheOfferte[[#This Row],[Superf.pz Mq]]</f>
        <v>#VALUE!</v>
      </c>
      <c r="L693" t="e">
        <f>RigheOfferte[[#This Row],[passo]]</f>
        <v>#VALUE!</v>
      </c>
      <c r="M693" t="e">
        <f>RigheOfferte[[#This Row],[nr.pezzi Telaio]]</f>
        <v>#VALUE!</v>
      </c>
      <c r="N693" t="e">
        <f>RigheOfferte[[#This Row],[nr.pezzi ora-unita]]</f>
        <v>#VALUE!</v>
      </c>
      <c r="O693" t="e">
        <f>Tabella1[[#This Row],[superificie]]*Resa</f>
        <v>#VALUE!</v>
      </c>
      <c r="P693" t="e">
        <f>Tabella1[[#This Row],[KgPezzo]]*Tabella1[[#This Row],[q.ta offerta]]</f>
        <v>#VALUE!</v>
      </c>
      <c r="Q693" t="e">
        <f>RigheOfferte[[#This Row],[QtaProtez]]</f>
        <v>#VALUE!</v>
      </c>
      <c r="R693" t="e">
        <f>RigheOfferte[[#This Row],[Tipo Protezione]]</f>
        <v>#VALUE!</v>
      </c>
    </row>
    <row r="694" spans="1:18">
      <c r="A694" t="e">
        <f>RigheOfferte[[#This Row],[Nprev]]</f>
        <v>#VALUE!</v>
      </c>
      <c r="B694" t="e">
        <f>RigheOfferte[[#This Row],[Nriga]]</f>
        <v>#VALUE!</v>
      </c>
      <c r="C694" t="e">
        <f>RigheOfferte[[#This Row],[Cliente]]</f>
        <v>#VALUE!</v>
      </c>
      <c r="D694" t="e">
        <f>RigheOfferte[[#This Row],[sub_cliente]]</f>
        <v>#VALUE!</v>
      </c>
      <c r="E694" t="e">
        <f>RigheOfferte[[#This Row],[cod.Art.]]</f>
        <v>#VALUE!</v>
      </c>
      <c r="F694" t="e">
        <f>RigheOfferte[[#This Row],[Descrizione]]</f>
        <v>#VALUE!</v>
      </c>
      <c r="G694" t="e">
        <f>RigheOfferte[[#This Row],[Q.ta'']]</f>
        <v>#VALUE!</v>
      </c>
      <c r="H694" t="e">
        <f>RigheOfferte[[#This Row],[Lavorazione]]</f>
        <v>#VALUE!</v>
      </c>
      <c r="I694" t="e">
        <f>RigheOfferte[[#This Row],[Colore]]</f>
        <v>#VALUE!</v>
      </c>
      <c r="J694" t="e">
        <f>RigheOfferte[[#This Row],[Velocità]]</f>
        <v>#VALUE!</v>
      </c>
      <c r="K694" t="e">
        <f>RigheOfferte[[#This Row],[Superf.pz Mq]]</f>
        <v>#VALUE!</v>
      </c>
      <c r="L694" t="e">
        <f>RigheOfferte[[#This Row],[passo]]</f>
        <v>#VALUE!</v>
      </c>
      <c r="M694" t="e">
        <f>RigheOfferte[[#This Row],[nr.pezzi Telaio]]</f>
        <v>#VALUE!</v>
      </c>
      <c r="N694" t="e">
        <f>RigheOfferte[[#This Row],[nr.pezzi ora-unita]]</f>
        <v>#VALUE!</v>
      </c>
      <c r="O694" t="e">
        <f>Tabella1[[#This Row],[superificie]]*Resa</f>
        <v>#VALUE!</v>
      </c>
      <c r="P694" t="e">
        <f>Tabella1[[#This Row],[KgPezzo]]*Tabella1[[#This Row],[q.ta offerta]]</f>
        <v>#VALUE!</v>
      </c>
      <c r="Q694" t="e">
        <f>RigheOfferte[[#This Row],[QtaProtez]]</f>
        <v>#VALUE!</v>
      </c>
      <c r="R694" t="e">
        <f>RigheOfferte[[#This Row],[Tipo Protezione]]</f>
        <v>#VALUE!</v>
      </c>
    </row>
    <row r="695" spans="1:18">
      <c r="A695" t="e">
        <f>RigheOfferte[[#This Row],[Nprev]]</f>
        <v>#VALUE!</v>
      </c>
      <c r="B695" t="e">
        <f>RigheOfferte[[#This Row],[Nriga]]</f>
        <v>#VALUE!</v>
      </c>
      <c r="C695" t="e">
        <f>RigheOfferte[[#This Row],[Cliente]]</f>
        <v>#VALUE!</v>
      </c>
      <c r="D695" t="e">
        <f>RigheOfferte[[#This Row],[sub_cliente]]</f>
        <v>#VALUE!</v>
      </c>
      <c r="E695" t="e">
        <f>RigheOfferte[[#This Row],[cod.Art.]]</f>
        <v>#VALUE!</v>
      </c>
      <c r="F695" t="e">
        <f>RigheOfferte[[#This Row],[Descrizione]]</f>
        <v>#VALUE!</v>
      </c>
      <c r="G695" t="e">
        <f>RigheOfferte[[#This Row],[Q.ta'']]</f>
        <v>#VALUE!</v>
      </c>
      <c r="H695" t="e">
        <f>RigheOfferte[[#This Row],[Lavorazione]]</f>
        <v>#VALUE!</v>
      </c>
      <c r="I695" t="e">
        <f>RigheOfferte[[#This Row],[Colore]]</f>
        <v>#VALUE!</v>
      </c>
      <c r="J695" t="e">
        <f>RigheOfferte[[#This Row],[Velocità]]</f>
        <v>#VALUE!</v>
      </c>
      <c r="K695" t="e">
        <f>RigheOfferte[[#This Row],[Superf.pz Mq]]</f>
        <v>#VALUE!</v>
      </c>
      <c r="L695" t="e">
        <f>RigheOfferte[[#This Row],[passo]]</f>
        <v>#VALUE!</v>
      </c>
      <c r="M695" t="e">
        <f>RigheOfferte[[#This Row],[nr.pezzi Telaio]]</f>
        <v>#VALUE!</v>
      </c>
      <c r="N695" t="e">
        <f>RigheOfferte[[#This Row],[nr.pezzi ora-unita]]</f>
        <v>#VALUE!</v>
      </c>
      <c r="O695" t="e">
        <f>Tabella1[[#This Row],[superificie]]*Resa</f>
        <v>#VALUE!</v>
      </c>
      <c r="P695" t="e">
        <f>Tabella1[[#This Row],[KgPezzo]]*Tabella1[[#This Row],[q.ta offerta]]</f>
        <v>#VALUE!</v>
      </c>
      <c r="Q695" t="e">
        <f>RigheOfferte[[#This Row],[QtaProtez]]</f>
        <v>#VALUE!</v>
      </c>
      <c r="R695" t="e">
        <f>RigheOfferte[[#This Row],[Tipo Protezione]]</f>
        <v>#VALUE!</v>
      </c>
    </row>
    <row r="696" spans="1:18">
      <c r="A696" t="e">
        <f>RigheOfferte[[#This Row],[Nprev]]</f>
        <v>#VALUE!</v>
      </c>
      <c r="B696" t="e">
        <f>RigheOfferte[[#This Row],[Nriga]]</f>
        <v>#VALUE!</v>
      </c>
      <c r="C696" t="e">
        <f>RigheOfferte[[#This Row],[Cliente]]</f>
        <v>#VALUE!</v>
      </c>
      <c r="D696" t="e">
        <f>RigheOfferte[[#This Row],[sub_cliente]]</f>
        <v>#VALUE!</v>
      </c>
      <c r="E696" t="e">
        <f>RigheOfferte[[#This Row],[cod.Art.]]</f>
        <v>#VALUE!</v>
      </c>
      <c r="F696" t="e">
        <f>RigheOfferte[[#This Row],[Descrizione]]</f>
        <v>#VALUE!</v>
      </c>
      <c r="G696" t="e">
        <f>RigheOfferte[[#This Row],[Q.ta'']]</f>
        <v>#VALUE!</v>
      </c>
      <c r="H696" t="e">
        <f>RigheOfferte[[#This Row],[Lavorazione]]</f>
        <v>#VALUE!</v>
      </c>
      <c r="I696" t="e">
        <f>RigheOfferte[[#This Row],[Colore]]</f>
        <v>#VALUE!</v>
      </c>
      <c r="J696" t="e">
        <f>RigheOfferte[[#This Row],[Velocità]]</f>
        <v>#VALUE!</v>
      </c>
      <c r="K696" t="e">
        <f>RigheOfferte[[#This Row],[Superf.pz Mq]]</f>
        <v>#VALUE!</v>
      </c>
      <c r="L696" t="e">
        <f>RigheOfferte[[#This Row],[passo]]</f>
        <v>#VALUE!</v>
      </c>
      <c r="M696" t="e">
        <f>RigheOfferte[[#This Row],[nr.pezzi Telaio]]</f>
        <v>#VALUE!</v>
      </c>
      <c r="N696" t="e">
        <f>RigheOfferte[[#This Row],[nr.pezzi ora-unita]]</f>
        <v>#VALUE!</v>
      </c>
      <c r="O696" t="e">
        <f>Tabella1[[#This Row],[superificie]]*Resa</f>
        <v>#VALUE!</v>
      </c>
      <c r="P696" t="e">
        <f>Tabella1[[#This Row],[KgPezzo]]*Tabella1[[#This Row],[q.ta offerta]]</f>
        <v>#VALUE!</v>
      </c>
      <c r="Q696" t="e">
        <f>RigheOfferte[[#This Row],[QtaProtez]]</f>
        <v>#VALUE!</v>
      </c>
      <c r="R696" t="e">
        <f>RigheOfferte[[#This Row],[Tipo Protezione]]</f>
        <v>#VALUE!</v>
      </c>
    </row>
    <row r="697" spans="1:18">
      <c r="A697" t="e">
        <f>RigheOfferte[[#This Row],[Nprev]]</f>
        <v>#VALUE!</v>
      </c>
      <c r="B697" t="e">
        <f>RigheOfferte[[#This Row],[Nriga]]</f>
        <v>#VALUE!</v>
      </c>
      <c r="C697" t="e">
        <f>RigheOfferte[[#This Row],[Cliente]]</f>
        <v>#VALUE!</v>
      </c>
      <c r="D697" t="e">
        <f>RigheOfferte[[#This Row],[sub_cliente]]</f>
        <v>#VALUE!</v>
      </c>
      <c r="E697" t="e">
        <f>RigheOfferte[[#This Row],[cod.Art.]]</f>
        <v>#VALUE!</v>
      </c>
      <c r="F697" t="e">
        <f>RigheOfferte[[#This Row],[Descrizione]]</f>
        <v>#VALUE!</v>
      </c>
      <c r="G697" t="e">
        <f>RigheOfferte[[#This Row],[Q.ta'']]</f>
        <v>#VALUE!</v>
      </c>
      <c r="H697" t="e">
        <f>RigheOfferte[[#This Row],[Lavorazione]]</f>
        <v>#VALUE!</v>
      </c>
      <c r="I697" t="e">
        <f>RigheOfferte[[#This Row],[Colore]]</f>
        <v>#VALUE!</v>
      </c>
      <c r="J697" t="e">
        <f>RigheOfferte[[#This Row],[Velocità]]</f>
        <v>#VALUE!</v>
      </c>
      <c r="K697" t="e">
        <f>RigheOfferte[[#This Row],[Superf.pz Mq]]</f>
        <v>#VALUE!</v>
      </c>
      <c r="L697" t="e">
        <f>RigheOfferte[[#This Row],[passo]]</f>
        <v>#VALUE!</v>
      </c>
      <c r="M697" t="e">
        <f>RigheOfferte[[#This Row],[nr.pezzi Telaio]]</f>
        <v>#VALUE!</v>
      </c>
      <c r="N697" t="e">
        <f>RigheOfferte[[#This Row],[nr.pezzi ora-unita]]</f>
        <v>#VALUE!</v>
      </c>
      <c r="O697" t="e">
        <f>Tabella1[[#This Row],[superificie]]*Resa</f>
        <v>#VALUE!</v>
      </c>
      <c r="P697" t="e">
        <f>Tabella1[[#This Row],[KgPezzo]]*Tabella1[[#This Row],[q.ta offerta]]</f>
        <v>#VALUE!</v>
      </c>
      <c r="Q697" t="e">
        <f>RigheOfferte[[#This Row],[QtaProtez]]</f>
        <v>#VALUE!</v>
      </c>
      <c r="R697" t="e">
        <f>RigheOfferte[[#This Row],[Tipo Protezione]]</f>
        <v>#VALUE!</v>
      </c>
    </row>
    <row r="698" spans="1:18">
      <c r="A698" t="e">
        <f>RigheOfferte[[#This Row],[Nprev]]</f>
        <v>#VALUE!</v>
      </c>
      <c r="B698" t="e">
        <f>RigheOfferte[[#This Row],[Nriga]]</f>
        <v>#VALUE!</v>
      </c>
      <c r="C698" t="e">
        <f>RigheOfferte[[#This Row],[Cliente]]</f>
        <v>#VALUE!</v>
      </c>
      <c r="D698" t="e">
        <f>RigheOfferte[[#This Row],[sub_cliente]]</f>
        <v>#VALUE!</v>
      </c>
      <c r="E698" t="e">
        <f>RigheOfferte[[#This Row],[cod.Art.]]</f>
        <v>#VALUE!</v>
      </c>
      <c r="F698" t="e">
        <f>RigheOfferte[[#This Row],[Descrizione]]</f>
        <v>#VALUE!</v>
      </c>
      <c r="G698" t="e">
        <f>RigheOfferte[[#This Row],[Q.ta'']]</f>
        <v>#VALUE!</v>
      </c>
      <c r="H698" t="e">
        <f>RigheOfferte[[#This Row],[Lavorazione]]</f>
        <v>#VALUE!</v>
      </c>
      <c r="I698" t="e">
        <f>RigheOfferte[[#This Row],[Colore]]</f>
        <v>#VALUE!</v>
      </c>
      <c r="J698" t="e">
        <f>RigheOfferte[[#This Row],[Velocità]]</f>
        <v>#VALUE!</v>
      </c>
      <c r="K698" t="e">
        <f>RigheOfferte[[#This Row],[Superf.pz Mq]]</f>
        <v>#VALUE!</v>
      </c>
      <c r="L698" t="e">
        <f>RigheOfferte[[#This Row],[passo]]</f>
        <v>#VALUE!</v>
      </c>
      <c r="M698" t="e">
        <f>RigheOfferte[[#This Row],[nr.pezzi Telaio]]</f>
        <v>#VALUE!</v>
      </c>
      <c r="N698" t="e">
        <f>RigheOfferte[[#This Row],[nr.pezzi ora-unita]]</f>
        <v>#VALUE!</v>
      </c>
      <c r="O698" t="e">
        <f>Tabella1[[#This Row],[superificie]]*Resa</f>
        <v>#VALUE!</v>
      </c>
      <c r="P698" t="e">
        <f>Tabella1[[#This Row],[KgPezzo]]*Tabella1[[#This Row],[q.ta offerta]]</f>
        <v>#VALUE!</v>
      </c>
      <c r="Q698" t="e">
        <f>RigheOfferte[[#This Row],[QtaProtez]]</f>
        <v>#VALUE!</v>
      </c>
      <c r="R698" t="e">
        <f>RigheOfferte[[#This Row],[Tipo Protezione]]</f>
        <v>#VALUE!</v>
      </c>
    </row>
    <row r="699" spans="1:18">
      <c r="A699" t="e">
        <f>RigheOfferte[[#This Row],[Nprev]]</f>
        <v>#VALUE!</v>
      </c>
      <c r="B699" t="e">
        <f>RigheOfferte[[#This Row],[Nriga]]</f>
        <v>#VALUE!</v>
      </c>
      <c r="C699" t="e">
        <f>RigheOfferte[[#This Row],[Cliente]]</f>
        <v>#VALUE!</v>
      </c>
      <c r="D699" t="e">
        <f>RigheOfferte[[#This Row],[sub_cliente]]</f>
        <v>#VALUE!</v>
      </c>
      <c r="E699" t="e">
        <f>RigheOfferte[[#This Row],[cod.Art.]]</f>
        <v>#VALUE!</v>
      </c>
      <c r="F699" t="e">
        <f>RigheOfferte[[#This Row],[Descrizione]]</f>
        <v>#VALUE!</v>
      </c>
      <c r="G699" t="e">
        <f>RigheOfferte[[#This Row],[Q.ta'']]</f>
        <v>#VALUE!</v>
      </c>
      <c r="H699" t="e">
        <f>RigheOfferte[[#This Row],[Lavorazione]]</f>
        <v>#VALUE!</v>
      </c>
      <c r="I699" t="e">
        <f>RigheOfferte[[#This Row],[Colore]]</f>
        <v>#VALUE!</v>
      </c>
      <c r="J699" t="e">
        <f>RigheOfferte[[#This Row],[Velocità]]</f>
        <v>#VALUE!</v>
      </c>
      <c r="K699" t="e">
        <f>RigheOfferte[[#This Row],[Superf.pz Mq]]</f>
        <v>#VALUE!</v>
      </c>
      <c r="L699" t="e">
        <f>RigheOfferte[[#This Row],[passo]]</f>
        <v>#VALUE!</v>
      </c>
      <c r="M699" t="e">
        <f>RigheOfferte[[#This Row],[nr.pezzi Telaio]]</f>
        <v>#VALUE!</v>
      </c>
      <c r="N699" t="e">
        <f>RigheOfferte[[#This Row],[nr.pezzi ora-unita]]</f>
        <v>#VALUE!</v>
      </c>
      <c r="O699" t="e">
        <f>Tabella1[[#This Row],[superificie]]*Resa</f>
        <v>#VALUE!</v>
      </c>
      <c r="P699" t="e">
        <f>Tabella1[[#This Row],[KgPezzo]]*Tabella1[[#This Row],[q.ta offerta]]</f>
        <v>#VALUE!</v>
      </c>
      <c r="Q699" t="e">
        <f>RigheOfferte[[#This Row],[QtaProtez]]</f>
        <v>#VALUE!</v>
      </c>
      <c r="R699" t="e">
        <f>RigheOfferte[[#This Row],[Tipo Protezione]]</f>
        <v>#VALUE!</v>
      </c>
    </row>
    <row r="700" spans="1:18">
      <c r="A700" t="e">
        <f>RigheOfferte[[#This Row],[Nprev]]</f>
        <v>#VALUE!</v>
      </c>
      <c r="B700" t="e">
        <f>RigheOfferte[[#This Row],[Nriga]]</f>
        <v>#VALUE!</v>
      </c>
      <c r="C700" t="e">
        <f>RigheOfferte[[#This Row],[Cliente]]</f>
        <v>#VALUE!</v>
      </c>
      <c r="D700" t="e">
        <f>RigheOfferte[[#This Row],[sub_cliente]]</f>
        <v>#VALUE!</v>
      </c>
      <c r="E700" t="e">
        <f>RigheOfferte[[#This Row],[cod.Art.]]</f>
        <v>#VALUE!</v>
      </c>
      <c r="F700" t="e">
        <f>RigheOfferte[[#This Row],[Descrizione]]</f>
        <v>#VALUE!</v>
      </c>
      <c r="G700" t="e">
        <f>RigheOfferte[[#This Row],[Q.ta'']]</f>
        <v>#VALUE!</v>
      </c>
      <c r="H700" t="e">
        <f>RigheOfferte[[#This Row],[Lavorazione]]</f>
        <v>#VALUE!</v>
      </c>
      <c r="I700" t="e">
        <f>RigheOfferte[[#This Row],[Colore]]</f>
        <v>#VALUE!</v>
      </c>
      <c r="J700" t="e">
        <f>RigheOfferte[[#This Row],[Velocità]]</f>
        <v>#VALUE!</v>
      </c>
      <c r="K700" t="e">
        <f>RigheOfferte[[#This Row],[Superf.pz Mq]]</f>
        <v>#VALUE!</v>
      </c>
      <c r="L700" t="e">
        <f>RigheOfferte[[#This Row],[passo]]</f>
        <v>#VALUE!</v>
      </c>
      <c r="M700" t="e">
        <f>RigheOfferte[[#This Row],[nr.pezzi Telaio]]</f>
        <v>#VALUE!</v>
      </c>
      <c r="N700" t="e">
        <f>RigheOfferte[[#This Row],[nr.pezzi ora-unita]]</f>
        <v>#VALUE!</v>
      </c>
      <c r="O700" t="e">
        <f>Tabella1[[#This Row],[superificie]]*Resa</f>
        <v>#VALUE!</v>
      </c>
      <c r="P700" t="e">
        <f>Tabella1[[#This Row],[KgPezzo]]*Tabella1[[#This Row],[q.ta offerta]]</f>
        <v>#VALUE!</v>
      </c>
      <c r="Q700" t="e">
        <f>RigheOfferte[[#This Row],[QtaProtez]]</f>
        <v>#VALUE!</v>
      </c>
      <c r="R700" t="e">
        <f>RigheOfferte[[#This Row],[Tipo Protezione]]</f>
        <v>#VALUE!</v>
      </c>
    </row>
    <row r="701" spans="1:18">
      <c r="A701" t="e">
        <f>RigheOfferte[[#This Row],[Nprev]]</f>
        <v>#VALUE!</v>
      </c>
      <c r="B701" t="e">
        <f>RigheOfferte[[#This Row],[Nriga]]</f>
        <v>#VALUE!</v>
      </c>
      <c r="C701" t="e">
        <f>RigheOfferte[[#This Row],[Cliente]]</f>
        <v>#VALUE!</v>
      </c>
      <c r="D701" t="e">
        <f>RigheOfferte[[#This Row],[sub_cliente]]</f>
        <v>#VALUE!</v>
      </c>
      <c r="E701" t="e">
        <f>RigheOfferte[[#This Row],[cod.Art.]]</f>
        <v>#VALUE!</v>
      </c>
      <c r="F701" t="e">
        <f>RigheOfferte[[#This Row],[Descrizione]]</f>
        <v>#VALUE!</v>
      </c>
      <c r="G701" t="e">
        <f>RigheOfferte[[#This Row],[Q.ta'']]</f>
        <v>#VALUE!</v>
      </c>
      <c r="H701" t="e">
        <f>RigheOfferte[[#This Row],[Lavorazione]]</f>
        <v>#VALUE!</v>
      </c>
      <c r="I701" t="e">
        <f>RigheOfferte[[#This Row],[Colore]]</f>
        <v>#VALUE!</v>
      </c>
      <c r="J701" t="e">
        <f>RigheOfferte[[#This Row],[Velocità]]</f>
        <v>#VALUE!</v>
      </c>
      <c r="K701" t="e">
        <f>RigheOfferte[[#This Row],[Superf.pz Mq]]</f>
        <v>#VALUE!</v>
      </c>
      <c r="L701" t="e">
        <f>RigheOfferte[[#This Row],[passo]]</f>
        <v>#VALUE!</v>
      </c>
      <c r="M701" t="e">
        <f>RigheOfferte[[#This Row],[nr.pezzi Telaio]]</f>
        <v>#VALUE!</v>
      </c>
      <c r="N701" t="e">
        <f>RigheOfferte[[#This Row],[nr.pezzi ora-unita]]</f>
        <v>#VALUE!</v>
      </c>
      <c r="O701" t="e">
        <f>Tabella1[[#This Row],[superificie]]*Resa</f>
        <v>#VALUE!</v>
      </c>
      <c r="P701" t="e">
        <f>Tabella1[[#This Row],[KgPezzo]]*Tabella1[[#This Row],[q.ta offerta]]</f>
        <v>#VALUE!</v>
      </c>
      <c r="Q701" t="e">
        <f>RigheOfferte[[#This Row],[QtaProtez]]</f>
        <v>#VALUE!</v>
      </c>
      <c r="R701" t="e">
        <f>RigheOfferte[[#This Row],[Tipo Protezione]]</f>
        <v>#VALUE!</v>
      </c>
    </row>
    <row r="702" spans="1:18">
      <c r="A702" t="e">
        <f>RigheOfferte[[#This Row],[Nprev]]</f>
        <v>#VALUE!</v>
      </c>
      <c r="B702" t="e">
        <f>RigheOfferte[[#This Row],[Nriga]]</f>
        <v>#VALUE!</v>
      </c>
      <c r="C702" t="e">
        <f>RigheOfferte[[#This Row],[Cliente]]</f>
        <v>#VALUE!</v>
      </c>
      <c r="D702" t="e">
        <f>RigheOfferte[[#This Row],[sub_cliente]]</f>
        <v>#VALUE!</v>
      </c>
      <c r="E702" t="e">
        <f>RigheOfferte[[#This Row],[cod.Art.]]</f>
        <v>#VALUE!</v>
      </c>
      <c r="F702" t="e">
        <f>RigheOfferte[[#This Row],[Descrizione]]</f>
        <v>#VALUE!</v>
      </c>
      <c r="G702" t="e">
        <f>RigheOfferte[[#This Row],[Q.ta'']]</f>
        <v>#VALUE!</v>
      </c>
      <c r="H702" t="e">
        <f>RigheOfferte[[#This Row],[Lavorazione]]</f>
        <v>#VALUE!</v>
      </c>
      <c r="I702" t="e">
        <f>RigheOfferte[[#This Row],[Colore]]</f>
        <v>#VALUE!</v>
      </c>
      <c r="J702" t="e">
        <f>RigheOfferte[[#This Row],[Velocità]]</f>
        <v>#VALUE!</v>
      </c>
      <c r="K702" t="e">
        <f>RigheOfferte[[#This Row],[Superf.pz Mq]]</f>
        <v>#VALUE!</v>
      </c>
      <c r="L702" t="e">
        <f>RigheOfferte[[#This Row],[passo]]</f>
        <v>#VALUE!</v>
      </c>
      <c r="M702" t="e">
        <f>RigheOfferte[[#This Row],[nr.pezzi Telaio]]</f>
        <v>#VALUE!</v>
      </c>
      <c r="N702" t="e">
        <f>RigheOfferte[[#This Row],[nr.pezzi ora-unita]]</f>
        <v>#VALUE!</v>
      </c>
      <c r="O702" t="e">
        <f>Tabella1[[#This Row],[superificie]]*Resa</f>
        <v>#VALUE!</v>
      </c>
      <c r="P702" t="e">
        <f>Tabella1[[#This Row],[KgPezzo]]*Tabella1[[#This Row],[q.ta offerta]]</f>
        <v>#VALUE!</v>
      </c>
      <c r="Q702" t="e">
        <f>RigheOfferte[[#This Row],[QtaProtez]]</f>
        <v>#VALUE!</v>
      </c>
      <c r="R702" t="e">
        <f>RigheOfferte[[#This Row],[Tipo Protezione]]</f>
        <v>#VALUE!</v>
      </c>
    </row>
    <row r="703" spans="1:18">
      <c r="A703" t="e">
        <f>RigheOfferte[[#This Row],[Nprev]]</f>
        <v>#VALUE!</v>
      </c>
      <c r="B703" t="e">
        <f>RigheOfferte[[#This Row],[Nriga]]</f>
        <v>#VALUE!</v>
      </c>
      <c r="C703" t="e">
        <f>RigheOfferte[[#This Row],[Cliente]]</f>
        <v>#VALUE!</v>
      </c>
      <c r="D703" t="e">
        <f>RigheOfferte[[#This Row],[sub_cliente]]</f>
        <v>#VALUE!</v>
      </c>
      <c r="E703" t="e">
        <f>RigheOfferte[[#This Row],[cod.Art.]]</f>
        <v>#VALUE!</v>
      </c>
      <c r="F703" t="e">
        <f>RigheOfferte[[#This Row],[Descrizione]]</f>
        <v>#VALUE!</v>
      </c>
      <c r="G703" t="e">
        <f>RigheOfferte[[#This Row],[Q.ta'']]</f>
        <v>#VALUE!</v>
      </c>
      <c r="H703" t="e">
        <f>RigheOfferte[[#This Row],[Lavorazione]]</f>
        <v>#VALUE!</v>
      </c>
      <c r="I703" t="e">
        <f>RigheOfferte[[#This Row],[Colore]]</f>
        <v>#VALUE!</v>
      </c>
      <c r="J703" t="e">
        <f>RigheOfferte[[#This Row],[Velocità]]</f>
        <v>#VALUE!</v>
      </c>
      <c r="K703" t="e">
        <f>RigheOfferte[[#This Row],[Superf.pz Mq]]</f>
        <v>#VALUE!</v>
      </c>
      <c r="L703" t="e">
        <f>RigheOfferte[[#This Row],[passo]]</f>
        <v>#VALUE!</v>
      </c>
      <c r="M703" t="e">
        <f>RigheOfferte[[#This Row],[nr.pezzi Telaio]]</f>
        <v>#VALUE!</v>
      </c>
      <c r="N703" t="e">
        <f>RigheOfferte[[#This Row],[nr.pezzi ora-unita]]</f>
        <v>#VALUE!</v>
      </c>
      <c r="O703" t="e">
        <f>Tabella1[[#This Row],[superificie]]*Resa</f>
        <v>#VALUE!</v>
      </c>
      <c r="P703" t="e">
        <f>Tabella1[[#This Row],[KgPezzo]]*Tabella1[[#This Row],[q.ta offerta]]</f>
        <v>#VALUE!</v>
      </c>
      <c r="Q703" t="e">
        <f>RigheOfferte[[#This Row],[QtaProtez]]</f>
        <v>#VALUE!</v>
      </c>
      <c r="R703" t="e">
        <f>RigheOfferte[[#This Row],[Tipo Protezione]]</f>
        <v>#VALUE!</v>
      </c>
    </row>
    <row r="704" spans="1:18">
      <c r="A704" t="e">
        <f>RigheOfferte[[#This Row],[Nprev]]</f>
        <v>#VALUE!</v>
      </c>
      <c r="B704" t="e">
        <f>RigheOfferte[[#This Row],[Nriga]]</f>
        <v>#VALUE!</v>
      </c>
      <c r="C704" t="e">
        <f>RigheOfferte[[#This Row],[Cliente]]</f>
        <v>#VALUE!</v>
      </c>
      <c r="D704" t="e">
        <f>RigheOfferte[[#This Row],[sub_cliente]]</f>
        <v>#VALUE!</v>
      </c>
      <c r="E704" t="e">
        <f>RigheOfferte[[#This Row],[cod.Art.]]</f>
        <v>#VALUE!</v>
      </c>
      <c r="F704" t="e">
        <f>RigheOfferte[[#This Row],[Descrizione]]</f>
        <v>#VALUE!</v>
      </c>
      <c r="G704" t="e">
        <f>RigheOfferte[[#This Row],[Q.ta'']]</f>
        <v>#VALUE!</v>
      </c>
      <c r="H704" t="e">
        <f>RigheOfferte[[#This Row],[Lavorazione]]</f>
        <v>#VALUE!</v>
      </c>
      <c r="I704" t="e">
        <f>RigheOfferte[[#This Row],[Colore]]</f>
        <v>#VALUE!</v>
      </c>
      <c r="J704" t="e">
        <f>RigheOfferte[[#This Row],[Velocità]]</f>
        <v>#VALUE!</v>
      </c>
      <c r="K704" t="e">
        <f>RigheOfferte[[#This Row],[Superf.pz Mq]]</f>
        <v>#VALUE!</v>
      </c>
      <c r="L704" t="e">
        <f>RigheOfferte[[#This Row],[passo]]</f>
        <v>#VALUE!</v>
      </c>
      <c r="M704" t="e">
        <f>RigheOfferte[[#This Row],[nr.pezzi Telaio]]</f>
        <v>#VALUE!</v>
      </c>
      <c r="N704" t="e">
        <f>RigheOfferte[[#This Row],[nr.pezzi ora-unita]]</f>
        <v>#VALUE!</v>
      </c>
      <c r="O704" t="e">
        <f>Tabella1[[#This Row],[superificie]]*Resa</f>
        <v>#VALUE!</v>
      </c>
      <c r="P704" t="e">
        <f>Tabella1[[#This Row],[KgPezzo]]*Tabella1[[#This Row],[q.ta offerta]]</f>
        <v>#VALUE!</v>
      </c>
      <c r="Q704" t="e">
        <f>RigheOfferte[[#This Row],[QtaProtez]]</f>
        <v>#VALUE!</v>
      </c>
      <c r="R704" t="e">
        <f>RigheOfferte[[#This Row],[Tipo Protezione]]</f>
        <v>#VALUE!</v>
      </c>
    </row>
    <row r="705" spans="1:18">
      <c r="A705" t="e">
        <f>RigheOfferte[[#This Row],[Nprev]]</f>
        <v>#VALUE!</v>
      </c>
      <c r="B705" t="e">
        <f>RigheOfferte[[#This Row],[Nriga]]</f>
        <v>#VALUE!</v>
      </c>
      <c r="C705" t="e">
        <f>RigheOfferte[[#This Row],[Cliente]]</f>
        <v>#VALUE!</v>
      </c>
      <c r="D705" t="e">
        <f>RigheOfferte[[#This Row],[sub_cliente]]</f>
        <v>#VALUE!</v>
      </c>
      <c r="E705" t="e">
        <f>RigheOfferte[[#This Row],[cod.Art.]]</f>
        <v>#VALUE!</v>
      </c>
      <c r="F705" t="e">
        <f>RigheOfferte[[#This Row],[Descrizione]]</f>
        <v>#VALUE!</v>
      </c>
      <c r="G705" t="e">
        <f>RigheOfferte[[#This Row],[Q.ta'']]</f>
        <v>#VALUE!</v>
      </c>
      <c r="H705" t="e">
        <f>RigheOfferte[[#This Row],[Lavorazione]]</f>
        <v>#VALUE!</v>
      </c>
      <c r="I705" t="e">
        <f>RigheOfferte[[#This Row],[Colore]]</f>
        <v>#VALUE!</v>
      </c>
      <c r="J705" t="e">
        <f>RigheOfferte[[#This Row],[Velocità]]</f>
        <v>#VALUE!</v>
      </c>
      <c r="K705" t="e">
        <f>RigheOfferte[[#This Row],[Superf.pz Mq]]</f>
        <v>#VALUE!</v>
      </c>
      <c r="L705" t="e">
        <f>RigheOfferte[[#This Row],[passo]]</f>
        <v>#VALUE!</v>
      </c>
      <c r="M705" t="e">
        <f>RigheOfferte[[#This Row],[nr.pezzi Telaio]]</f>
        <v>#VALUE!</v>
      </c>
      <c r="N705" t="e">
        <f>RigheOfferte[[#This Row],[nr.pezzi ora-unita]]</f>
        <v>#VALUE!</v>
      </c>
      <c r="O705" t="e">
        <f>Tabella1[[#This Row],[superificie]]*Resa</f>
        <v>#VALUE!</v>
      </c>
      <c r="P705" t="e">
        <f>Tabella1[[#This Row],[KgPezzo]]*Tabella1[[#This Row],[q.ta offerta]]</f>
        <v>#VALUE!</v>
      </c>
      <c r="Q705" t="e">
        <f>RigheOfferte[[#This Row],[QtaProtez]]</f>
        <v>#VALUE!</v>
      </c>
      <c r="R705" t="e">
        <f>RigheOfferte[[#This Row],[Tipo Protezione]]</f>
        <v>#VALUE!</v>
      </c>
    </row>
    <row r="706" spans="1:18">
      <c r="A706" t="e">
        <f>RigheOfferte[[#This Row],[Nprev]]</f>
        <v>#VALUE!</v>
      </c>
      <c r="B706" t="e">
        <f>RigheOfferte[[#This Row],[Nriga]]</f>
        <v>#VALUE!</v>
      </c>
      <c r="C706" t="e">
        <f>RigheOfferte[[#This Row],[Cliente]]</f>
        <v>#VALUE!</v>
      </c>
      <c r="D706" t="e">
        <f>RigheOfferte[[#This Row],[sub_cliente]]</f>
        <v>#VALUE!</v>
      </c>
      <c r="E706" t="e">
        <f>RigheOfferte[[#This Row],[cod.Art.]]</f>
        <v>#VALUE!</v>
      </c>
      <c r="F706" t="e">
        <f>RigheOfferte[[#This Row],[Descrizione]]</f>
        <v>#VALUE!</v>
      </c>
      <c r="G706" t="e">
        <f>RigheOfferte[[#This Row],[Q.ta'']]</f>
        <v>#VALUE!</v>
      </c>
      <c r="H706" t="e">
        <f>RigheOfferte[[#This Row],[Lavorazione]]</f>
        <v>#VALUE!</v>
      </c>
      <c r="I706" t="e">
        <f>RigheOfferte[[#This Row],[Colore]]</f>
        <v>#VALUE!</v>
      </c>
      <c r="J706" t="e">
        <f>RigheOfferte[[#This Row],[Velocità]]</f>
        <v>#VALUE!</v>
      </c>
      <c r="K706" t="e">
        <f>RigheOfferte[[#This Row],[Superf.pz Mq]]</f>
        <v>#VALUE!</v>
      </c>
      <c r="L706" t="e">
        <f>RigheOfferte[[#This Row],[passo]]</f>
        <v>#VALUE!</v>
      </c>
      <c r="M706" t="e">
        <f>RigheOfferte[[#This Row],[nr.pezzi Telaio]]</f>
        <v>#VALUE!</v>
      </c>
      <c r="N706" t="e">
        <f>RigheOfferte[[#This Row],[nr.pezzi ora-unita]]</f>
        <v>#VALUE!</v>
      </c>
      <c r="O706" t="e">
        <f>Tabella1[[#This Row],[superificie]]*Resa</f>
        <v>#VALUE!</v>
      </c>
      <c r="P706" t="e">
        <f>Tabella1[[#This Row],[KgPezzo]]*Tabella1[[#This Row],[q.ta offerta]]</f>
        <v>#VALUE!</v>
      </c>
      <c r="Q706" t="e">
        <f>RigheOfferte[[#This Row],[QtaProtez]]</f>
        <v>#VALUE!</v>
      </c>
      <c r="R706" t="e">
        <f>RigheOfferte[[#This Row],[Tipo Protezione]]</f>
        <v>#VALUE!</v>
      </c>
    </row>
    <row r="707" spans="1:18">
      <c r="A707" t="e">
        <f>RigheOfferte[[#This Row],[Nprev]]</f>
        <v>#VALUE!</v>
      </c>
      <c r="B707" t="e">
        <f>RigheOfferte[[#This Row],[Nriga]]</f>
        <v>#VALUE!</v>
      </c>
      <c r="C707" t="e">
        <f>RigheOfferte[[#This Row],[Cliente]]</f>
        <v>#VALUE!</v>
      </c>
      <c r="D707" t="e">
        <f>RigheOfferte[[#This Row],[sub_cliente]]</f>
        <v>#VALUE!</v>
      </c>
      <c r="E707" t="e">
        <f>RigheOfferte[[#This Row],[cod.Art.]]</f>
        <v>#VALUE!</v>
      </c>
      <c r="F707" t="e">
        <f>RigheOfferte[[#This Row],[Descrizione]]</f>
        <v>#VALUE!</v>
      </c>
      <c r="G707" t="e">
        <f>RigheOfferte[[#This Row],[Q.ta'']]</f>
        <v>#VALUE!</v>
      </c>
      <c r="H707" t="e">
        <f>RigheOfferte[[#This Row],[Lavorazione]]</f>
        <v>#VALUE!</v>
      </c>
      <c r="I707" t="e">
        <f>RigheOfferte[[#This Row],[Colore]]</f>
        <v>#VALUE!</v>
      </c>
      <c r="J707" t="e">
        <f>RigheOfferte[[#This Row],[Velocità]]</f>
        <v>#VALUE!</v>
      </c>
      <c r="K707" t="e">
        <f>RigheOfferte[[#This Row],[Superf.pz Mq]]</f>
        <v>#VALUE!</v>
      </c>
      <c r="L707" t="e">
        <f>RigheOfferte[[#This Row],[passo]]</f>
        <v>#VALUE!</v>
      </c>
      <c r="M707" t="e">
        <f>RigheOfferte[[#This Row],[nr.pezzi Telaio]]</f>
        <v>#VALUE!</v>
      </c>
      <c r="N707" t="e">
        <f>RigheOfferte[[#This Row],[nr.pezzi ora-unita]]</f>
        <v>#VALUE!</v>
      </c>
      <c r="O707" t="e">
        <f>Tabella1[[#This Row],[superificie]]*Resa</f>
        <v>#VALUE!</v>
      </c>
      <c r="P707" t="e">
        <f>Tabella1[[#This Row],[KgPezzo]]*Tabella1[[#This Row],[q.ta offerta]]</f>
        <v>#VALUE!</v>
      </c>
      <c r="Q707" t="e">
        <f>RigheOfferte[[#This Row],[QtaProtez]]</f>
        <v>#VALUE!</v>
      </c>
      <c r="R707" t="e">
        <f>RigheOfferte[[#This Row],[Tipo Protezione]]</f>
        <v>#VALUE!</v>
      </c>
    </row>
    <row r="708" spans="1:18">
      <c r="A708" t="e">
        <f>RigheOfferte[[#This Row],[Nprev]]</f>
        <v>#VALUE!</v>
      </c>
      <c r="B708" t="e">
        <f>RigheOfferte[[#This Row],[Nriga]]</f>
        <v>#VALUE!</v>
      </c>
      <c r="C708" t="e">
        <f>RigheOfferte[[#This Row],[Cliente]]</f>
        <v>#VALUE!</v>
      </c>
      <c r="D708" t="e">
        <f>RigheOfferte[[#This Row],[sub_cliente]]</f>
        <v>#VALUE!</v>
      </c>
      <c r="E708" t="e">
        <f>RigheOfferte[[#This Row],[cod.Art.]]</f>
        <v>#VALUE!</v>
      </c>
      <c r="F708" t="e">
        <f>RigheOfferte[[#This Row],[Descrizione]]</f>
        <v>#VALUE!</v>
      </c>
      <c r="G708" t="e">
        <f>RigheOfferte[[#This Row],[Q.ta'']]</f>
        <v>#VALUE!</v>
      </c>
      <c r="H708" t="e">
        <f>RigheOfferte[[#This Row],[Lavorazione]]</f>
        <v>#VALUE!</v>
      </c>
      <c r="I708" t="e">
        <f>RigheOfferte[[#This Row],[Colore]]</f>
        <v>#VALUE!</v>
      </c>
      <c r="J708" t="e">
        <f>RigheOfferte[[#This Row],[Velocità]]</f>
        <v>#VALUE!</v>
      </c>
      <c r="K708" t="e">
        <f>RigheOfferte[[#This Row],[Superf.pz Mq]]</f>
        <v>#VALUE!</v>
      </c>
      <c r="L708" t="e">
        <f>RigheOfferte[[#This Row],[passo]]</f>
        <v>#VALUE!</v>
      </c>
      <c r="M708" t="e">
        <f>RigheOfferte[[#This Row],[nr.pezzi Telaio]]</f>
        <v>#VALUE!</v>
      </c>
      <c r="N708" t="e">
        <f>RigheOfferte[[#This Row],[nr.pezzi ora-unita]]</f>
        <v>#VALUE!</v>
      </c>
      <c r="O708" t="e">
        <f>Tabella1[[#This Row],[superificie]]*Resa</f>
        <v>#VALUE!</v>
      </c>
      <c r="P708" t="e">
        <f>Tabella1[[#This Row],[KgPezzo]]*Tabella1[[#This Row],[q.ta offerta]]</f>
        <v>#VALUE!</v>
      </c>
      <c r="Q708" t="e">
        <f>RigheOfferte[[#This Row],[QtaProtez]]</f>
        <v>#VALUE!</v>
      </c>
      <c r="R708" t="e">
        <f>RigheOfferte[[#This Row],[Tipo Protezione]]</f>
        <v>#VALUE!</v>
      </c>
    </row>
    <row r="709" spans="1:18">
      <c r="A709" t="e">
        <f>RigheOfferte[[#This Row],[Nprev]]</f>
        <v>#VALUE!</v>
      </c>
      <c r="B709" t="e">
        <f>RigheOfferte[[#This Row],[Nriga]]</f>
        <v>#VALUE!</v>
      </c>
      <c r="C709" t="e">
        <f>RigheOfferte[[#This Row],[Cliente]]</f>
        <v>#VALUE!</v>
      </c>
      <c r="D709" t="e">
        <f>RigheOfferte[[#This Row],[sub_cliente]]</f>
        <v>#VALUE!</v>
      </c>
      <c r="E709" t="e">
        <f>RigheOfferte[[#This Row],[cod.Art.]]</f>
        <v>#VALUE!</v>
      </c>
      <c r="F709" t="e">
        <f>RigheOfferte[[#This Row],[Descrizione]]</f>
        <v>#VALUE!</v>
      </c>
      <c r="G709" t="e">
        <f>RigheOfferte[[#This Row],[Q.ta'']]</f>
        <v>#VALUE!</v>
      </c>
      <c r="H709" t="e">
        <f>RigheOfferte[[#This Row],[Lavorazione]]</f>
        <v>#VALUE!</v>
      </c>
      <c r="I709" t="e">
        <f>RigheOfferte[[#This Row],[Colore]]</f>
        <v>#VALUE!</v>
      </c>
      <c r="J709" t="e">
        <f>RigheOfferte[[#This Row],[Velocità]]</f>
        <v>#VALUE!</v>
      </c>
      <c r="K709" t="e">
        <f>RigheOfferte[[#This Row],[Superf.pz Mq]]</f>
        <v>#VALUE!</v>
      </c>
      <c r="L709" t="e">
        <f>RigheOfferte[[#This Row],[passo]]</f>
        <v>#VALUE!</v>
      </c>
      <c r="M709" t="e">
        <f>RigheOfferte[[#This Row],[nr.pezzi Telaio]]</f>
        <v>#VALUE!</v>
      </c>
      <c r="N709" t="e">
        <f>RigheOfferte[[#This Row],[nr.pezzi ora-unita]]</f>
        <v>#VALUE!</v>
      </c>
      <c r="O709" t="e">
        <f>Tabella1[[#This Row],[superificie]]*Resa</f>
        <v>#VALUE!</v>
      </c>
      <c r="P709" t="e">
        <f>Tabella1[[#This Row],[KgPezzo]]*Tabella1[[#This Row],[q.ta offerta]]</f>
        <v>#VALUE!</v>
      </c>
      <c r="Q709" t="e">
        <f>RigheOfferte[[#This Row],[QtaProtez]]</f>
        <v>#VALUE!</v>
      </c>
      <c r="R709" t="e">
        <f>RigheOfferte[[#This Row],[Tipo Protezione]]</f>
        <v>#VALUE!</v>
      </c>
    </row>
    <row r="710" spans="1:18">
      <c r="A710" t="e">
        <f>RigheOfferte[[#This Row],[Nprev]]</f>
        <v>#VALUE!</v>
      </c>
      <c r="B710" t="e">
        <f>RigheOfferte[[#This Row],[Nriga]]</f>
        <v>#VALUE!</v>
      </c>
      <c r="C710" t="e">
        <f>RigheOfferte[[#This Row],[Cliente]]</f>
        <v>#VALUE!</v>
      </c>
      <c r="D710" t="e">
        <f>RigheOfferte[[#This Row],[sub_cliente]]</f>
        <v>#VALUE!</v>
      </c>
      <c r="E710" t="e">
        <f>RigheOfferte[[#This Row],[cod.Art.]]</f>
        <v>#VALUE!</v>
      </c>
      <c r="F710" t="e">
        <f>RigheOfferte[[#This Row],[Descrizione]]</f>
        <v>#VALUE!</v>
      </c>
      <c r="G710" t="e">
        <f>RigheOfferte[[#This Row],[Q.ta'']]</f>
        <v>#VALUE!</v>
      </c>
      <c r="H710" t="e">
        <f>RigheOfferte[[#This Row],[Lavorazione]]</f>
        <v>#VALUE!</v>
      </c>
      <c r="I710" t="e">
        <f>RigheOfferte[[#This Row],[Colore]]</f>
        <v>#VALUE!</v>
      </c>
      <c r="J710" t="e">
        <f>RigheOfferte[[#This Row],[Velocità]]</f>
        <v>#VALUE!</v>
      </c>
      <c r="K710" t="e">
        <f>RigheOfferte[[#This Row],[Superf.pz Mq]]</f>
        <v>#VALUE!</v>
      </c>
      <c r="L710" t="e">
        <f>RigheOfferte[[#This Row],[passo]]</f>
        <v>#VALUE!</v>
      </c>
      <c r="M710" t="e">
        <f>RigheOfferte[[#This Row],[nr.pezzi Telaio]]</f>
        <v>#VALUE!</v>
      </c>
      <c r="N710" t="e">
        <f>RigheOfferte[[#This Row],[nr.pezzi ora-unita]]</f>
        <v>#VALUE!</v>
      </c>
      <c r="O710" t="e">
        <f>Tabella1[[#This Row],[superificie]]*Resa</f>
        <v>#VALUE!</v>
      </c>
      <c r="P710" t="e">
        <f>Tabella1[[#This Row],[KgPezzo]]*Tabella1[[#This Row],[q.ta offerta]]</f>
        <v>#VALUE!</v>
      </c>
      <c r="Q710" t="e">
        <f>RigheOfferte[[#This Row],[QtaProtez]]</f>
        <v>#VALUE!</v>
      </c>
      <c r="R710" t="e">
        <f>RigheOfferte[[#This Row],[Tipo Protezione]]</f>
        <v>#VALUE!</v>
      </c>
    </row>
    <row r="711" spans="1:18">
      <c r="A711" t="e">
        <f>RigheOfferte[[#This Row],[Nprev]]</f>
        <v>#VALUE!</v>
      </c>
      <c r="B711" t="e">
        <f>RigheOfferte[[#This Row],[Nriga]]</f>
        <v>#VALUE!</v>
      </c>
      <c r="C711" t="e">
        <f>RigheOfferte[[#This Row],[Cliente]]</f>
        <v>#VALUE!</v>
      </c>
      <c r="D711" t="e">
        <f>RigheOfferte[[#This Row],[sub_cliente]]</f>
        <v>#VALUE!</v>
      </c>
      <c r="E711" t="e">
        <f>RigheOfferte[[#This Row],[cod.Art.]]</f>
        <v>#VALUE!</v>
      </c>
      <c r="F711" t="e">
        <f>RigheOfferte[[#This Row],[Descrizione]]</f>
        <v>#VALUE!</v>
      </c>
      <c r="G711" t="e">
        <f>RigheOfferte[[#This Row],[Q.ta'']]</f>
        <v>#VALUE!</v>
      </c>
      <c r="H711" t="e">
        <f>RigheOfferte[[#This Row],[Lavorazione]]</f>
        <v>#VALUE!</v>
      </c>
      <c r="I711" t="e">
        <f>RigheOfferte[[#This Row],[Colore]]</f>
        <v>#VALUE!</v>
      </c>
      <c r="J711" t="e">
        <f>RigheOfferte[[#This Row],[Velocità]]</f>
        <v>#VALUE!</v>
      </c>
      <c r="K711" t="e">
        <f>RigheOfferte[[#This Row],[Superf.pz Mq]]</f>
        <v>#VALUE!</v>
      </c>
      <c r="L711" t="e">
        <f>RigheOfferte[[#This Row],[passo]]</f>
        <v>#VALUE!</v>
      </c>
      <c r="M711" t="e">
        <f>RigheOfferte[[#This Row],[nr.pezzi Telaio]]</f>
        <v>#VALUE!</v>
      </c>
      <c r="N711" t="e">
        <f>RigheOfferte[[#This Row],[nr.pezzi ora-unita]]</f>
        <v>#VALUE!</v>
      </c>
      <c r="O711" t="e">
        <f>Tabella1[[#This Row],[superificie]]*Resa</f>
        <v>#VALUE!</v>
      </c>
      <c r="P711" t="e">
        <f>Tabella1[[#This Row],[KgPezzo]]*Tabella1[[#This Row],[q.ta offerta]]</f>
        <v>#VALUE!</v>
      </c>
      <c r="Q711" t="e">
        <f>RigheOfferte[[#This Row],[QtaProtez]]</f>
        <v>#VALUE!</v>
      </c>
      <c r="R711" t="e">
        <f>RigheOfferte[[#This Row],[Tipo Protezione]]</f>
        <v>#VALUE!</v>
      </c>
    </row>
    <row r="712" spans="1:18">
      <c r="A712" t="e">
        <f>RigheOfferte[[#This Row],[Nprev]]</f>
        <v>#VALUE!</v>
      </c>
      <c r="B712" t="e">
        <f>RigheOfferte[[#This Row],[Nriga]]</f>
        <v>#VALUE!</v>
      </c>
      <c r="C712" t="e">
        <f>RigheOfferte[[#This Row],[Cliente]]</f>
        <v>#VALUE!</v>
      </c>
      <c r="D712" t="e">
        <f>RigheOfferte[[#This Row],[sub_cliente]]</f>
        <v>#VALUE!</v>
      </c>
      <c r="E712" t="e">
        <f>RigheOfferte[[#This Row],[cod.Art.]]</f>
        <v>#VALUE!</v>
      </c>
      <c r="F712" t="e">
        <f>RigheOfferte[[#This Row],[Descrizione]]</f>
        <v>#VALUE!</v>
      </c>
      <c r="G712" t="e">
        <f>RigheOfferte[[#This Row],[Q.ta'']]</f>
        <v>#VALUE!</v>
      </c>
      <c r="H712" t="e">
        <f>RigheOfferte[[#This Row],[Lavorazione]]</f>
        <v>#VALUE!</v>
      </c>
      <c r="I712" t="e">
        <f>RigheOfferte[[#This Row],[Colore]]</f>
        <v>#VALUE!</v>
      </c>
      <c r="J712" t="e">
        <f>RigheOfferte[[#This Row],[Velocità]]</f>
        <v>#VALUE!</v>
      </c>
      <c r="K712" t="e">
        <f>RigheOfferte[[#This Row],[Superf.pz Mq]]</f>
        <v>#VALUE!</v>
      </c>
      <c r="L712" t="e">
        <f>RigheOfferte[[#This Row],[passo]]</f>
        <v>#VALUE!</v>
      </c>
      <c r="M712" t="e">
        <f>RigheOfferte[[#This Row],[nr.pezzi Telaio]]</f>
        <v>#VALUE!</v>
      </c>
      <c r="N712" t="e">
        <f>RigheOfferte[[#This Row],[nr.pezzi ora-unita]]</f>
        <v>#VALUE!</v>
      </c>
      <c r="O712" t="e">
        <f>Tabella1[[#This Row],[superificie]]*Resa</f>
        <v>#VALUE!</v>
      </c>
      <c r="P712" t="e">
        <f>Tabella1[[#This Row],[KgPezzo]]*Tabella1[[#This Row],[q.ta offerta]]</f>
        <v>#VALUE!</v>
      </c>
      <c r="Q712" t="e">
        <f>RigheOfferte[[#This Row],[QtaProtez]]</f>
        <v>#VALUE!</v>
      </c>
      <c r="R712" t="e">
        <f>RigheOfferte[[#This Row],[Tipo Protezione]]</f>
        <v>#VALUE!</v>
      </c>
    </row>
    <row r="713" spans="1:18">
      <c r="A713" t="e">
        <f>RigheOfferte[[#This Row],[Nprev]]</f>
        <v>#VALUE!</v>
      </c>
      <c r="B713" t="e">
        <f>RigheOfferte[[#This Row],[Nriga]]</f>
        <v>#VALUE!</v>
      </c>
      <c r="C713" t="e">
        <f>RigheOfferte[[#This Row],[Cliente]]</f>
        <v>#VALUE!</v>
      </c>
      <c r="D713" t="e">
        <f>RigheOfferte[[#This Row],[sub_cliente]]</f>
        <v>#VALUE!</v>
      </c>
      <c r="E713" t="e">
        <f>RigheOfferte[[#This Row],[cod.Art.]]</f>
        <v>#VALUE!</v>
      </c>
      <c r="F713" t="e">
        <f>RigheOfferte[[#This Row],[Descrizione]]</f>
        <v>#VALUE!</v>
      </c>
      <c r="G713" t="e">
        <f>RigheOfferte[[#This Row],[Q.ta'']]</f>
        <v>#VALUE!</v>
      </c>
      <c r="H713" t="e">
        <f>RigheOfferte[[#This Row],[Lavorazione]]</f>
        <v>#VALUE!</v>
      </c>
      <c r="I713" t="e">
        <f>RigheOfferte[[#This Row],[Colore]]</f>
        <v>#VALUE!</v>
      </c>
      <c r="J713" t="e">
        <f>RigheOfferte[[#This Row],[Velocità]]</f>
        <v>#VALUE!</v>
      </c>
      <c r="K713" t="e">
        <f>RigheOfferte[[#This Row],[Superf.pz Mq]]</f>
        <v>#VALUE!</v>
      </c>
      <c r="L713" t="e">
        <f>RigheOfferte[[#This Row],[passo]]</f>
        <v>#VALUE!</v>
      </c>
      <c r="M713" t="e">
        <f>RigheOfferte[[#This Row],[nr.pezzi Telaio]]</f>
        <v>#VALUE!</v>
      </c>
      <c r="N713" t="e">
        <f>RigheOfferte[[#This Row],[nr.pezzi ora-unita]]</f>
        <v>#VALUE!</v>
      </c>
      <c r="O713" t="e">
        <f>Tabella1[[#This Row],[superificie]]*Resa</f>
        <v>#VALUE!</v>
      </c>
      <c r="P713" t="e">
        <f>Tabella1[[#This Row],[KgPezzo]]*Tabella1[[#This Row],[q.ta offerta]]</f>
        <v>#VALUE!</v>
      </c>
      <c r="Q713" t="e">
        <f>RigheOfferte[[#This Row],[QtaProtez]]</f>
        <v>#VALUE!</v>
      </c>
      <c r="R713" t="e">
        <f>RigheOfferte[[#This Row],[Tipo Protezione]]</f>
        <v>#VALUE!</v>
      </c>
    </row>
    <row r="714" spans="1:18">
      <c r="A714" t="e">
        <f>RigheOfferte[[#This Row],[Nprev]]</f>
        <v>#VALUE!</v>
      </c>
      <c r="B714" t="e">
        <f>RigheOfferte[[#This Row],[Nriga]]</f>
        <v>#VALUE!</v>
      </c>
      <c r="C714" t="e">
        <f>RigheOfferte[[#This Row],[Cliente]]</f>
        <v>#VALUE!</v>
      </c>
      <c r="D714" t="e">
        <f>RigheOfferte[[#This Row],[sub_cliente]]</f>
        <v>#VALUE!</v>
      </c>
      <c r="E714" t="e">
        <f>RigheOfferte[[#This Row],[cod.Art.]]</f>
        <v>#VALUE!</v>
      </c>
      <c r="F714" t="e">
        <f>RigheOfferte[[#This Row],[Descrizione]]</f>
        <v>#VALUE!</v>
      </c>
      <c r="G714" t="e">
        <f>RigheOfferte[[#This Row],[Q.ta'']]</f>
        <v>#VALUE!</v>
      </c>
      <c r="H714" t="e">
        <f>RigheOfferte[[#This Row],[Lavorazione]]</f>
        <v>#VALUE!</v>
      </c>
      <c r="I714" t="e">
        <f>RigheOfferte[[#This Row],[Colore]]</f>
        <v>#VALUE!</v>
      </c>
      <c r="J714" t="e">
        <f>RigheOfferte[[#This Row],[Velocità]]</f>
        <v>#VALUE!</v>
      </c>
      <c r="K714" t="e">
        <f>RigheOfferte[[#This Row],[Superf.pz Mq]]</f>
        <v>#VALUE!</v>
      </c>
      <c r="L714" t="e">
        <f>RigheOfferte[[#This Row],[passo]]</f>
        <v>#VALUE!</v>
      </c>
      <c r="M714" t="e">
        <f>RigheOfferte[[#This Row],[nr.pezzi Telaio]]</f>
        <v>#VALUE!</v>
      </c>
      <c r="N714" t="e">
        <f>RigheOfferte[[#This Row],[nr.pezzi ora-unita]]</f>
        <v>#VALUE!</v>
      </c>
      <c r="O714" t="e">
        <f>Tabella1[[#This Row],[superificie]]*Resa</f>
        <v>#VALUE!</v>
      </c>
      <c r="P714" t="e">
        <f>Tabella1[[#This Row],[KgPezzo]]*Tabella1[[#This Row],[q.ta offerta]]</f>
        <v>#VALUE!</v>
      </c>
      <c r="Q714" t="e">
        <f>RigheOfferte[[#This Row],[QtaProtez]]</f>
        <v>#VALUE!</v>
      </c>
      <c r="R714" t="e">
        <f>RigheOfferte[[#This Row],[Tipo Protezione]]</f>
        <v>#VALUE!</v>
      </c>
    </row>
    <row r="715" spans="1:18">
      <c r="A715" t="e">
        <f>RigheOfferte[[#This Row],[Nprev]]</f>
        <v>#VALUE!</v>
      </c>
      <c r="B715" t="e">
        <f>RigheOfferte[[#This Row],[Nriga]]</f>
        <v>#VALUE!</v>
      </c>
      <c r="C715" t="e">
        <f>RigheOfferte[[#This Row],[Cliente]]</f>
        <v>#VALUE!</v>
      </c>
      <c r="D715" t="e">
        <f>RigheOfferte[[#This Row],[sub_cliente]]</f>
        <v>#VALUE!</v>
      </c>
      <c r="E715" t="e">
        <f>RigheOfferte[[#This Row],[cod.Art.]]</f>
        <v>#VALUE!</v>
      </c>
      <c r="F715" t="e">
        <f>RigheOfferte[[#This Row],[Descrizione]]</f>
        <v>#VALUE!</v>
      </c>
      <c r="G715" t="e">
        <f>RigheOfferte[[#This Row],[Q.ta'']]</f>
        <v>#VALUE!</v>
      </c>
      <c r="H715" t="e">
        <f>RigheOfferte[[#This Row],[Lavorazione]]</f>
        <v>#VALUE!</v>
      </c>
      <c r="I715" t="e">
        <f>RigheOfferte[[#This Row],[Colore]]</f>
        <v>#VALUE!</v>
      </c>
      <c r="J715" t="e">
        <f>RigheOfferte[[#This Row],[Velocità]]</f>
        <v>#VALUE!</v>
      </c>
      <c r="K715" t="e">
        <f>RigheOfferte[[#This Row],[Superf.pz Mq]]</f>
        <v>#VALUE!</v>
      </c>
      <c r="L715" t="e">
        <f>RigheOfferte[[#This Row],[passo]]</f>
        <v>#VALUE!</v>
      </c>
      <c r="M715" t="e">
        <f>RigheOfferte[[#This Row],[nr.pezzi Telaio]]</f>
        <v>#VALUE!</v>
      </c>
      <c r="N715" t="e">
        <f>RigheOfferte[[#This Row],[nr.pezzi ora-unita]]</f>
        <v>#VALUE!</v>
      </c>
      <c r="O715" t="e">
        <f>Tabella1[[#This Row],[superificie]]*Resa</f>
        <v>#VALUE!</v>
      </c>
      <c r="P715" t="e">
        <f>Tabella1[[#This Row],[KgPezzo]]*Tabella1[[#This Row],[q.ta offerta]]</f>
        <v>#VALUE!</v>
      </c>
      <c r="Q715" t="e">
        <f>RigheOfferte[[#This Row],[QtaProtez]]</f>
        <v>#VALUE!</v>
      </c>
      <c r="R715" t="e">
        <f>RigheOfferte[[#This Row],[Tipo Protezione]]</f>
        <v>#VALUE!</v>
      </c>
    </row>
    <row r="716" spans="1:18">
      <c r="A716" t="e">
        <f>RigheOfferte[[#This Row],[Nprev]]</f>
        <v>#VALUE!</v>
      </c>
      <c r="B716" t="e">
        <f>RigheOfferte[[#This Row],[Nriga]]</f>
        <v>#VALUE!</v>
      </c>
      <c r="C716" t="e">
        <f>RigheOfferte[[#This Row],[Cliente]]</f>
        <v>#VALUE!</v>
      </c>
      <c r="D716" t="e">
        <f>RigheOfferte[[#This Row],[sub_cliente]]</f>
        <v>#VALUE!</v>
      </c>
      <c r="E716" t="e">
        <f>RigheOfferte[[#This Row],[cod.Art.]]</f>
        <v>#VALUE!</v>
      </c>
      <c r="F716" t="e">
        <f>RigheOfferte[[#This Row],[Descrizione]]</f>
        <v>#VALUE!</v>
      </c>
      <c r="G716" t="e">
        <f>RigheOfferte[[#This Row],[Q.ta'']]</f>
        <v>#VALUE!</v>
      </c>
      <c r="H716" t="e">
        <f>RigheOfferte[[#This Row],[Lavorazione]]</f>
        <v>#VALUE!</v>
      </c>
      <c r="I716" t="e">
        <f>RigheOfferte[[#This Row],[Colore]]</f>
        <v>#VALUE!</v>
      </c>
      <c r="J716" t="e">
        <f>RigheOfferte[[#This Row],[Velocità]]</f>
        <v>#VALUE!</v>
      </c>
      <c r="K716" t="e">
        <f>RigheOfferte[[#This Row],[Superf.pz Mq]]</f>
        <v>#VALUE!</v>
      </c>
      <c r="L716" t="e">
        <f>RigheOfferte[[#This Row],[passo]]</f>
        <v>#VALUE!</v>
      </c>
      <c r="M716" t="e">
        <f>RigheOfferte[[#This Row],[nr.pezzi Telaio]]</f>
        <v>#VALUE!</v>
      </c>
      <c r="N716" t="e">
        <f>RigheOfferte[[#This Row],[nr.pezzi ora-unita]]</f>
        <v>#VALUE!</v>
      </c>
      <c r="O716" t="e">
        <f>Tabella1[[#This Row],[superificie]]*Resa</f>
        <v>#VALUE!</v>
      </c>
      <c r="P716" t="e">
        <f>Tabella1[[#This Row],[KgPezzo]]*Tabella1[[#This Row],[q.ta offerta]]</f>
        <v>#VALUE!</v>
      </c>
      <c r="Q716" t="e">
        <f>RigheOfferte[[#This Row],[QtaProtez]]</f>
        <v>#VALUE!</v>
      </c>
      <c r="R716" t="e">
        <f>RigheOfferte[[#This Row],[Tipo Protezione]]</f>
        <v>#VALUE!</v>
      </c>
    </row>
    <row r="717" spans="1:18">
      <c r="A717" t="e">
        <f>RigheOfferte[[#This Row],[Nprev]]</f>
        <v>#VALUE!</v>
      </c>
      <c r="B717" t="e">
        <f>RigheOfferte[[#This Row],[Nriga]]</f>
        <v>#VALUE!</v>
      </c>
      <c r="C717" t="e">
        <f>RigheOfferte[[#This Row],[Cliente]]</f>
        <v>#VALUE!</v>
      </c>
      <c r="D717" t="e">
        <f>RigheOfferte[[#This Row],[sub_cliente]]</f>
        <v>#VALUE!</v>
      </c>
      <c r="E717" t="e">
        <f>RigheOfferte[[#This Row],[cod.Art.]]</f>
        <v>#VALUE!</v>
      </c>
      <c r="F717" t="e">
        <f>RigheOfferte[[#This Row],[Descrizione]]</f>
        <v>#VALUE!</v>
      </c>
      <c r="G717" t="e">
        <f>RigheOfferte[[#This Row],[Q.ta'']]</f>
        <v>#VALUE!</v>
      </c>
      <c r="H717" t="e">
        <f>RigheOfferte[[#This Row],[Lavorazione]]</f>
        <v>#VALUE!</v>
      </c>
      <c r="I717" t="e">
        <f>RigheOfferte[[#This Row],[Colore]]</f>
        <v>#VALUE!</v>
      </c>
      <c r="J717" t="e">
        <f>RigheOfferte[[#This Row],[Velocità]]</f>
        <v>#VALUE!</v>
      </c>
      <c r="K717" t="e">
        <f>RigheOfferte[[#This Row],[Superf.pz Mq]]</f>
        <v>#VALUE!</v>
      </c>
      <c r="L717" t="e">
        <f>RigheOfferte[[#This Row],[passo]]</f>
        <v>#VALUE!</v>
      </c>
      <c r="M717" t="e">
        <f>RigheOfferte[[#This Row],[nr.pezzi Telaio]]</f>
        <v>#VALUE!</v>
      </c>
      <c r="N717" t="e">
        <f>RigheOfferte[[#This Row],[nr.pezzi ora-unita]]</f>
        <v>#VALUE!</v>
      </c>
      <c r="O717" t="e">
        <f>Tabella1[[#This Row],[superificie]]*Resa</f>
        <v>#VALUE!</v>
      </c>
      <c r="P717" t="e">
        <f>Tabella1[[#This Row],[KgPezzo]]*Tabella1[[#This Row],[q.ta offerta]]</f>
        <v>#VALUE!</v>
      </c>
      <c r="Q717" t="e">
        <f>RigheOfferte[[#This Row],[QtaProtez]]</f>
        <v>#VALUE!</v>
      </c>
      <c r="R717" t="e">
        <f>RigheOfferte[[#This Row],[Tipo Protezione]]</f>
        <v>#VALUE!</v>
      </c>
    </row>
    <row r="718" spans="1:18">
      <c r="A718" t="e">
        <f>RigheOfferte[[#This Row],[Nprev]]</f>
        <v>#VALUE!</v>
      </c>
      <c r="B718" t="e">
        <f>RigheOfferte[[#This Row],[Nriga]]</f>
        <v>#VALUE!</v>
      </c>
      <c r="C718" t="e">
        <f>RigheOfferte[[#This Row],[Cliente]]</f>
        <v>#VALUE!</v>
      </c>
      <c r="D718" t="e">
        <f>RigheOfferte[[#This Row],[sub_cliente]]</f>
        <v>#VALUE!</v>
      </c>
      <c r="E718" t="e">
        <f>RigheOfferte[[#This Row],[cod.Art.]]</f>
        <v>#VALUE!</v>
      </c>
      <c r="F718" t="e">
        <f>RigheOfferte[[#This Row],[Descrizione]]</f>
        <v>#VALUE!</v>
      </c>
      <c r="G718" t="e">
        <f>RigheOfferte[[#This Row],[Q.ta'']]</f>
        <v>#VALUE!</v>
      </c>
      <c r="H718" t="e">
        <f>RigheOfferte[[#This Row],[Lavorazione]]</f>
        <v>#VALUE!</v>
      </c>
      <c r="I718" t="e">
        <f>RigheOfferte[[#This Row],[Colore]]</f>
        <v>#VALUE!</v>
      </c>
      <c r="J718" t="e">
        <f>RigheOfferte[[#This Row],[Velocità]]</f>
        <v>#VALUE!</v>
      </c>
      <c r="K718" t="e">
        <f>RigheOfferte[[#This Row],[Superf.pz Mq]]</f>
        <v>#VALUE!</v>
      </c>
      <c r="L718" t="e">
        <f>RigheOfferte[[#This Row],[passo]]</f>
        <v>#VALUE!</v>
      </c>
      <c r="M718" t="e">
        <f>RigheOfferte[[#This Row],[nr.pezzi Telaio]]</f>
        <v>#VALUE!</v>
      </c>
      <c r="N718" t="e">
        <f>RigheOfferte[[#This Row],[nr.pezzi ora-unita]]</f>
        <v>#VALUE!</v>
      </c>
      <c r="O718" t="e">
        <f>Tabella1[[#This Row],[superificie]]*Resa</f>
        <v>#VALUE!</v>
      </c>
      <c r="P718" t="e">
        <f>Tabella1[[#This Row],[KgPezzo]]*Tabella1[[#This Row],[q.ta offerta]]</f>
        <v>#VALUE!</v>
      </c>
      <c r="Q718" t="e">
        <f>RigheOfferte[[#This Row],[QtaProtez]]</f>
        <v>#VALUE!</v>
      </c>
      <c r="R718" t="e">
        <f>RigheOfferte[[#This Row],[Tipo Protezione]]</f>
        <v>#VALUE!</v>
      </c>
    </row>
    <row r="719" spans="1:18">
      <c r="A719" t="e">
        <f>RigheOfferte[[#This Row],[Nprev]]</f>
        <v>#VALUE!</v>
      </c>
      <c r="B719" t="e">
        <f>RigheOfferte[[#This Row],[Nriga]]</f>
        <v>#VALUE!</v>
      </c>
      <c r="C719" t="e">
        <f>RigheOfferte[[#This Row],[Cliente]]</f>
        <v>#VALUE!</v>
      </c>
      <c r="D719" t="e">
        <f>RigheOfferte[[#This Row],[sub_cliente]]</f>
        <v>#VALUE!</v>
      </c>
      <c r="E719" t="e">
        <f>RigheOfferte[[#This Row],[cod.Art.]]</f>
        <v>#VALUE!</v>
      </c>
      <c r="F719" t="e">
        <f>RigheOfferte[[#This Row],[Descrizione]]</f>
        <v>#VALUE!</v>
      </c>
      <c r="G719" t="e">
        <f>RigheOfferte[[#This Row],[Q.ta'']]</f>
        <v>#VALUE!</v>
      </c>
      <c r="H719" t="e">
        <f>RigheOfferte[[#This Row],[Lavorazione]]</f>
        <v>#VALUE!</v>
      </c>
      <c r="I719" t="e">
        <f>RigheOfferte[[#This Row],[Colore]]</f>
        <v>#VALUE!</v>
      </c>
      <c r="J719" t="e">
        <f>RigheOfferte[[#This Row],[Velocità]]</f>
        <v>#VALUE!</v>
      </c>
      <c r="K719" t="e">
        <f>RigheOfferte[[#This Row],[Superf.pz Mq]]</f>
        <v>#VALUE!</v>
      </c>
      <c r="L719" t="e">
        <f>RigheOfferte[[#This Row],[passo]]</f>
        <v>#VALUE!</v>
      </c>
      <c r="M719" t="e">
        <f>RigheOfferte[[#This Row],[nr.pezzi Telaio]]</f>
        <v>#VALUE!</v>
      </c>
      <c r="N719" t="e">
        <f>RigheOfferte[[#This Row],[nr.pezzi ora-unita]]</f>
        <v>#VALUE!</v>
      </c>
      <c r="O719" t="e">
        <f>Tabella1[[#This Row],[superificie]]*Resa</f>
        <v>#VALUE!</v>
      </c>
      <c r="P719" t="e">
        <f>Tabella1[[#This Row],[KgPezzo]]*Tabella1[[#This Row],[q.ta offerta]]</f>
        <v>#VALUE!</v>
      </c>
      <c r="Q719" t="e">
        <f>RigheOfferte[[#This Row],[QtaProtez]]</f>
        <v>#VALUE!</v>
      </c>
      <c r="R719" t="e">
        <f>RigheOfferte[[#This Row],[Tipo Protezione]]</f>
        <v>#VALUE!</v>
      </c>
    </row>
    <row r="720" spans="1:18">
      <c r="A720" t="e">
        <f>RigheOfferte[[#This Row],[Nprev]]</f>
        <v>#VALUE!</v>
      </c>
      <c r="B720" t="e">
        <f>RigheOfferte[[#This Row],[Nriga]]</f>
        <v>#VALUE!</v>
      </c>
      <c r="C720" t="e">
        <f>RigheOfferte[[#This Row],[Cliente]]</f>
        <v>#VALUE!</v>
      </c>
      <c r="D720" t="e">
        <f>RigheOfferte[[#This Row],[sub_cliente]]</f>
        <v>#VALUE!</v>
      </c>
      <c r="E720" t="e">
        <f>RigheOfferte[[#This Row],[cod.Art.]]</f>
        <v>#VALUE!</v>
      </c>
      <c r="F720" t="e">
        <f>RigheOfferte[[#This Row],[Descrizione]]</f>
        <v>#VALUE!</v>
      </c>
      <c r="G720" t="e">
        <f>RigheOfferte[[#This Row],[Q.ta'']]</f>
        <v>#VALUE!</v>
      </c>
      <c r="H720" t="e">
        <f>RigheOfferte[[#This Row],[Lavorazione]]</f>
        <v>#VALUE!</v>
      </c>
      <c r="I720" t="e">
        <f>RigheOfferte[[#This Row],[Colore]]</f>
        <v>#VALUE!</v>
      </c>
      <c r="J720" t="e">
        <f>RigheOfferte[[#This Row],[Velocità]]</f>
        <v>#VALUE!</v>
      </c>
      <c r="K720" t="e">
        <f>RigheOfferte[[#This Row],[Superf.pz Mq]]</f>
        <v>#VALUE!</v>
      </c>
      <c r="L720" t="e">
        <f>RigheOfferte[[#This Row],[passo]]</f>
        <v>#VALUE!</v>
      </c>
      <c r="M720" t="e">
        <f>RigheOfferte[[#This Row],[nr.pezzi Telaio]]</f>
        <v>#VALUE!</v>
      </c>
      <c r="N720" t="e">
        <f>RigheOfferte[[#This Row],[nr.pezzi ora-unita]]</f>
        <v>#VALUE!</v>
      </c>
      <c r="O720" t="e">
        <f>Tabella1[[#This Row],[superificie]]*Resa</f>
        <v>#VALUE!</v>
      </c>
      <c r="P720" t="e">
        <f>Tabella1[[#This Row],[KgPezzo]]*Tabella1[[#This Row],[q.ta offerta]]</f>
        <v>#VALUE!</v>
      </c>
      <c r="Q720" t="e">
        <f>RigheOfferte[[#This Row],[QtaProtez]]</f>
        <v>#VALUE!</v>
      </c>
      <c r="R720" t="e">
        <f>RigheOfferte[[#This Row],[Tipo Protezione]]</f>
        <v>#VALUE!</v>
      </c>
    </row>
    <row r="721" spans="1:18">
      <c r="A721" t="e">
        <f>RigheOfferte[[#This Row],[Nprev]]</f>
        <v>#VALUE!</v>
      </c>
      <c r="B721" t="e">
        <f>RigheOfferte[[#This Row],[Nriga]]</f>
        <v>#VALUE!</v>
      </c>
      <c r="C721" t="e">
        <f>RigheOfferte[[#This Row],[Cliente]]</f>
        <v>#VALUE!</v>
      </c>
      <c r="D721" t="e">
        <f>RigheOfferte[[#This Row],[sub_cliente]]</f>
        <v>#VALUE!</v>
      </c>
      <c r="E721" t="e">
        <f>RigheOfferte[[#This Row],[cod.Art.]]</f>
        <v>#VALUE!</v>
      </c>
      <c r="F721" t="e">
        <f>RigheOfferte[[#This Row],[Descrizione]]</f>
        <v>#VALUE!</v>
      </c>
      <c r="G721" t="e">
        <f>RigheOfferte[[#This Row],[Q.ta'']]</f>
        <v>#VALUE!</v>
      </c>
      <c r="H721" t="e">
        <f>RigheOfferte[[#This Row],[Lavorazione]]</f>
        <v>#VALUE!</v>
      </c>
      <c r="I721" t="e">
        <f>RigheOfferte[[#This Row],[Colore]]</f>
        <v>#VALUE!</v>
      </c>
      <c r="J721" t="e">
        <f>RigheOfferte[[#This Row],[Velocità]]</f>
        <v>#VALUE!</v>
      </c>
      <c r="K721" t="e">
        <f>RigheOfferte[[#This Row],[Superf.pz Mq]]</f>
        <v>#VALUE!</v>
      </c>
      <c r="L721" t="e">
        <f>RigheOfferte[[#This Row],[passo]]</f>
        <v>#VALUE!</v>
      </c>
      <c r="M721" t="e">
        <f>RigheOfferte[[#This Row],[nr.pezzi Telaio]]</f>
        <v>#VALUE!</v>
      </c>
      <c r="N721" t="e">
        <f>RigheOfferte[[#This Row],[nr.pezzi ora-unita]]</f>
        <v>#VALUE!</v>
      </c>
      <c r="O721" t="e">
        <f>Tabella1[[#This Row],[superificie]]*Resa</f>
        <v>#VALUE!</v>
      </c>
      <c r="P721" t="e">
        <f>Tabella1[[#This Row],[KgPezzo]]*Tabella1[[#This Row],[q.ta offerta]]</f>
        <v>#VALUE!</v>
      </c>
      <c r="Q721" t="e">
        <f>RigheOfferte[[#This Row],[QtaProtez]]</f>
        <v>#VALUE!</v>
      </c>
      <c r="R721" t="e">
        <f>RigheOfferte[[#This Row],[Tipo Protezione]]</f>
        <v>#VALUE!</v>
      </c>
    </row>
    <row r="722" spans="1:18">
      <c r="A722" t="e">
        <f>RigheOfferte[[#This Row],[Nprev]]</f>
        <v>#VALUE!</v>
      </c>
      <c r="B722" t="e">
        <f>RigheOfferte[[#This Row],[Nriga]]</f>
        <v>#VALUE!</v>
      </c>
      <c r="C722" t="e">
        <f>RigheOfferte[[#This Row],[Cliente]]</f>
        <v>#VALUE!</v>
      </c>
      <c r="D722" t="e">
        <f>RigheOfferte[[#This Row],[sub_cliente]]</f>
        <v>#VALUE!</v>
      </c>
      <c r="E722" t="e">
        <f>RigheOfferte[[#This Row],[cod.Art.]]</f>
        <v>#VALUE!</v>
      </c>
      <c r="F722" t="e">
        <f>RigheOfferte[[#This Row],[Descrizione]]</f>
        <v>#VALUE!</v>
      </c>
      <c r="G722" t="e">
        <f>RigheOfferte[[#This Row],[Q.ta'']]</f>
        <v>#VALUE!</v>
      </c>
      <c r="H722" t="e">
        <f>RigheOfferte[[#This Row],[Lavorazione]]</f>
        <v>#VALUE!</v>
      </c>
      <c r="I722" t="e">
        <f>RigheOfferte[[#This Row],[Colore]]</f>
        <v>#VALUE!</v>
      </c>
      <c r="J722" t="e">
        <f>RigheOfferte[[#This Row],[Velocità]]</f>
        <v>#VALUE!</v>
      </c>
      <c r="K722" t="e">
        <f>RigheOfferte[[#This Row],[Superf.pz Mq]]</f>
        <v>#VALUE!</v>
      </c>
      <c r="L722" t="e">
        <f>RigheOfferte[[#This Row],[passo]]</f>
        <v>#VALUE!</v>
      </c>
      <c r="M722" t="e">
        <f>RigheOfferte[[#This Row],[nr.pezzi Telaio]]</f>
        <v>#VALUE!</v>
      </c>
      <c r="N722" t="e">
        <f>RigheOfferte[[#This Row],[nr.pezzi ora-unita]]</f>
        <v>#VALUE!</v>
      </c>
      <c r="O722" t="e">
        <f>Tabella1[[#This Row],[superificie]]*Resa</f>
        <v>#VALUE!</v>
      </c>
      <c r="P722" t="e">
        <f>Tabella1[[#This Row],[KgPezzo]]*Tabella1[[#This Row],[q.ta offerta]]</f>
        <v>#VALUE!</v>
      </c>
      <c r="Q722" t="e">
        <f>RigheOfferte[[#This Row],[QtaProtez]]</f>
        <v>#VALUE!</v>
      </c>
      <c r="R722" t="e">
        <f>RigheOfferte[[#This Row],[Tipo Protezione]]</f>
        <v>#VALUE!</v>
      </c>
    </row>
    <row r="723" spans="1:18">
      <c r="A723" t="e">
        <f>RigheOfferte[[#This Row],[Nprev]]</f>
        <v>#VALUE!</v>
      </c>
      <c r="B723" t="e">
        <f>RigheOfferte[[#This Row],[Nriga]]</f>
        <v>#VALUE!</v>
      </c>
      <c r="C723" t="e">
        <f>RigheOfferte[[#This Row],[Cliente]]</f>
        <v>#VALUE!</v>
      </c>
      <c r="D723" t="e">
        <f>RigheOfferte[[#This Row],[sub_cliente]]</f>
        <v>#VALUE!</v>
      </c>
      <c r="E723" t="e">
        <f>RigheOfferte[[#This Row],[cod.Art.]]</f>
        <v>#VALUE!</v>
      </c>
      <c r="F723" t="e">
        <f>RigheOfferte[[#This Row],[Descrizione]]</f>
        <v>#VALUE!</v>
      </c>
      <c r="G723" t="e">
        <f>RigheOfferte[[#This Row],[Q.ta'']]</f>
        <v>#VALUE!</v>
      </c>
      <c r="H723" t="e">
        <f>RigheOfferte[[#This Row],[Lavorazione]]</f>
        <v>#VALUE!</v>
      </c>
      <c r="I723" t="e">
        <f>RigheOfferte[[#This Row],[Colore]]</f>
        <v>#VALUE!</v>
      </c>
      <c r="J723" t="e">
        <f>RigheOfferte[[#This Row],[Velocità]]</f>
        <v>#VALUE!</v>
      </c>
      <c r="K723" t="e">
        <f>RigheOfferte[[#This Row],[Superf.pz Mq]]</f>
        <v>#VALUE!</v>
      </c>
      <c r="L723" t="e">
        <f>RigheOfferte[[#This Row],[passo]]</f>
        <v>#VALUE!</v>
      </c>
      <c r="M723" t="e">
        <f>RigheOfferte[[#This Row],[nr.pezzi Telaio]]</f>
        <v>#VALUE!</v>
      </c>
      <c r="N723" t="e">
        <f>RigheOfferte[[#This Row],[nr.pezzi ora-unita]]</f>
        <v>#VALUE!</v>
      </c>
      <c r="O723" t="e">
        <f>Tabella1[[#This Row],[superificie]]*Resa</f>
        <v>#VALUE!</v>
      </c>
      <c r="P723" t="e">
        <f>Tabella1[[#This Row],[KgPezzo]]*Tabella1[[#This Row],[q.ta offerta]]</f>
        <v>#VALUE!</v>
      </c>
      <c r="Q723" t="e">
        <f>RigheOfferte[[#This Row],[QtaProtez]]</f>
        <v>#VALUE!</v>
      </c>
      <c r="R723" t="e">
        <f>RigheOfferte[[#This Row],[Tipo Protezione]]</f>
        <v>#VALUE!</v>
      </c>
    </row>
    <row r="724" spans="1:18">
      <c r="A724" t="e">
        <f>RigheOfferte[[#This Row],[Nprev]]</f>
        <v>#VALUE!</v>
      </c>
      <c r="B724" t="e">
        <f>RigheOfferte[[#This Row],[Nriga]]</f>
        <v>#VALUE!</v>
      </c>
      <c r="C724" t="e">
        <f>RigheOfferte[[#This Row],[Cliente]]</f>
        <v>#VALUE!</v>
      </c>
      <c r="D724" t="e">
        <f>RigheOfferte[[#This Row],[sub_cliente]]</f>
        <v>#VALUE!</v>
      </c>
      <c r="E724" t="e">
        <f>RigheOfferte[[#This Row],[cod.Art.]]</f>
        <v>#VALUE!</v>
      </c>
      <c r="F724" t="e">
        <f>RigheOfferte[[#This Row],[Descrizione]]</f>
        <v>#VALUE!</v>
      </c>
      <c r="G724" t="e">
        <f>RigheOfferte[[#This Row],[Q.ta'']]</f>
        <v>#VALUE!</v>
      </c>
      <c r="H724" t="e">
        <f>RigheOfferte[[#This Row],[Lavorazione]]</f>
        <v>#VALUE!</v>
      </c>
      <c r="I724" t="e">
        <f>RigheOfferte[[#This Row],[Colore]]</f>
        <v>#VALUE!</v>
      </c>
      <c r="J724" t="e">
        <f>RigheOfferte[[#This Row],[Velocità]]</f>
        <v>#VALUE!</v>
      </c>
      <c r="K724" t="e">
        <f>RigheOfferte[[#This Row],[Superf.pz Mq]]</f>
        <v>#VALUE!</v>
      </c>
      <c r="L724" t="e">
        <f>RigheOfferte[[#This Row],[passo]]</f>
        <v>#VALUE!</v>
      </c>
      <c r="M724" t="e">
        <f>RigheOfferte[[#This Row],[nr.pezzi Telaio]]</f>
        <v>#VALUE!</v>
      </c>
      <c r="N724" t="e">
        <f>RigheOfferte[[#This Row],[nr.pezzi ora-unita]]</f>
        <v>#VALUE!</v>
      </c>
      <c r="O724" t="e">
        <f>Tabella1[[#This Row],[superificie]]*Resa</f>
        <v>#VALUE!</v>
      </c>
      <c r="P724" t="e">
        <f>Tabella1[[#This Row],[KgPezzo]]*Tabella1[[#This Row],[q.ta offerta]]</f>
        <v>#VALUE!</v>
      </c>
      <c r="Q724" t="e">
        <f>RigheOfferte[[#This Row],[QtaProtez]]</f>
        <v>#VALUE!</v>
      </c>
      <c r="R724" t="e">
        <f>RigheOfferte[[#This Row],[Tipo Protezione]]</f>
        <v>#VALUE!</v>
      </c>
    </row>
    <row r="725" spans="1:18">
      <c r="A725" t="e">
        <f>RigheOfferte[[#This Row],[Nprev]]</f>
        <v>#VALUE!</v>
      </c>
      <c r="B725" t="e">
        <f>RigheOfferte[[#This Row],[Nriga]]</f>
        <v>#VALUE!</v>
      </c>
      <c r="C725" t="e">
        <f>RigheOfferte[[#This Row],[Cliente]]</f>
        <v>#VALUE!</v>
      </c>
      <c r="D725" t="e">
        <f>RigheOfferte[[#This Row],[sub_cliente]]</f>
        <v>#VALUE!</v>
      </c>
      <c r="E725" t="e">
        <f>RigheOfferte[[#This Row],[cod.Art.]]</f>
        <v>#VALUE!</v>
      </c>
      <c r="F725" t="e">
        <f>RigheOfferte[[#This Row],[Descrizione]]</f>
        <v>#VALUE!</v>
      </c>
      <c r="G725" t="e">
        <f>RigheOfferte[[#This Row],[Q.ta'']]</f>
        <v>#VALUE!</v>
      </c>
      <c r="H725" t="e">
        <f>RigheOfferte[[#This Row],[Lavorazione]]</f>
        <v>#VALUE!</v>
      </c>
      <c r="I725" t="e">
        <f>RigheOfferte[[#This Row],[Colore]]</f>
        <v>#VALUE!</v>
      </c>
      <c r="J725" t="e">
        <f>RigheOfferte[[#This Row],[Velocità]]</f>
        <v>#VALUE!</v>
      </c>
      <c r="K725" t="e">
        <f>RigheOfferte[[#This Row],[Superf.pz Mq]]</f>
        <v>#VALUE!</v>
      </c>
      <c r="L725" t="e">
        <f>RigheOfferte[[#This Row],[passo]]</f>
        <v>#VALUE!</v>
      </c>
      <c r="M725" t="e">
        <f>RigheOfferte[[#This Row],[nr.pezzi Telaio]]</f>
        <v>#VALUE!</v>
      </c>
      <c r="N725" t="e">
        <f>RigheOfferte[[#This Row],[nr.pezzi ora-unita]]</f>
        <v>#VALUE!</v>
      </c>
      <c r="O725" t="e">
        <f>Tabella1[[#This Row],[superificie]]*Resa</f>
        <v>#VALUE!</v>
      </c>
      <c r="P725" t="e">
        <f>Tabella1[[#This Row],[KgPezzo]]*Tabella1[[#This Row],[q.ta offerta]]</f>
        <v>#VALUE!</v>
      </c>
      <c r="Q725" t="e">
        <f>RigheOfferte[[#This Row],[QtaProtez]]</f>
        <v>#VALUE!</v>
      </c>
      <c r="R725" t="e">
        <f>RigheOfferte[[#This Row],[Tipo Protezione]]</f>
        <v>#VALUE!</v>
      </c>
    </row>
    <row r="726" spans="1:18">
      <c r="A726" t="e">
        <f>RigheOfferte[[#This Row],[Nprev]]</f>
        <v>#VALUE!</v>
      </c>
      <c r="B726" t="e">
        <f>RigheOfferte[[#This Row],[Nriga]]</f>
        <v>#VALUE!</v>
      </c>
      <c r="C726" t="e">
        <f>RigheOfferte[[#This Row],[Cliente]]</f>
        <v>#VALUE!</v>
      </c>
      <c r="D726" t="e">
        <f>RigheOfferte[[#This Row],[sub_cliente]]</f>
        <v>#VALUE!</v>
      </c>
      <c r="E726" t="e">
        <f>RigheOfferte[[#This Row],[cod.Art.]]</f>
        <v>#VALUE!</v>
      </c>
      <c r="F726" t="e">
        <f>RigheOfferte[[#This Row],[Descrizione]]</f>
        <v>#VALUE!</v>
      </c>
      <c r="G726" t="e">
        <f>RigheOfferte[[#This Row],[Q.ta'']]</f>
        <v>#VALUE!</v>
      </c>
      <c r="H726" t="e">
        <f>RigheOfferte[[#This Row],[Lavorazione]]</f>
        <v>#VALUE!</v>
      </c>
      <c r="I726" t="e">
        <f>RigheOfferte[[#This Row],[Colore]]</f>
        <v>#VALUE!</v>
      </c>
      <c r="J726" t="e">
        <f>RigheOfferte[[#This Row],[Velocità]]</f>
        <v>#VALUE!</v>
      </c>
      <c r="K726" t="e">
        <f>RigheOfferte[[#This Row],[Superf.pz Mq]]</f>
        <v>#VALUE!</v>
      </c>
      <c r="L726" t="e">
        <f>RigheOfferte[[#This Row],[passo]]</f>
        <v>#VALUE!</v>
      </c>
      <c r="M726" t="e">
        <f>RigheOfferte[[#This Row],[nr.pezzi Telaio]]</f>
        <v>#VALUE!</v>
      </c>
      <c r="N726" t="e">
        <f>RigheOfferte[[#This Row],[nr.pezzi ora-unita]]</f>
        <v>#VALUE!</v>
      </c>
      <c r="O726" t="e">
        <f>Tabella1[[#This Row],[superificie]]*Resa</f>
        <v>#VALUE!</v>
      </c>
      <c r="P726" t="e">
        <f>Tabella1[[#This Row],[KgPezzo]]*Tabella1[[#This Row],[q.ta offerta]]</f>
        <v>#VALUE!</v>
      </c>
      <c r="Q726" t="e">
        <f>RigheOfferte[[#This Row],[QtaProtez]]</f>
        <v>#VALUE!</v>
      </c>
      <c r="R726" t="e">
        <f>RigheOfferte[[#This Row],[Tipo Protezione]]</f>
        <v>#VALUE!</v>
      </c>
    </row>
    <row r="727" spans="1:18">
      <c r="A727" t="e">
        <f>RigheOfferte[[#This Row],[Nprev]]</f>
        <v>#VALUE!</v>
      </c>
      <c r="B727" t="e">
        <f>RigheOfferte[[#This Row],[Nriga]]</f>
        <v>#VALUE!</v>
      </c>
      <c r="C727" t="e">
        <f>RigheOfferte[[#This Row],[Cliente]]</f>
        <v>#VALUE!</v>
      </c>
      <c r="D727" t="e">
        <f>RigheOfferte[[#This Row],[sub_cliente]]</f>
        <v>#VALUE!</v>
      </c>
      <c r="E727" t="e">
        <f>RigheOfferte[[#This Row],[cod.Art.]]</f>
        <v>#VALUE!</v>
      </c>
      <c r="F727" t="e">
        <f>RigheOfferte[[#This Row],[Descrizione]]</f>
        <v>#VALUE!</v>
      </c>
      <c r="G727" t="e">
        <f>RigheOfferte[[#This Row],[Q.ta'']]</f>
        <v>#VALUE!</v>
      </c>
      <c r="H727" t="e">
        <f>RigheOfferte[[#This Row],[Lavorazione]]</f>
        <v>#VALUE!</v>
      </c>
      <c r="I727" t="e">
        <f>RigheOfferte[[#This Row],[Colore]]</f>
        <v>#VALUE!</v>
      </c>
      <c r="J727" t="e">
        <f>RigheOfferte[[#This Row],[Velocità]]</f>
        <v>#VALUE!</v>
      </c>
      <c r="K727" t="e">
        <f>RigheOfferte[[#This Row],[Superf.pz Mq]]</f>
        <v>#VALUE!</v>
      </c>
      <c r="L727" t="e">
        <f>RigheOfferte[[#This Row],[passo]]</f>
        <v>#VALUE!</v>
      </c>
      <c r="M727" t="e">
        <f>RigheOfferte[[#This Row],[nr.pezzi Telaio]]</f>
        <v>#VALUE!</v>
      </c>
      <c r="N727" t="e">
        <f>RigheOfferte[[#This Row],[nr.pezzi ora-unita]]</f>
        <v>#VALUE!</v>
      </c>
      <c r="O727" t="e">
        <f>Tabella1[[#This Row],[superificie]]*Resa</f>
        <v>#VALUE!</v>
      </c>
      <c r="P727" t="e">
        <f>Tabella1[[#This Row],[KgPezzo]]*Tabella1[[#This Row],[q.ta offerta]]</f>
        <v>#VALUE!</v>
      </c>
      <c r="Q727" t="e">
        <f>RigheOfferte[[#This Row],[QtaProtez]]</f>
        <v>#VALUE!</v>
      </c>
      <c r="R727" t="e">
        <f>RigheOfferte[[#This Row],[Tipo Protezione]]</f>
        <v>#VALUE!</v>
      </c>
    </row>
    <row r="728" spans="1:18">
      <c r="A728" t="e">
        <f>RigheOfferte[[#This Row],[Nprev]]</f>
        <v>#VALUE!</v>
      </c>
      <c r="B728" t="e">
        <f>RigheOfferte[[#This Row],[Nriga]]</f>
        <v>#VALUE!</v>
      </c>
      <c r="C728" t="e">
        <f>RigheOfferte[[#This Row],[Cliente]]</f>
        <v>#VALUE!</v>
      </c>
      <c r="D728" t="e">
        <f>RigheOfferte[[#This Row],[sub_cliente]]</f>
        <v>#VALUE!</v>
      </c>
      <c r="E728" t="e">
        <f>RigheOfferte[[#This Row],[cod.Art.]]</f>
        <v>#VALUE!</v>
      </c>
      <c r="F728" t="e">
        <f>RigheOfferte[[#This Row],[Descrizione]]</f>
        <v>#VALUE!</v>
      </c>
      <c r="G728" t="e">
        <f>RigheOfferte[[#This Row],[Q.ta'']]</f>
        <v>#VALUE!</v>
      </c>
      <c r="H728" t="e">
        <f>RigheOfferte[[#This Row],[Lavorazione]]</f>
        <v>#VALUE!</v>
      </c>
      <c r="I728" t="e">
        <f>RigheOfferte[[#This Row],[Colore]]</f>
        <v>#VALUE!</v>
      </c>
      <c r="J728" t="e">
        <f>RigheOfferte[[#This Row],[Velocità]]</f>
        <v>#VALUE!</v>
      </c>
      <c r="K728" t="e">
        <f>RigheOfferte[[#This Row],[Superf.pz Mq]]</f>
        <v>#VALUE!</v>
      </c>
      <c r="L728" t="e">
        <f>RigheOfferte[[#This Row],[passo]]</f>
        <v>#VALUE!</v>
      </c>
      <c r="M728" t="e">
        <f>RigheOfferte[[#This Row],[nr.pezzi Telaio]]</f>
        <v>#VALUE!</v>
      </c>
      <c r="N728" t="e">
        <f>RigheOfferte[[#This Row],[nr.pezzi ora-unita]]</f>
        <v>#VALUE!</v>
      </c>
      <c r="O728" t="e">
        <f>Tabella1[[#This Row],[superificie]]*Resa</f>
        <v>#VALUE!</v>
      </c>
      <c r="P728" t="e">
        <f>Tabella1[[#This Row],[KgPezzo]]*Tabella1[[#This Row],[q.ta offerta]]</f>
        <v>#VALUE!</v>
      </c>
      <c r="Q728" t="e">
        <f>RigheOfferte[[#This Row],[QtaProtez]]</f>
        <v>#VALUE!</v>
      </c>
      <c r="R728" t="e">
        <f>RigheOfferte[[#This Row],[Tipo Protezione]]</f>
        <v>#VALUE!</v>
      </c>
    </row>
    <row r="729" spans="1:18">
      <c r="A729" t="e">
        <f>RigheOfferte[[#This Row],[Nprev]]</f>
        <v>#VALUE!</v>
      </c>
      <c r="B729" t="e">
        <f>RigheOfferte[[#This Row],[Nriga]]</f>
        <v>#VALUE!</v>
      </c>
      <c r="C729" t="e">
        <f>RigheOfferte[[#This Row],[Cliente]]</f>
        <v>#VALUE!</v>
      </c>
      <c r="D729" t="e">
        <f>RigheOfferte[[#This Row],[sub_cliente]]</f>
        <v>#VALUE!</v>
      </c>
      <c r="E729" t="e">
        <f>RigheOfferte[[#This Row],[cod.Art.]]</f>
        <v>#VALUE!</v>
      </c>
      <c r="F729" t="e">
        <f>RigheOfferte[[#This Row],[Descrizione]]</f>
        <v>#VALUE!</v>
      </c>
      <c r="G729" t="e">
        <f>RigheOfferte[[#This Row],[Q.ta'']]</f>
        <v>#VALUE!</v>
      </c>
      <c r="H729" t="e">
        <f>RigheOfferte[[#This Row],[Lavorazione]]</f>
        <v>#VALUE!</v>
      </c>
      <c r="I729" t="e">
        <f>RigheOfferte[[#This Row],[Colore]]</f>
        <v>#VALUE!</v>
      </c>
      <c r="J729" t="e">
        <f>RigheOfferte[[#This Row],[Velocità]]</f>
        <v>#VALUE!</v>
      </c>
      <c r="K729" t="e">
        <f>RigheOfferte[[#This Row],[Superf.pz Mq]]</f>
        <v>#VALUE!</v>
      </c>
      <c r="L729" t="e">
        <f>RigheOfferte[[#This Row],[passo]]</f>
        <v>#VALUE!</v>
      </c>
      <c r="M729" t="e">
        <f>RigheOfferte[[#This Row],[nr.pezzi Telaio]]</f>
        <v>#VALUE!</v>
      </c>
      <c r="N729" t="e">
        <f>RigheOfferte[[#This Row],[nr.pezzi ora-unita]]</f>
        <v>#VALUE!</v>
      </c>
      <c r="O729" t="e">
        <f>Tabella1[[#This Row],[superificie]]*Resa</f>
        <v>#VALUE!</v>
      </c>
      <c r="P729" t="e">
        <f>Tabella1[[#This Row],[KgPezzo]]*Tabella1[[#This Row],[q.ta offerta]]</f>
        <v>#VALUE!</v>
      </c>
      <c r="Q729" t="e">
        <f>RigheOfferte[[#This Row],[QtaProtez]]</f>
        <v>#VALUE!</v>
      </c>
      <c r="R729" t="e">
        <f>RigheOfferte[[#This Row],[Tipo Protezione]]</f>
        <v>#VALUE!</v>
      </c>
    </row>
    <row r="730" spans="1:18">
      <c r="A730" t="e">
        <f>RigheOfferte[[#This Row],[Nprev]]</f>
        <v>#VALUE!</v>
      </c>
      <c r="B730" t="e">
        <f>RigheOfferte[[#This Row],[Nriga]]</f>
        <v>#VALUE!</v>
      </c>
      <c r="C730" t="e">
        <f>RigheOfferte[[#This Row],[Cliente]]</f>
        <v>#VALUE!</v>
      </c>
      <c r="D730" t="e">
        <f>RigheOfferte[[#This Row],[sub_cliente]]</f>
        <v>#VALUE!</v>
      </c>
      <c r="E730" t="e">
        <f>RigheOfferte[[#This Row],[cod.Art.]]</f>
        <v>#VALUE!</v>
      </c>
      <c r="F730" t="e">
        <f>RigheOfferte[[#This Row],[Descrizione]]</f>
        <v>#VALUE!</v>
      </c>
      <c r="G730" t="e">
        <f>RigheOfferte[[#This Row],[Q.ta'']]</f>
        <v>#VALUE!</v>
      </c>
      <c r="H730" t="e">
        <f>RigheOfferte[[#This Row],[Lavorazione]]</f>
        <v>#VALUE!</v>
      </c>
      <c r="I730" t="e">
        <f>RigheOfferte[[#This Row],[Colore]]</f>
        <v>#VALUE!</v>
      </c>
      <c r="J730" t="e">
        <f>RigheOfferte[[#This Row],[Velocità]]</f>
        <v>#VALUE!</v>
      </c>
      <c r="K730" t="e">
        <f>RigheOfferte[[#This Row],[Superf.pz Mq]]</f>
        <v>#VALUE!</v>
      </c>
      <c r="L730" t="e">
        <f>RigheOfferte[[#This Row],[passo]]</f>
        <v>#VALUE!</v>
      </c>
      <c r="M730" t="e">
        <f>RigheOfferte[[#This Row],[nr.pezzi Telaio]]</f>
        <v>#VALUE!</v>
      </c>
      <c r="N730" t="e">
        <f>RigheOfferte[[#This Row],[nr.pezzi ora-unita]]</f>
        <v>#VALUE!</v>
      </c>
      <c r="O730" t="e">
        <f>Tabella1[[#This Row],[superificie]]*Resa</f>
        <v>#VALUE!</v>
      </c>
      <c r="P730" t="e">
        <f>Tabella1[[#This Row],[KgPezzo]]*Tabella1[[#This Row],[q.ta offerta]]</f>
        <v>#VALUE!</v>
      </c>
      <c r="Q730" t="e">
        <f>RigheOfferte[[#This Row],[QtaProtez]]</f>
        <v>#VALUE!</v>
      </c>
      <c r="R730" t="e">
        <f>RigheOfferte[[#This Row],[Tipo Protezione]]</f>
        <v>#VALUE!</v>
      </c>
    </row>
    <row r="731" spans="1:18">
      <c r="A731" t="e">
        <f>RigheOfferte[[#This Row],[Nprev]]</f>
        <v>#VALUE!</v>
      </c>
      <c r="B731" t="e">
        <f>RigheOfferte[[#This Row],[Nriga]]</f>
        <v>#VALUE!</v>
      </c>
      <c r="C731" t="e">
        <f>RigheOfferte[[#This Row],[Cliente]]</f>
        <v>#VALUE!</v>
      </c>
      <c r="D731" t="e">
        <f>RigheOfferte[[#This Row],[sub_cliente]]</f>
        <v>#VALUE!</v>
      </c>
      <c r="E731" t="e">
        <f>RigheOfferte[[#This Row],[cod.Art.]]</f>
        <v>#VALUE!</v>
      </c>
      <c r="F731" t="e">
        <f>RigheOfferte[[#This Row],[Descrizione]]</f>
        <v>#VALUE!</v>
      </c>
      <c r="G731" t="e">
        <f>RigheOfferte[[#This Row],[Q.ta'']]</f>
        <v>#VALUE!</v>
      </c>
      <c r="H731" t="e">
        <f>RigheOfferte[[#This Row],[Lavorazione]]</f>
        <v>#VALUE!</v>
      </c>
      <c r="I731" t="e">
        <f>RigheOfferte[[#This Row],[Colore]]</f>
        <v>#VALUE!</v>
      </c>
      <c r="J731" t="e">
        <f>RigheOfferte[[#This Row],[Velocità]]</f>
        <v>#VALUE!</v>
      </c>
      <c r="K731" t="e">
        <f>RigheOfferte[[#This Row],[Superf.pz Mq]]</f>
        <v>#VALUE!</v>
      </c>
      <c r="L731" t="e">
        <f>RigheOfferte[[#This Row],[passo]]</f>
        <v>#VALUE!</v>
      </c>
      <c r="M731" t="e">
        <f>RigheOfferte[[#This Row],[nr.pezzi Telaio]]</f>
        <v>#VALUE!</v>
      </c>
      <c r="N731" t="e">
        <f>RigheOfferte[[#This Row],[nr.pezzi ora-unita]]</f>
        <v>#VALUE!</v>
      </c>
      <c r="O731" t="e">
        <f>Tabella1[[#This Row],[superificie]]*Resa</f>
        <v>#VALUE!</v>
      </c>
      <c r="P731" t="e">
        <f>Tabella1[[#This Row],[KgPezzo]]*Tabella1[[#This Row],[q.ta offerta]]</f>
        <v>#VALUE!</v>
      </c>
      <c r="Q731" t="e">
        <f>RigheOfferte[[#This Row],[QtaProtez]]</f>
        <v>#VALUE!</v>
      </c>
      <c r="R731" t="e">
        <f>RigheOfferte[[#This Row],[Tipo Protezione]]</f>
        <v>#VALUE!</v>
      </c>
    </row>
    <row r="732" spans="1:18">
      <c r="A732" t="e">
        <f>RigheOfferte[[#This Row],[Nprev]]</f>
        <v>#VALUE!</v>
      </c>
      <c r="B732" t="e">
        <f>RigheOfferte[[#This Row],[Nriga]]</f>
        <v>#VALUE!</v>
      </c>
      <c r="C732" t="e">
        <f>RigheOfferte[[#This Row],[Cliente]]</f>
        <v>#VALUE!</v>
      </c>
      <c r="D732" t="e">
        <f>RigheOfferte[[#This Row],[sub_cliente]]</f>
        <v>#VALUE!</v>
      </c>
      <c r="E732" t="e">
        <f>RigheOfferte[[#This Row],[cod.Art.]]</f>
        <v>#VALUE!</v>
      </c>
      <c r="F732" t="e">
        <f>RigheOfferte[[#This Row],[Descrizione]]</f>
        <v>#VALUE!</v>
      </c>
      <c r="G732" t="e">
        <f>RigheOfferte[[#This Row],[Q.ta'']]</f>
        <v>#VALUE!</v>
      </c>
      <c r="H732" t="e">
        <f>RigheOfferte[[#This Row],[Lavorazione]]</f>
        <v>#VALUE!</v>
      </c>
      <c r="I732" t="e">
        <f>RigheOfferte[[#This Row],[Colore]]</f>
        <v>#VALUE!</v>
      </c>
      <c r="J732" t="e">
        <f>RigheOfferte[[#This Row],[Velocità]]</f>
        <v>#VALUE!</v>
      </c>
      <c r="K732" t="e">
        <f>RigheOfferte[[#This Row],[Superf.pz Mq]]</f>
        <v>#VALUE!</v>
      </c>
      <c r="L732" t="e">
        <f>RigheOfferte[[#This Row],[passo]]</f>
        <v>#VALUE!</v>
      </c>
      <c r="M732" t="e">
        <f>RigheOfferte[[#This Row],[nr.pezzi Telaio]]</f>
        <v>#VALUE!</v>
      </c>
      <c r="N732" t="e">
        <f>RigheOfferte[[#This Row],[nr.pezzi ora-unita]]</f>
        <v>#VALUE!</v>
      </c>
      <c r="O732" t="e">
        <f>Tabella1[[#This Row],[superificie]]*Resa</f>
        <v>#VALUE!</v>
      </c>
      <c r="P732" t="e">
        <f>Tabella1[[#This Row],[KgPezzo]]*Tabella1[[#This Row],[q.ta offerta]]</f>
        <v>#VALUE!</v>
      </c>
      <c r="Q732" t="e">
        <f>RigheOfferte[[#This Row],[QtaProtez]]</f>
        <v>#VALUE!</v>
      </c>
      <c r="R732" t="e">
        <f>RigheOfferte[[#This Row],[Tipo Protezione]]</f>
        <v>#VALUE!</v>
      </c>
    </row>
    <row r="733" spans="1:18">
      <c r="A733" t="e">
        <f>RigheOfferte[[#This Row],[Nprev]]</f>
        <v>#VALUE!</v>
      </c>
      <c r="B733" t="e">
        <f>RigheOfferte[[#This Row],[Nriga]]</f>
        <v>#VALUE!</v>
      </c>
      <c r="C733" t="e">
        <f>RigheOfferte[[#This Row],[Cliente]]</f>
        <v>#VALUE!</v>
      </c>
      <c r="D733" t="e">
        <f>RigheOfferte[[#This Row],[sub_cliente]]</f>
        <v>#VALUE!</v>
      </c>
      <c r="E733" t="e">
        <f>RigheOfferte[[#This Row],[cod.Art.]]</f>
        <v>#VALUE!</v>
      </c>
      <c r="F733" t="e">
        <f>RigheOfferte[[#This Row],[Descrizione]]</f>
        <v>#VALUE!</v>
      </c>
      <c r="G733" t="e">
        <f>RigheOfferte[[#This Row],[Q.ta'']]</f>
        <v>#VALUE!</v>
      </c>
      <c r="H733" t="e">
        <f>RigheOfferte[[#This Row],[Lavorazione]]</f>
        <v>#VALUE!</v>
      </c>
      <c r="I733" t="e">
        <f>RigheOfferte[[#This Row],[Colore]]</f>
        <v>#VALUE!</v>
      </c>
      <c r="J733" t="e">
        <f>RigheOfferte[[#This Row],[Velocità]]</f>
        <v>#VALUE!</v>
      </c>
      <c r="K733" t="e">
        <f>RigheOfferte[[#This Row],[Superf.pz Mq]]</f>
        <v>#VALUE!</v>
      </c>
      <c r="L733" t="e">
        <f>RigheOfferte[[#This Row],[passo]]</f>
        <v>#VALUE!</v>
      </c>
      <c r="M733" t="e">
        <f>RigheOfferte[[#This Row],[nr.pezzi Telaio]]</f>
        <v>#VALUE!</v>
      </c>
      <c r="N733" t="e">
        <f>RigheOfferte[[#This Row],[nr.pezzi ora-unita]]</f>
        <v>#VALUE!</v>
      </c>
      <c r="O733" t="e">
        <f>Tabella1[[#This Row],[superificie]]*Resa</f>
        <v>#VALUE!</v>
      </c>
      <c r="P733" t="e">
        <f>Tabella1[[#This Row],[KgPezzo]]*Tabella1[[#This Row],[q.ta offerta]]</f>
        <v>#VALUE!</v>
      </c>
      <c r="Q733" t="e">
        <f>RigheOfferte[[#This Row],[QtaProtez]]</f>
        <v>#VALUE!</v>
      </c>
      <c r="R733" t="e">
        <f>RigheOfferte[[#This Row],[Tipo Protezione]]</f>
        <v>#VALUE!</v>
      </c>
    </row>
    <row r="734" spans="1:18">
      <c r="A734" t="e">
        <f>RigheOfferte[[#This Row],[Nprev]]</f>
        <v>#VALUE!</v>
      </c>
      <c r="B734" t="e">
        <f>RigheOfferte[[#This Row],[Nriga]]</f>
        <v>#VALUE!</v>
      </c>
      <c r="C734" t="e">
        <f>RigheOfferte[[#This Row],[Cliente]]</f>
        <v>#VALUE!</v>
      </c>
      <c r="D734" t="e">
        <f>RigheOfferte[[#This Row],[sub_cliente]]</f>
        <v>#VALUE!</v>
      </c>
      <c r="E734" t="e">
        <f>RigheOfferte[[#This Row],[cod.Art.]]</f>
        <v>#VALUE!</v>
      </c>
      <c r="F734" t="e">
        <f>RigheOfferte[[#This Row],[Descrizione]]</f>
        <v>#VALUE!</v>
      </c>
      <c r="G734" t="e">
        <f>RigheOfferte[[#This Row],[Q.ta'']]</f>
        <v>#VALUE!</v>
      </c>
      <c r="H734" t="e">
        <f>RigheOfferte[[#This Row],[Lavorazione]]</f>
        <v>#VALUE!</v>
      </c>
      <c r="I734" t="e">
        <f>RigheOfferte[[#This Row],[Colore]]</f>
        <v>#VALUE!</v>
      </c>
      <c r="J734" t="e">
        <f>RigheOfferte[[#This Row],[Velocità]]</f>
        <v>#VALUE!</v>
      </c>
      <c r="K734" t="e">
        <f>RigheOfferte[[#This Row],[Superf.pz Mq]]</f>
        <v>#VALUE!</v>
      </c>
      <c r="L734" t="e">
        <f>RigheOfferte[[#This Row],[passo]]</f>
        <v>#VALUE!</v>
      </c>
      <c r="M734" t="e">
        <f>RigheOfferte[[#This Row],[nr.pezzi Telaio]]</f>
        <v>#VALUE!</v>
      </c>
      <c r="N734" t="e">
        <f>RigheOfferte[[#This Row],[nr.pezzi ora-unita]]</f>
        <v>#VALUE!</v>
      </c>
      <c r="O734" t="e">
        <f>Tabella1[[#This Row],[superificie]]*Resa</f>
        <v>#VALUE!</v>
      </c>
      <c r="P734" t="e">
        <f>Tabella1[[#This Row],[KgPezzo]]*Tabella1[[#This Row],[q.ta offerta]]</f>
        <v>#VALUE!</v>
      </c>
      <c r="Q734" t="e">
        <f>RigheOfferte[[#This Row],[QtaProtez]]</f>
        <v>#VALUE!</v>
      </c>
      <c r="R734" t="e">
        <f>RigheOfferte[[#This Row],[Tipo Protezione]]</f>
        <v>#VALUE!</v>
      </c>
    </row>
    <row r="735" spans="1:18">
      <c r="A735" t="e">
        <f>RigheOfferte[[#This Row],[Nprev]]</f>
        <v>#VALUE!</v>
      </c>
      <c r="B735" t="e">
        <f>RigheOfferte[[#This Row],[Nriga]]</f>
        <v>#VALUE!</v>
      </c>
      <c r="C735" t="e">
        <f>RigheOfferte[[#This Row],[Cliente]]</f>
        <v>#VALUE!</v>
      </c>
      <c r="D735" t="e">
        <f>RigheOfferte[[#This Row],[sub_cliente]]</f>
        <v>#VALUE!</v>
      </c>
      <c r="E735" t="e">
        <f>RigheOfferte[[#This Row],[cod.Art.]]</f>
        <v>#VALUE!</v>
      </c>
      <c r="F735" t="e">
        <f>RigheOfferte[[#This Row],[Descrizione]]</f>
        <v>#VALUE!</v>
      </c>
      <c r="G735" t="e">
        <f>RigheOfferte[[#This Row],[Q.ta'']]</f>
        <v>#VALUE!</v>
      </c>
      <c r="H735" t="e">
        <f>RigheOfferte[[#This Row],[Lavorazione]]</f>
        <v>#VALUE!</v>
      </c>
      <c r="I735" t="e">
        <f>RigheOfferte[[#This Row],[Colore]]</f>
        <v>#VALUE!</v>
      </c>
      <c r="J735" t="e">
        <f>RigheOfferte[[#This Row],[Velocità]]</f>
        <v>#VALUE!</v>
      </c>
      <c r="K735" t="e">
        <f>RigheOfferte[[#This Row],[Superf.pz Mq]]</f>
        <v>#VALUE!</v>
      </c>
      <c r="L735" t="e">
        <f>RigheOfferte[[#This Row],[passo]]</f>
        <v>#VALUE!</v>
      </c>
      <c r="M735" t="e">
        <f>RigheOfferte[[#This Row],[nr.pezzi Telaio]]</f>
        <v>#VALUE!</v>
      </c>
      <c r="N735" t="e">
        <f>RigheOfferte[[#This Row],[nr.pezzi ora-unita]]</f>
        <v>#VALUE!</v>
      </c>
      <c r="O735" t="e">
        <f>Tabella1[[#This Row],[superificie]]*Resa</f>
        <v>#VALUE!</v>
      </c>
      <c r="P735" t="e">
        <f>Tabella1[[#This Row],[KgPezzo]]*Tabella1[[#This Row],[q.ta offerta]]</f>
        <v>#VALUE!</v>
      </c>
      <c r="Q735" t="e">
        <f>RigheOfferte[[#This Row],[QtaProtez]]</f>
        <v>#VALUE!</v>
      </c>
      <c r="R735" t="e">
        <f>RigheOfferte[[#This Row],[Tipo Protezione]]</f>
        <v>#VALUE!</v>
      </c>
    </row>
    <row r="736" spans="1:18">
      <c r="A736" t="e">
        <f>RigheOfferte[[#This Row],[Nprev]]</f>
        <v>#VALUE!</v>
      </c>
      <c r="B736" t="e">
        <f>RigheOfferte[[#This Row],[Nriga]]</f>
        <v>#VALUE!</v>
      </c>
      <c r="C736" t="e">
        <f>RigheOfferte[[#This Row],[Cliente]]</f>
        <v>#VALUE!</v>
      </c>
      <c r="D736" t="e">
        <f>RigheOfferte[[#This Row],[sub_cliente]]</f>
        <v>#VALUE!</v>
      </c>
      <c r="E736" t="e">
        <f>RigheOfferte[[#This Row],[cod.Art.]]</f>
        <v>#VALUE!</v>
      </c>
      <c r="F736" t="e">
        <f>RigheOfferte[[#This Row],[Descrizione]]</f>
        <v>#VALUE!</v>
      </c>
      <c r="G736" t="e">
        <f>RigheOfferte[[#This Row],[Q.ta'']]</f>
        <v>#VALUE!</v>
      </c>
      <c r="H736" t="e">
        <f>RigheOfferte[[#This Row],[Lavorazione]]</f>
        <v>#VALUE!</v>
      </c>
      <c r="I736" t="e">
        <f>RigheOfferte[[#This Row],[Colore]]</f>
        <v>#VALUE!</v>
      </c>
      <c r="J736" t="e">
        <f>RigheOfferte[[#This Row],[Velocità]]</f>
        <v>#VALUE!</v>
      </c>
      <c r="K736" t="e">
        <f>RigheOfferte[[#This Row],[Superf.pz Mq]]</f>
        <v>#VALUE!</v>
      </c>
      <c r="L736" t="e">
        <f>RigheOfferte[[#This Row],[passo]]</f>
        <v>#VALUE!</v>
      </c>
      <c r="M736" t="e">
        <f>RigheOfferte[[#This Row],[nr.pezzi Telaio]]</f>
        <v>#VALUE!</v>
      </c>
      <c r="N736" t="e">
        <f>RigheOfferte[[#This Row],[nr.pezzi ora-unita]]</f>
        <v>#VALUE!</v>
      </c>
      <c r="O736" t="e">
        <f>Tabella1[[#This Row],[superificie]]*Resa</f>
        <v>#VALUE!</v>
      </c>
      <c r="P736" t="e">
        <f>Tabella1[[#This Row],[KgPezzo]]*Tabella1[[#This Row],[q.ta offerta]]</f>
        <v>#VALUE!</v>
      </c>
      <c r="Q736" t="e">
        <f>RigheOfferte[[#This Row],[QtaProtez]]</f>
        <v>#VALUE!</v>
      </c>
      <c r="R736" t="e">
        <f>RigheOfferte[[#This Row],[Tipo Protezione]]</f>
        <v>#VALUE!</v>
      </c>
    </row>
    <row r="737" spans="1:18">
      <c r="A737" t="e">
        <f>RigheOfferte[[#This Row],[Nprev]]</f>
        <v>#VALUE!</v>
      </c>
      <c r="B737" t="e">
        <f>RigheOfferte[[#This Row],[Nriga]]</f>
        <v>#VALUE!</v>
      </c>
      <c r="C737" t="e">
        <f>RigheOfferte[[#This Row],[Cliente]]</f>
        <v>#VALUE!</v>
      </c>
      <c r="D737" t="e">
        <f>RigheOfferte[[#This Row],[sub_cliente]]</f>
        <v>#VALUE!</v>
      </c>
      <c r="E737" t="e">
        <f>RigheOfferte[[#This Row],[cod.Art.]]</f>
        <v>#VALUE!</v>
      </c>
      <c r="F737" t="e">
        <f>RigheOfferte[[#This Row],[Descrizione]]</f>
        <v>#VALUE!</v>
      </c>
      <c r="G737" t="e">
        <f>RigheOfferte[[#This Row],[Q.ta'']]</f>
        <v>#VALUE!</v>
      </c>
      <c r="H737" t="e">
        <f>RigheOfferte[[#This Row],[Lavorazione]]</f>
        <v>#VALUE!</v>
      </c>
      <c r="I737" t="e">
        <f>RigheOfferte[[#This Row],[Colore]]</f>
        <v>#VALUE!</v>
      </c>
      <c r="J737" t="e">
        <f>RigheOfferte[[#This Row],[Velocità]]</f>
        <v>#VALUE!</v>
      </c>
      <c r="K737" t="e">
        <f>RigheOfferte[[#This Row],[Superf.pz Mq]]</f>
        <v>#VALUE!</v>
      </c>
      <c r="L737" t="e">
        <f>RigheOfferte[[#This Row],[passo]]</f>
        <v>#VALUE!</v>
      </c>
      <c r="M737" t="e">
        <f>RigheOfferte[[#This Row],[nr.pezzi Telaio]]</f>
        <v>#VALUE!</v>
      </c>
      <c r="N737" t="e">
        <f>RigheOfferte[[#This Row],[nr.pezzi ora-unita]]</f>
        <v>#VALUE!</v>
      </c>
      <c r="O737" t="e">
        <f>Tabella1[[#This Row],[superificie]]*Resa</f>
        <v>#VALUE!</v>
      </c>
      <c r="P737" t="e">
        <f>Tabella1[[#This Row],[KgPezzo]]*Tabella1[[#This Row],[q.ta offerta]]</f>
        <v>#VALUE!</v>
      </c>
      <c r="Q737" t="e">
        <f>RigheOfferte[[#This Row],[QtaProtez]]</f>
        <v>#VALUE!</v>
      </c>
      <c r="R737" t="e">
        <f>RigheOfferte[[#This Row],[Tipo Protezione]]</f>
        <v>#VALUE!</v>
      </c>
    </row>
    <row r="738" spans="1:18">
      <c r="A738" t="e">
        <f>RigheOfferte[[#This Row],[Nprev]]</f>
        <v>#VALUE!</v>
      </c>
      <c r="B738" t="e">
        <f>RigheOfferte[[#This Row],[Nriga]]</f>
        <v>#VALUE!</v>
      </c>
      <c r="C738" t="e">
        <f>RigheOfferte[[#This Row],[Cliente]]</f>
        <v>#VALUE!</v>
      </c>
      <c r="D738" t="e">
        <f>RigheOfferte[[#This Row],[sub_cliente]]</f>
        <v>#VALUE!</v>
      </c>
      <c r="E738" t="e">
        <f>RigheOfferte[[#This Row],[cod.Art.]]</f>
        <v>#VALUE!</v>
      </c>
      <c r="F738" t="e">
        <f>RigheOfferte[[#This Row],[Descrizione]]</f>
        <v>#VALUE!</v>
      </c>
      <c r="G738" t="e">
        <f>RigheOfferte[[#This Row],[Q.ta'']]</f>
        <v>#VALUE!</v>
      </c>
      <c r="H738" t="e">
        <f>RigheOfferte[[#This Row],[Lavorazione]]</f>
        <v>#VALUE!</v>
      </c>
      <c r="I738" t="e">
        <f>RigheOfferte[[#This Row],[Colore]]</f>
        <v>#VALUE!</v>
      </c>
      <c r="J738" t="e">
        <f>RigheOfferte[[#This Row],[Velocità]]</f>
        <v>#VALUE!</v>
      </c>
      <c r="K738" t="e">
        <f>RigheOfferte[[#This Row],[Superf.pz Mq]]</f>
        <v>#VALUE!</v>
      </c>
      <c r="L738" t="e">
        <f>RigheOfferte[[#This Row],[passo]]</f>
        <v>#VALUE!</v>
      </c>
      <c r="M738" t="e">
        <f>RigheOfferte[[#This Row],[nr.pezzi Telaio]]</f>
        <v>#VALUE!</v>
      </c>
      <c r="N738" t="e">
        <f>RigheOfferte[[#This Row],[nr.pezzi ora-unita]]</f>
        <v>#VALUE!</v>
      </c>
      <c r="O738" t="e">
        <f>Tabella1[[#This Row],[superificie]]*Resa</f>
        <v>#VALUE!</v>
      </c>
      <c r="P738" t="e">
        <f>Tabella1[[#This Row],[KgPezzo]]*Tabella1[[#This Row],[q.ta offerta]]</f>
        <v>#VALUE!</v>
      </c>
      <c r="Q738" t="e">
        <f>RigheOfferte[[#This Row],[QtaProtez]]</f>
        <v>#VALUE!</v>
      </c>
      <c r="R738" t="e">
        <f>RigheOfferte[[#This Row],[Tipo Protezione]]</f>
        <v>#VALUE!</v>
      </c>
    </row>
    <row r="739" spans="1:18">
      <c r="A739" t="e">
        <f>RigheOfferte[[#This Row],[Nprev]]</f>
        <v>#VALUE!</v>
      </c>
      <c r="B739" t="e">
        <f>RigheOfferte[[#This Row],[Nriga]]</f>
        <v>#VALUE!</v>
      </c>
      <c r="C739" t="e">
        <f>RigheOfferte[[#This Row],[Cliente]]</f>
        <v>#VALUE!</v>
      </c>
      <c r="D739" t="e">
        <f>RigheOfferte[[#This Row],[sub_cliente]]</f>
        <v>#VALUE!</v>
      </c>
      <c r="E739" t="e">
        <f>RigheOfferte[[#This Row],[cod.Art.]]</f>
        <v>#VALUE!</v>
      </c>
      <c r="F739" t="e">
        <f>RigheOfferte[[#This Row],[Descrizione]]</f>
        <v>#VALUE!</v>
      </c>
      <c r="G739" t="e">
        <f>RigheOfferte[[#This Row],[Q.ta'']]</f>
        <v>#VALUE!</v>
      </c>
      <c r="H739" t="e">
        <f>RigheOfferte[[#This Row],[Lavorazione]]</f>
        <v>#VALUE!</v>
      </c>
      <c r="I739" t="e">
        <f>RigheOfferte[[#This Row],[Colore]]</f>
        <v>#VALUE!</v>
      </c>
      <c r="J739" t="e">
        <f>RigheOfferte[[#This Row],[Velocità]]</f>
        <v>#VALUE!</v>
      </c>
      <c r="K739" t="e">
        <f>RigheOfferte[[#This Row],[Superf.pz Mq]]</f>
        <v>#VALUE!</v>
      </c>
      <c r="L739" t="e">
        <f>RigheOfferte[[#This Row],[passo]]</f>
        <v>#VALUE!</v>
      </c>
      <c r="M739" t="e">
        <f>RigheOfferte[[#This Row],[nr.pezzi Telaio]]</f>
        <v>#VALUE!</v>
      </c>
      <c r="N739" t="e">
        <f>RigheOfferte[[#This Row],[nr.pezzi ora-unita]]</f>
        <v>#VALUE!</v>
      </c>
      <c r="O739" t="e">
        <f>Tabella1[[#This Row],[superificie]]*Resa</f>
        <v>#VALUE!</v>
      </c>
      <c r="P739" t="e">
        <f>Tabella1[[#This Row],[KgPezzo]]*Tabella1[[#This Row],[q.ta offerta]]</f>
        <v>#VALUE!</v>
      </c>
      <c r="Q739" t="e">
        <f>RigheOfferte[[#This Row],[QtaProtez]]</f>
        <v>#VALUE!</v>
      </c>
      <c r="R739" t="e">
        <f>RigheOfferte[[#This Row],[Tipo Protezione]]</f>
        <v>#VALUE!</v>
      </c>
    </row>
    <row r="740" spans="1:18">
      <c r="A740" t="e">
        <f>RigheOfferte[[#This Row],[Nprev]]</f>
        <v>#VALUE!</v>
      </c>
      <c r="B740" t="e">
        <f>RigheOfferte[[#This Row],[Nriga]]</f>
        <v>#VALUE!</v>
      </c>
      <c r="C740" t="e">
        <f>RigheOfferte[[#This Row],[Cliente]]</f>
        <v>#VALUE!</v>
      </c>
      <c r="D740" t="e">
        <f>RigheOfferte[[#This Row],[sub_cliente]]</f>
        <v>#VALUE!</v>
      </c>
      <c r="E740" t="e">
        <f>RigheOfferte[[#This Row],[cod.Art.]]</f>
        <v>#VALUE!</v>
      </c>
      <c r="F740" t="e">
        <f>RigheOfferte[[#This Row],[Descrizione]]</f>
        <v>#VALUE!</v>
      </c>
      <c r="G740" t="e">
        <f>RigheOfferte[[#This Row],[Q.ta'']]</f>
        <v>#VALUE!</v>
      </c>
      <c r="H740" t="e">
        <f>RigheOfferte[[#This Row],[Lavorazione]]</f>
        <v>#VALUE!</v>
      </c>
      <c r="I740" t="e">
        <f>RigheOfferte[[#This Row],[Colore]]</f>
        <v>#VALUE!</v>
      </c>
      <c r="J740" t="e">
        <f>RigheOfferte[[#This Row],[Velocità]]</f>
        <v>#VALUE!</v>
      </c>
      <c r="K740" t="e">
        <f>RigheOfferte[[#This Row],[Superf.pz Mq]]</f>
        <v>#VALUE!</v>
      </c>
      <c r="L740" t="e">
        <f>RigheOfferte[[#This Row],[passo]]</f>
        <v>#VALUE!</v>
      </c>
      <c r="M740" t="e">
        <f>RigheOfferte[[#This Row],[nr.pezzi Telaio]]</f>
        <v>#VALUE!</v>
      </c>
      <c r="N740" t="e">
        <f>RigheOfferte[[#This Row],[nr.pezzi ora-unita]]</f>
        <v>#VALUE!</v>
      </c>
      <c r="O740" t="e">
        <f>Tabella1[[#This Row],[superificie]]*Resa</f>
        <v>#VALUE!</v>
      </c>
      <c r="P740" t="e">
        <f>Tabella1[[#This Row],[KgPezzo]]*Tabella1[[#This Row],[q.ta offerta]]</f>
        <v>#VALUE!</v>
      </c>
      <c r="Q740" t="e">
        <f>RigheOfferte[[#This Row],[QtaProtez]]</f>
        <v>#VALUE!</v>
      </c>
      <c r="R740" t="e">
        <f>RigheOfferte[[#This Row],[Tipo Protezione]]</f>
        <v>#VALUE!</v>
      </c>
    </row>
    <row r="741" spans="1:18">
      <c r="A741" t="e">
        <f>RigheOfferte[[#This Row],[Nprev]]</f>
        <v>#VALUE!</v>
      </c>
      <c r="B741" t="e">
        <f>RigheOfferte[[#This Row],[Nriga]]</f>
        <v>#VALUE!</v>
      </c>
      <c r="C741" t="e">
        <f>RigheOfferte[[#This Row],[Cliente]]</f>
        <v>#VALUE!</v>
      </c>
      <c r="D741" t="e">
        <f>RigheOfferte[[#This Row],[sub_cliente]]</f>
        <v>#VALUE!</v>
      </c>
      <c r="E741" t="e">
        <f>RigheOfferte[[#This Row],[cod.Art.]]</f>
        <v>#VALUE!</v>
      </c>
      <c r="F741" t="e">
        <f>RigheOfferte[[#This Row],[Descrizione]]</f>
        <v>#VALUE!</v>
      </c>
      <c r="G741" t="e">
        <f>RigheOfferte[[#This Row],[Q.ta'']]</f>
        <v>#VALUE!</v>
      </c>
      <c r="H741" t="e">
        <f>RigheOfferte[[#This Row],[Lavorazione]]</f>
        <v>#VALUE!</v>
      </c>
      <c r="I741" t="e">
        <f>RigheOfferte[[#This Row],[Colore]]</f>
        <v>#VALUE!</v>
      </c>
      <c r="J741" t="e">
        <f>RigheOfferte[[#This Row],[Velocità]]</f>
        <v>#VALUE!</v>
      </c>
      <c r="K741" t="e">
        <f>RigheOfferte[[#This Row],[Superf.pz Mq]]</f>
        <v>#VALUE!</v>
      </c>
      <c r="L741" t="e">
        <f>RigheOfferte[[#This Row],[passo]]</f>
        <v>#VALUE!</v>
      </c>
      <c r="M741" t="e">
        <f>RigheOfferte[[#This Row],[nr.pezzi Telaio]]</f>
        <v>#VALUE!</v>
      </c>
      <c r="N741" t="e">
        <f>RigheOfferte[[#This Row],[nr.pezzi ora-unita]]</f>
        <v>#VALUE!</v>
      </c>
      <c r="O741" t="e">
        <f>Tabella1[[#This Row],[superificie]]*Resa</f>
        <v>#VALUE!</v>
      </c>
      <c r="P741" t="e">
        <f>Tabella1[[#This Row],[KgPezzo]]*Tabella1[[#This Row],[q.ta offerta]]</f>
        <v>#VALUE!</v>
      </c>
      <c r="Q741" t="e">
        <f>RigheOfferte[[#This Row],[QtaProtez]]</f>
        <v>#VALUE!</v>
      </c>
      <c r="R741" t="e">
        <f>RigheOfferte[[#This Row],[Tipo Protezione]]</f>
        <v>#VALUE!</v>
      </c>
    </row>
    <row r="742" spans="1:18">
      <c r="A742" t="e">
        <f>RigheOfferte[[#This Row],[Nprev]]</f>
        <v>#VALUE!</v>
      </c>
      <c r="B742" t="e">
        <f>RigheOfferte[[#This Row],[Nriga]]</f>
        <v>#VALUE!</v>
      </c>
      <c r="C742" t="e">
        <f>RigheOfferte[[#This Row],[Cliente]]</f>
        <v>#VALUE!</v>
      </c>
      <c r="D742" t="e">
        <f>RigheOfferte[[#This Row],[sub_cliente]]</f>
        <v>#VALUE!</v>
      </c>
      <c r="E742" t="e">
        <f>RigheOfferte[[#This Row],[cod.Art.]]</f>
        <v>#VALUE!</v>
      </c>
      <c r="F742" t="e">
        <f>RigheOfferte[[#This Row],[Descrizione]]</f>
        <v>#VALUE!</v>
      </c>
      <c r="G742" t="e">
        <f>RigheOfferte[[#This Row],[Q.ta'']]</f>
        <v>#VALUE!</v>
      </c>
      <c r="H742" t="e">
        <f>RigheOfferte[[#This Row],[Lavorazione]]</f>
        <v>#VALUE!</v>
      </c>
      <c r="I742" t="e">
        <f>RigheOfferte[[#This Row],[Colore]]</f>
        <v>#VALUE!</v>
      </c>
      <c r="J742" t="e">
        <f>RigheOfferte[[#This Row],[Velocità]]</f>
        <v>#VALUE!</v>
      </c>
      <c r="K742" t="e">
        <f>RigheOfferte[[#This Row],[Superf.pz Mq]]</f>
        <v>#VALUE!</v>
      </c>
      <c r="L742" t="e">
        <f>RigheOfferte[[#This Row],[passo]]</f>
        <v>#VALUE!</v>
      </c>
      <c r="M742" t="e">
        <f>RigheOfferte[[#This Row],[nr.pezzi Telaio]]</f>
        <v>#VALUE!</v>
      </c>
      <c r="N742" t="e">
        <f>RigheOfferte[[#This Row],[nr.pezzi ora-unita]]</f>
        <v>#VALUE!</v>
      </c>
      <c r="O742" t="e">
        <f>Tabella1[[#This Row],[superificie]]*Resa</f>
        <v>#VALUE!</v>
      </c>
      <c r="P742" t="e">
        <f>Tabella1[[#This Row],[KgPezzo]]*Tabella1[[#This Row],[q.ta offerta]]</f>
        <v>#VALUE!</v>
      </c>
      <c r="Q742" t="e">
        <f>RigheOfferte[[#This Row],[QtaProtez]]</f>
        <v>#VALUE!</v>
      </c>
      <c r="R742" t="e">
        <f>RigheOfferte[[#This Row],[Tipo Protezione]]</f>
        <v>#VALUE!</v>
      </c>
    </row>
    <row r="743" spans="1:18">
      <c r="A743" t="e">
        <f>RigheOfferte[[#This Row],[Nprev]]</f>
        <v>#VALUE!</v>
      </c>
      <c r="B743" t="e">
        <f>RigheOfferte[[#This Row],[Nriga]]</f>
        <v>#VALUE!</v>
      </c>
      <c r="C743" t="e">
        <f>RigheOfferte[[#This Row],[Cliente]]</f>
        <v>#VALUE!</v>
      </c>
      <c r="D743" t="e">
        <f>RigheOfferte[[#This Row],[sub_cliente]]</f>
        <v>#VALUE!</v>
      </c>
      <c r="E743" t="e">
        <f>RigheOfferte[[#This Row],[cod.Art.]]</f>
        <v>#VALUE!</v>
      </c>
      <c r="F743" t="e">
        <f>RigheOfferte[[#This Row],[Descrizione]]</f>
        <v>#VALUE!</v>
      </c>
      <c r="G743" t="e">
        <f>RigheOfferte[[#This Row],[Q.ta'']]</f>
        <v>#VALUE!</v>
      </c>
      <c r="H743" t="e">
        <f>RigheOfferte[[#This Row],[Lavorazione]]</f>
        <v>#VALUE!</v>
      </c>
      <c r="I743" t="e">
        <f>RigheOfferte[[#This Row],[Colore]]</f>
        <v>#VALUE!</v>
      </c>
      <c r="J743" t="e">
        <f>RigheOfferte[[#This Row],[Velocità]]</f>
        <v>#VALUE!</v>
      </c>
      <c r="K743" t="e">
        <f>RigheOfferte[[#This Row],[Superf.pz Mq]]</f>
        <v>#VALUE!</v>
      </c>
      <c r="L743" t="e">
        <f>RigheOfferte[[#This Row],[passo]]</f>
        <v>#VALUE!</v>
      </c>
      <c r="M743" t="e">
        <f>RigheOfferte[[#This Row],[nr.pezzi Telaio]]</f>
        <v>#VALUE!</v>
      </c>
      <c r="N743" t="e">
        <f>RigheOfferte[[#This Row],[nr.pezzi ora-unita]]</f>
        <v>#VALUE!</v>
      </c>
      <c r="O743" t="e">
        <f>Tabella1[[#This Row],[superificie]]*Resa</f>
        <v>#VALUE!</v>
      </c>
      <c r="P743" t="e">
        <f>Tabella1[[#This Row],[KgPezzo]]*Tabella1[[#This Row],[q.ta offerta]]</f>
        <v>#VALUE!</v>
      </c>
      <c r="Q743" t="e">
        <f>RigheOfferte[[#This Row],[QtaProtez]]</f>
        <v>#VALUE!</v>
      </c>
      <c r="R743" t="e">
        <f>RigheOfferte[[#This Row],[Tipo Protezione]]</f>
        <v>#VALUE!</v>
      </c>
    </row>
    <row r="744" spans="1:18">
      <c r="A744" t="e">
        <f>RigheOfferte[[#This Row],[Nprev]]</f>
        <v>#VALUE!</v>
      </c>
      <c r="B744" t="e">
        <f>RigheOfferte[[#This Row],[Nriga]]</f>
        <v>#VALUE!</v>
      </c>
      <c r="C744" t="e">
        <f>RigheOfferte[[#This Row],[Cliente]]</f>
        <v>#VALUE!</v>
      </c>
      <c r="D744" t="e">
        <f>RigheOfferte[[#This Row],[sub_cliente]]</f>
        <v>#VALUE!</v>
      </c>
      <c r="E744" t="e">
        <f>RigheOfferte[[#This Row],[cod.Art.]]</f>
        <v>#VALUE!</v>
      </c>
      <c r="F744" t="e">
        <f>RigheOfferte[[#This Row],[Descrizione]]</f>
        <v>#VALUE!</v>
      </c>
      <c r="G744" t="e">
        <f>RigheOfferte[[#This Row],[Q.ta'']]</f>
        <v>#VALUE!</v>
      </c>
      <c r="H744" t="e">
        <f>RigheOfferte[[#This Row],[Lavorazione]]</f>
        <v>#VALUE!</v>
      </c>
      <c r="I744" t="e">
        <f>RigheOfferte[[#This Row],[Colore]]</f>
        <v>#VALUE!</v>
      </c>
      <c r="J744" t="e">
        <f>RigheOfferte[[#This Row],[Velocità]]</f>
        <v>#VALUE!</v>
      </c>
      <c r="K744" t="e">
        <f>RigheOfferte[[#This Row],[Superf.pz Mq]]</f>
        <v>#VALUE!</v>
      </c>
      <c r="L744" t="e">
        <f>RigheOfferte[[#This Row],[passo]]</f>
        <v>#VALUE!</v>
      </c>
      <c r="M744" t="e">
        <f>RigheOfferte[[#This Row],[nr.pezzi Telaio]]</f>
        <v>#VALUE!</v>
      </c>
      <c r="N744" t="e">
        <f>RigheOfferte[[#This Row],[nr.pezzi ora-unita]]</f>
        <v>#VALUE!</v>
      </c>
      <c r="O744" t="e">
        <f>Tabella1[[#This Row],[superificie]]*Resa</f>
        <v>#VALUE!</v>
      </c>
      <c r="P744" t="e">
        <f>Tabella1[[#This Row],[KgPezzo]]*Tabella1[[#This Row],[q.ta offerta]]</f>
        <v>#VALUE!</v>
      </c>
      <c r="Q744" t="e">
        <f>RigheOfferte[[#This Row],[QtaProtez]]</f>
        <v>#VALUE!</v>
      </c>
      <c r="R744" t="e">
        <f>RigheOfferte[[#This Row],[Tipo Protezione]]</f>
        <v>#VALUE!</v>
      </c>
    </row>
    <row r="745" spans="1:18">
      <c r="A745" t="e">
        <f>RigheOfferte[[#This Row],[Nprev]]</f>
        <v>#VALUE!</v>
      </c>
      <c r="B745" t="e">
        <f>RigheOfferte[[#This Row],[Nriga]]</f>
        <v>#VALUE!</v>
      </c>
      <c r="C745" t="e">
        <f>RigheOfferte[[#This Row],[Cliente]]</f>
        <v>#VALUE!</v>
      </c>
      <c r="D745" t="e">
        <f>RigheOfferte[[#This Row],[sub_cliente]]</f>
        <v>#VALUE!</v>
      </c>
      <c r="E745" t="e">
        <f>RigheOfferte[[#This Row],[cod.Art.]]</f>
        <v>#VALUE!</v>
      </c>
      <c r="F745" t="e">
        <f>RigheOfferte[[#This Row],[Descrizione]]</f>
        <v>#VALUE!</v>
      </c>
      <c r="G745" t="e">
        <f>RigheOfferte[[#This Row],[Q.ta'']]</f>
        <v>#VALUE!</v>
      </c>
      <c r="H745" t="e">
        <f>RigheOfferte[[#This Row],[Lavorazione]]</f>
        <v>#VALUE!</v>
      </c>
      <c r="I745" t="e">
        <f>RigheOfferte[[#This Row],[Colore]]</f>
        <v>#VALUE!</v>
      </c>
      <c r="J745" t="e">
        <f>RigheOfferte[[#This Row],[Velocità]]</f>
        <v>#VALUE!</v>
      </c>
      <c r="K745" t="e">
        <f>RigheOfferte[[#This Row],[Superf.pz Mq]]</f>
        <v>#VALUE!</v>
      </c>
      <c r="L745" t="e">
        <f>RigheOfferte[[#This Row],[passo]]</f>
        <v>#VALUE!</v>
      </c>
      <c r="M745" t="e">
        <f>RigheOfferte[[#This Row],[nr.pezzi Telaio]]</f>
        <v>#VALUE!</v>
      </c>
      <c r="N745" t="e">
        <f>RigheOfferte[[#This Row],[nr.pezzi ora-unita]]</f>
        <v>#VALUE!</v>
      </c>
      <c r="O745" t="e">
        <f>Tabella1[[#This Row],[superificie]]*Resa</f>
        <v>#VALUE!</v>
      </c>
      <c r="P745" t="e">
        <f>Tabella1[[#This Row],[KgPezzo]]*Tabella1[[#This Row],[q.ta offerta]]</f>
        <v>#VALUE!</v>
      </c>
      <c r="Q745" t="e">
        <f>RigheOfferte[[#This Row],[QtaProtez]]</f>
        <v>#VALUE!</v>
      </c>
      <c r="R745" t="e">
        <f>RigheOfferte[[#This Row],[Tipo Protezione]]</f>
        <v>#VALUE!</v>
      </c>
    </row>
    <row r="746" spans="1:18">
      <c r="A746" t="e">
        <f>RigheOfferte[[#This Row],[Nprev]]</f>
        <v>#VALUE!</v>
      </c>
      <c r="B746" t="e">
        <f>RigheOfferte[[#This Row],[Nriga]]</f>
        <v>#VALUE!</v>
      </c>
      <c r="C746" t="e">
        <f>RigheOfferte[[#This Row],[Cliente]]</f>
        <v>#VALUE!</v>
      </c>
      <c r="D746" t="e">
        <f>RigheOfferte[[#This Row],[sub_cliente]]</f>
        <v>#VALUE!</v>
      </c>
      <c r="E746" t="e">
        <f>RigheOfferte[[#This Row],[cod.Art.]]</f>
        <v>#VALUE!</v>
      </c>
      <c r="F746" t="e">
        <f>RigheOfferte[[#This Row],[Descrizione]]</f>
        <v>#VALUE!</v>
      </c>
      <c r="G746" t="e">
        <f>RigheOfferte[[#This Row],[Q.ta'']]</f>
        <v>#VALUE!</v>
      </c>
      <c r="H746" t="e">
        <f>RigheOfferte[[#This Row],[Lavorazione]]</f>
        <v>#VALUE!</v>
      </c>
      <c r="I746" t="e">
        <f>RigheOfferte[[#This Row],[Colore]]</f>
        <v>#VALUE!</v>
      </c>
      <c r="J746" t="e">
        <f>RigheOfferte[[#This Row],[Velocità]]</f>
        <v>#VALUE!</v>
      </c>
      <c r="K746" t="e">
        <f>RigheOfferte[[#This Row],[Superf.pz Mq]]</f>
        <v>#VALUE!</v>
      </c>
      <c r="L746" t="e">
        <f>RigheOfferte[[#This Row],[passo]]</f>
        <v>#VALUE!</v>
      </c>
      <c r="M746" t="e">
        <f>RigheOfferte[[#This Row],[nr.pezzi Telaio]]</f>
        <v>#VALUE!</v>
      </c>
      <c r="N746" t="e">
        <f>RigheOfferte[[#This Row],[nr.pezzi ora-unita]]</f>
        <v>#VALUE!</v>
      </c>
      <c r="O746" t="e">
        <f>Tabella1[[#This Row],[superificie]]*Resa</f>
        <v>#VALUE!</v>
      </c>
      <c r="P746" t="e">
        <f>Tabella1[[#This Row],[KgPezzo]]*Tabella1[[#This Row],[q.ta offerta]]</f>
        <v>#VALUE!</v>
      </c>
      <c r="Q746" t="e">
        <f>RigheOfferte[[#This Row],[QtaProtez]]</f>
        <v>#VALUE!</v>
      </c>
      <c r="R746" t="e">
        <f>RigheOfferte[[#This Row],[Tipo Protezione]]</f>
        <v>#VALUE!</v>
      </c>
    </row>
    <row r="747" spans="1:18">
      <c r="A747" t="e">
        <f>RigheOfferte[[#This Row],[Nprev]]</f>
        <v>#VALUE!</v>
      </c>
      <c r="B747" t="e">
        <f>RigheOfferte[[#This Row],[Nriga]]</f>
        <v>#VALUE!</v>
      </c>
      <c r="C747" t="e">
        <f>RigheOfferte[[#This Row],[Cliente]]</f>
        <v>#VALUE!</v>
      </c>
      <c r="D747" t="e">
        <f>RigheOfferte[[#This Row],[sub_cliente]]</f>
        <v>#VALUE!</v>
      </c>
      <c r="E747" t="e">
        <f>RigheOfferte[[#This Row],[cod.Art.]]</f>
        <v>#VALUE!</v>
      </c>
      <c r="F747" t="e">
        <f>RigheOfferte[[#This Row],[Descrizione]]</f>
        <v>#VALUE!</v>
      </c>
      <c r="G747" t="e">
        <f>RigheOfferte[[#This Row],[Q.ta'']]</f>
        <v>#VALUE!</v>
      </c>
      <c r="H747" t="e">
        <f>RigheOfferte[[#This Row],[Lavorazione]]</f>
        <v>#VALUE!</v>
      </c>
      <c r="I747" t="e">
        <f>RigheOfferte[[#This Row],[Colore]]</f>
        <v>#VALUE!</v>
      </c>
      <c r="J747" t="e">
        <f>RigheOfferte[[#This Row],[Velocità]]</f>
        <v>#VALUE!</v>
      </c>
      <c r="K747" t="e">
        <f>RigheOfferte[[#This Row],[Superf.pz Mq]]</f>
        <v>#VALUE!</v>
      </c>
      <c r="L747" t="e">
        <f>RigheOfferte[[#This Row],[passo]]</f>
        <v>#VALUE!</v>
      </c>
      <c r="M747" t="e">
        <f>RigheOfferte[[#This Row],[nr.pezzi Telaio]]</f>
        <v>#VALUE!</v>
      </c>
      <c r="N747" t="e">
        <f>RigheOfferte[[#This Row],[nr.pezzi ora-unita]]</f>
        <v>#VALUE!</v>
      </c>
      <c r="O747" t="e">
        <f>Tabella1[[#This Row],[superificie]]*Resa</f>
        <v>#VALUE!</v>
      </c>
      <c r="P747" t="e">
        <f>Tabella1[[#This Row],[KgPezzo]]*Tabella1[[#This Row],[q.ta offerta]]</f>
        <v>#VALUE!</v>
      </c>
      <c r="Q747" t="e">
        <f>RigheOfferte[[#This Row],[QtaProtez]]</f>
        <v>#VALUE!</v>
      </c>
      <c r="R747" t="e">
        <f>RigheOfferte[[#This Row],[Tipo Protezione]]</f>
        <v>#VALUE!</v>
      </c>
    </row>
    <row r="748" spans="1:18">
      <c r="A748" t="e">
        <f>RigheOfferte[[#This Row],[Nprev]]</f>
        <v>#VALUE!</v>
      </c>
      <c r="B748" t="e">
        <f>RigheOfferte[[#This Row],[Nriga]]</f>
        <v>#VALUE!</v>
      </c>
      <c r="C748" t="e">
        <f>RigheOfferte[[#This Row],[Cliente]]</f>
        <v>#VALUE!</v>
      </c>
      <c r="D748" t="e">
        <f>RigheOfferte[[#This Row],[sub_cliente]]</f>
        <v>#VALUE!</v>
      </c>
      <c r="E748" t="e">
        <f>RigheOfferte[[#This Row],[cod.Art.]]</f>
        <v>#VALUE!</v>
      </c>
      <c r="F748" t="e">
        <f>RigheOfferte[[#This Row],[Descrizione]]</f>
        <v>#VALUE!</v>
      </c>
      <c r="G748" t="e">
        <f>RigheOfferte[[#This Row],[Q.ta'']]</f>
        <v>#VALUE!</v>
      </c>
      <c r="H748" t="e">
        <f>RigheOfferte[[#This Row],[Lavorazione]]</f>
        <v>#VALUE!</v>
      </c>
      <c r="I748" t="e">
        <f>RigheOfferte[[#This Row],[Colore]]</f>
        <v>#VALUE!</v>
      </c>
      <c r="J748" t="e">
        <f>RigheOfferte[[#This Row],[Velocità]]</f>
        <v>#VALUE!</v>
      </c>
      <c r="K748" t="e">
        <f>RigheOfferte[[#This Row],[Superf.pz Mq]]</f>
        <v>#VALUE!</v>
      </c>
      <c r="L748" t="e">
        <f>RigheOfferte[[#This Row],[passo]]</f>
        <v>#VALUE!</v>
      </c>
      <c r="M748" t="e">
        <f>RigheOfferte[[#This Row],[nr.pezzi Telaio]]</f>
        <v>#VALUE!</v>
      </c>
      <c r="N748" t="e">
        <f>RigheOfferte[[#This Row],[nr.pezzi ora-unita]]</f>
        <v>#VALUE!</v>
      </c>
      <c r="O748" t="e">
        <f>Tabella1[[#This Row],[superificie]]*Resa</f>
        <v>#VALUE!</v>
      </c>
      <c r="P748" t="e">
        <f>Tabella1[[#This Row],[KgPezzo]]*Tabella1[[#This Row],[q.ta offerta]]</f>
        <v>#VALUE!</v>
      </c>
      <c r="Q748" t="e">
        <f>RigheOfferte[[#This Row],[QtaProtez]]</f>
        <v>#VALUE!</v>
      </c>
      <c r="R748" t="e">
        <f>RigheOfferte[[#This Row],[Tipo Protezione]]</f>
        <v>#VALUE!</v>
      </c>
    </row>
    <row r="749" spans="1:18">
      <c r="A749" t="e">
        <f>RigheOfferte[[#This Row],[Nprev]]</f>
        <v>#VALUE!</v>
      </c>
      <c r="B749" t="e">
        <f>RigheOfferte[[#This Row],[Nriga]]</f>
        <v>#VALUE!</v>
      </c>
      <c r="C749" t="e">
        <f>RigheOfferte[[#This Row],[Cliente]]</f>
        <v>#VALUE!</v>
      </c>
      <c r="D749" t="e">
        <f>RigheOfferte[[#This Row],[sub_cliente]]</f>
        <v>#VALUE!</v>
      </c>
      <c r="E749" t="e">
        <f>RigheOfferte[[#This Row],[cod.Art.]]</f>
        <v>#VALUE!</v>
      </c>
      <c r="F749" t="e">
        <f>RigheOfferte[[#This Row],[Descrizione]]</f>
        <v>#VALUE!</v>
      </c>
      <c r="G749" t="e">
        <f>RigheOfferte[[#This Row],[Q.ta'']]</f>
        <v>#VALUE!</v>
      </c>
      <c r="H749" t="e">
        <f>RigheOfferte[[#This Row],[Lavorazione]]</f>
        <v>#VALUE!</v>
      </c>
      <c r="I749" t="e">
        <f>RigheOfferte[[#This Row],[Colore]]</f>
        <v>#VALUE!</v>
      </c>
      <c r="J749" t="e">
        <f>RigheOfferte[[#This Row],[Velocità]]</f>
        <v>#VALUE!</v>
      </c>
      <c r="K749" t="e">
        <f>RigheOfferte[[#This Row],[Superf.pz Mq]]</f>
        <v>#VALUE!</v>
      </c>
      <c r="L749" t="e">
        <f>RigheOfferte[[#This Row],[passo]]</f>
        <v>#VALUE!</v>
      </c>
      <c r="M749" t="e">
        <f>RigheOfferte[[#This Row],[nr.pezzi Telaio]]</f>
        <v>#VALUE!</v>
      </c>
      <c r="N749" t="e">
        <f>RigheOfferte[[#This Row],[nr.pezzi ora-unita]]</f>
        <v>#VALUE!</v>
      </c>
      <c r="O749" t="e">
        <f>Tabella1[[#This Row],[superificie]]*Resa</f>
        <v>#VALUE!</v>
      </c>
      <c r="P749" t="e">
        <f>Tabella1[[#This Row],[KgPezzo]]*Tabella1[[#This Row],[q.ta offerta]]</f>
        <v>#VALUE!</v>
      </c>
      <c r="Q749" t="e">
        <f>RigheOfferte[[#This Row],[QtaProtez]]</f>
        <v>#VALUE!</v>
      </c>
      <c r="R749" t="e">
        <f>RigheOfferte[[#This Row],[Tipo Protezione]]</f>
        <v>#VALUE!</v>
      </c>
    </row>
    <row r="750" spans="1:18">
      <c r="A750" t="e">
        <f>RigheOfferte[[#This Row],[Nprev]]</f>
        <v>#VALUE!</v>
      </c>
      <c r="B750" t="e">
        <f>RigheOfferte[[#This Row],[Nriga]]</f>
        <v>#VALUE!</v>
      </c>
      <c r="C750" t="e">
        <f>RigheOfferte[[#This Row],[Cliente]]</f>
        <v>#VALUE!</v>
      </c>
      <c r="D750" t="e">
        <f>RigheOfferte[[#This Row],[sub_cliente]]</f>
        <v>#VALUE!</v>
      </c>
      <c r="E750" t="e">
        <f>RigheOfferte[[#This Row],[cod.Art.]]</f>
        <v>#VALUE!</v>
      </c>
      <c r="F750" t="e">
        <f>RigheOfferte[[#This Row],[Descrizione]]</f>
        <v>#VALUE!</v>
      </c>
      <c r="G750" t="e">
        <f>RigheOfferte[[#This Row],[Q.ta'']]</f>
        <v>#VALUE!</v>
      </c>
      <c r="H750" t="e">
        <f>RigheOfferte[[#This Row],[Lavorazione]]</f>
        <v>#VALUE!</v>
      </c>
      <c r="I750" t="e">
        <f>RigheOfferte[[#This Row],[Colore]]</f>
        <v>#VALUE!</v>
      </c>
      <c r="J750" t="e">
        <f>RigheOfferte[[#This Row],[Velocità]]</f>
        <v>#VALUE!</v>
      </c>
      <c r="K750" t="e">
        <f>RigheOfferte[[#This Row],[Superf.pz Mq]]</f>
        <v>#VALUE!</v>
      </c>
      <c r="L750" t="e">
        <f>RigheOfferte[[#This Row],[passo]]</f>
        <v>#VALUE!</v>
      </c>
      <c r="M750" t="e">
        <f>RigheOfferte[[#This Row],[nr.pezzi Telaio]]</f>
        <v>#VALUE!</v>
      </c>
      <c r="N750" t="e">
        <f>RigheOfferte[[#This Row],[nr.pezzi ora-unita]]</f>
        <v>#VALUE!</v>
      </c>
      <c r="O750" t="e">
        <f>Tabella1[[#This Row],[superificie]]*Resa</f>
        <v>#VALUE!</v>
      </c>
      <c r="P750" t="e">
        <f>Tabella1[[#This Row],[KgPezzo]]*Tabella1[[#This Row],[q.ta offerta]]</f>
        <v>#VALUE!</v>
      </c>
      <c r="Q750" t="e">
        <f>RigheOfferte[[#This Row],[QtaProtez]]</f>
        <v>#VALUE!</v>
      </c>
      <c r="R750" t="e">
        <f>RigheOfferte[[#This Row],[Tipo Protezione]]</f>
        <v>#VALUE!</v>
      </c>
    </row>
    <row r="751" spans="1:18">
      <c r="A751" t="e">
        <f>RigheOfferte[[#This Row],[Nprev]]</f>
        <v>#VALUE!</v>
      </c>
      <c r="B751" t="e">
        <f>RigheOfferte[[#This Row],[Nriga]]</f>
        <v>#VALUE!</v>
      </c>
      <c r="C751" t="e">
        <f>RigheOfferte[[#This Row],[Cliente]]</f>
        <v>#VALUE!</v>
      </c>
      <c r="D751" t="e">
        <f>RigheOfferte[[#This Row],[sub_cliente]]</f>
        <v>#VALUE!</v>
      </c>
      <c r="E751" t="e">
        <f>RigheOfferte[[#This Row],[cod.Art.]]</f>
        <v>#VALUE!</v>
      </c>
      <c r="F751" t="e">
        <f>RigheOfferte[[#This Row],[Descrizione]]</f>
        <v>#VALUE!</v>
      </c>
      <c r="G751" t="e">
        <f>RigheOfferte[[#This Row],[Q.ta'']]</f>
        <v>#VALUE!</v>
      </c>
      <c r="H751" t="e">
        <f>RigheOfferte[[#This Row],[Lavorazione]]</f>
        <v>#VALUE!</v>
      </c>
      <c r="I751" t="e">
        <f>RigheOfferte[[#This Row],[Colore]]</f>
        <v>#VALUE!</v>
      </c>
      <c r="J751" t="e">
        <f>RigheOfferte[[#This Row],[Velocità]]</f>
        <v>#VALUE!</v>
      </c>
      <c r="K751" t="e">
        <f>RigheOfferte[[#This Row],[Superf.pz Mq]]</f>
        <v>#VALUE!</v>
      </c>
      <c r="L751" t="e">
        <f>RigheOfferte[[#This Row],[passo]]</f>
        <v>#VALUE!</v>
      </c>
      <c r="M751" t="e">
        <f>RigheOfferte[[#This Row],[nr.pezzi Telaio]]</f>
        <v>#VALUE!</v>
      </c>
      <c r="N751" t="e">
        <f>RigheOfferte[[#This Row],[nr.pezzi ora-unita]]</f>
        <v>#VALUE!</v>
      </c>
      <c r="O751" t="e">
        <f>Tabella1[[#This Row],[superificie]]*Resa</f>
        <v>#VALUE!</v>
      </c>
      <c r="P751" t="e">
        <f>Tabella1[[#This Row],[KgPezzo]]*Tabella1[[#This Row],[q.ta offerta]]</f>
        <v>#VALUE!</v>
      </c>
      <c r="Q751" t="e">
        <f>RigheOfferte[[#This Row],[QtaProtez]]</f>
        <v>#VALUE!</v>
      </c>
      <c r="R751" t="e">
        <f>RigheOfferte[[#This Row],[Tipo Protezione]]</f>
        <v>#VALUE!</v>
      </c>
    </row>
    <row r="752" spans="1:18">
      <c r="A752" t="e">
        <f>RigheOfferte[[#This Row],[Nprev]]</f>
        <v>#VALUE!</v>
      </c>
      <c r="B752" t="e">
        <f>RigheOfferte[[#This Row],[Nriga]]</f>
        <v>#VALUE!</v>
      </c>
      <c r="C752" t="e">
        <f>RigheOfferte[[#This Row],[Cliente]]</f>
        <v>#VALUE!</v>
      </c>
      <c r="D752" t="e">
        <f>RigheOfferte[[#This Row],[sub_cliente]]</f>
        <v>#VALUE!</v>
      </c>
      <c r="E752" t="e">
        <f>RigheOfferte[[#This Row],[cod.Art.]]</f>
        <v>#VALUE!</v>
      </c>
      <c r="F752" t="e">
        <f>RigheOfferte[[#This Row],[Descrizione]]</f>
        <v>#VALUE!</v>
      </c>
      <c r="G752" t="e">
        <f>RigheOfferte[[#This Row],[Q.ta'']]</f>
        <v>#VALUE!</v>
      </c>
      <c r="H752" t="e">
        <f>RigheOfferte[[#This Row],[Lavorazione]]</f>
        <v>#VALUE!</v>
      </c>
      <c r="I752" t="e">
        <f>RigheOfferte[[#This Row],[Colore]]</f>
        <v>#VALUE!</v>
      </c>
      <c r="J752" t="e">
        <f>RigheOfferte[[#This Row],[Velocità]]</f>
        <v>#VALUE!</v>
      </c>
      <c r="K752" t="e">
        <f>RigheOfferte[[#This Row],[Superf.pz Mq]]</f>
        <v>#VALUE!</v>
      </c>
      <c r="L752" t="e">
        <f>RigheOfferte[[#This Row],[passo]]</f>
        <v>#VALUE!</v>
      </c>
      <c r="M752" t="e">
        <f>RigheOfferte[[#This Row],[nr.pezzi Telaio]]</f>
        <v>#VALUE!</v>
      </c>
      <c r="N752" t="e">
        <f>RigheOfferte[[#This Row],[nr.pezzi ora-unita]]</f>
        <v>#VALUE!</v>
      </c>
      <c r="O752" t="e">
        <f>Tabella1[[#This Row],[superificie]]*Resa</f>
        <v>#VALUE!</v>
      </c>
      <c r="P752" t="e">
        <f>Tabella1[[#This Row],[KgPezzo]]*Tabella1[[#This Row],[q.ta offerta]]</f>
        <v>#VALUE!</v>
      </c>
      <c r="Q752" t="e">
        <f>RigheOfferte[[#This Row],[QtaProtez]]</f>
        <v>#VALUE!</v>
      </c>
      <c r="R752" t="e">
        <f>RigheOfferte[[#This Row],[Tipo Protezione]]</f>
        <v>#VALUE!</v>
      </c>
    </row>
    <row r="753" spans="1:18">
      <c r="A753" t="e">
        <f>RigheOfferte[[#This Row],[Nprev]]</f>
        <v>#VALUE!</v>
      </c>
      <c r="B753" t="e">
        <f>RigheOfferte[[#This Row],[Nriga]]</f>
        <v>#VALUE!</v>
      </c>
      <c r="C753" t="e">
        <f>RigheOfferte[[#This Row],[Cliente]]</f>
        <v>#VALUE!</v>
      </c>
      <c r="D753" t="e">
        <f>RigheOfferte[[#This Row],[sub_cliente]]</f>
        <v>#VALUE!</v>
      </c>
      <c r="E753" t="e">
        <f>RigheOfferte[[#This Row],[cod.Art.]]</f>
        <v>#VALUE!</v>
      </c>
      <c r="F753" t="e">
        <f>RigheOfferte[[#This Row],[Descrizione]]</f>
        <v>#VALUE!</v>
      </c>
      <c r="G753" t="e">
        <f>RigheOfferte[[#This Row],[Q.ta'']]</f>
        <v>#VALUE!</v>
      </c>
      <c r="H753" t="e">
        <f>RigheOfferte[[#This Row],[Lavorazione]]</f>
        <v>#VALUE!</v>
      </c>
      <c r="I753" t="e">
        <f>RigheOfferte[[#This Row],[Colore]]</f>
        <v>#VALUE!</v>
      </c>
      <c r="J753" t="e">
        <f>RigheOfferte[[#This Row],[Velocità]]</f>
        <v>#VALUE!</v>
      </c>
      <c r="K753" t="e">
        <f>RigheOfferte[[#This Row],[Superf.pz Mq]]</f>
        <v>#VALUE!</v>
      </c>
      <c r="L753" t="e">
        <f>RigheOfferte[[#This Row],[passo]]</f>
        <v>#VALUE!</v>
      </c>
      <c r="M753" t="e">
        <f>RigheOfferte[[#This Row],[nr.pezzi Telaio]]</f>
        <v>#VALUE!</v>
      </c>
      <c r="N753" t="e">
        <f>RigheOfferte[[#This Row],[nr.pezzi ora-unita]]</f>
        <v>#VALUE!</v>
      </c>
      <c r="O753" t="e">
        <f>Tabella1[[#This Row],[superificie]]*Resa</f>
        <v>#VALUE!</v>
      </c>
      <c r="P753" t="e">
        <f>Tabella1[[#This Row],[KgPezzo]]*Tabella1[[#This Row],[q.ta offerta]]</f>
        <v>#VALUE!</v>
      </c>
      <c r="Q753" t="e">
        <f>RigheOfferte[[#This Row],[QtaProtez]]</f>
        <v>#VALUE!</v>
      </c>
      <c r="R753" t="e">
        <f>RigheOfferte[[#This Row],[Tipo Protezione]]</f>
        <v>#VALUE!</v>
      </c>
    </row>
    <row r="754" spans="1:18">
      <c r="A754" t="e">
        <f>RigheOfferte[[#This Row],[Nprev]]</f>
        <v>#VALUE!</v>
      </c>
      <c r="B754" t="e">
        <f>RigheOfferte[[#This Row],[Nriga]]</f>
        <v>#VALUE!</v>
      </c>
      <c r="C754" t="e">
        <f>RigheOfferte[[#This Row],[Cliente]]</f>
        <v>#VALUE!</v>
      </c>
      <c r="D754" t="e">
        <f>RigheOfferte[[#This Row],[sub_cliente]]</f>
        <v>#VALUE!</v>
      </c>
      <c r="E754" t="e">
        <f>RigheOfferte[[#This Row],[cod.Art.]]</f>
        <v>#VALUE!</v>
      </c>
      <c r="F754" t="e">
        <f>RigheOfferte[[#This Row],[Descrizione]]</f>
        <v>#VALUE!</v>
      </c>
      <c r="G754" t="e">
        <f>RigheOfferte[[#This Row],[Q.ta'']]</f>
        <v>#VALUE!</v>
      </c>
      <c r="H754" t="e">
        <f>RigheOfferte[[#This Row],[Lavorazione]]</f>
        <v>#VALUE!</v>
      </c>
      <c r="I754" t="e">
        <f>RigheOfferte[[#This Row],[Colore]]</f>
        <v>#VALUE!</v>
      </c>
      <c r="J754" t="e">
        <f>RigheOfferte[[#This Row],[Velocità]]</f>
        <v>#VALUE!</v>
      </c>
      <c r="K754" t="e">
        <f>RigheOfferte[[#This Row],[Superf.pz Mq]]</f>
        <v>#VALUE!</v>
      </c>
      <c r="L754" t="e">
        <f>RigheOfferte[[#This Row],[passo]]</f>
        <v>#VALUE!</v>
      </c>
      <c r="M754" t="e">
        <f>RigheOfferte[[#This Row],[nr.pezzi Telaio]]</f>
        <v>#VALUE!</v>
      </c>
      <c r="N754" t="e">
        <f>RigheOfferte[[#This Row],[nr.pezzi ora-unita]]</f>
        <v>#VALUE!</v>
      </c>
      <c r="O754" t="e">
        <f>Tabella1[[#This Row],[superificie]]*Resa</f>
        <v>#VALUE!</v>
      </c>
      <c r="P754" t="e">
        <f>Tabella1[[#This Row],[KgPezzo]]*Tabella1[[#This Row],[q.ta offerta]]</f>
        <v>#VALUE!</v>
      </c>
      <c r="Q754" t="e">
        <f>RigheOfferte[[#This Row],[QtaProtez]]</f>
        <v>#VALUE!</v>
      </c>
      <c r="R754" t="e">
        <f>RigheOfferte[[#This Row],[Tipo Protezione]]</f>
        <v>#VALUE!</v>
      </c>
    </row>
    <row r="755" spans="1:18">
      <c r="A755" t="e">
        <f>RigheOfferte[[#This Row],[Nprev]]</f>
        <v>#VALUE!</v>
      </c>
      <c r="B755" t="e">
        <f>RigheOfferte[[#This Row],[Nriga]]</f>
        <v>#VALUE!</v>
      </c>
      <c r="C755" t="e">
        <f>RigheOfferte[[#This Row],[Cliente]]</f>
        <v>#VALUE!</v>
      </c>
      <c r="D755" t="e">
        <f>RigheOfferte[[#This Row],[sub_cliente]]</f>
        <v>#VALUE!</v>
      </c>
      <c r="E755" t="e">
        <f>RigheOfferte[[#This Row],[cod.Art.]]</f>
        <v>#VALUE!</v>
      </c>
      <c r="F755" t="e">
        <f>RigheOfferte[[#This Row],[Descrizione]]</f>
        <v>#VALUE!</v>
      </c>
      <c r="G755" t="e">
        <f>RigheOfferte[[#This Row],[Q.ta'']]</f>
        <v>#VALUE!</v>
      </c>
      <c r="H755" t="e">
        <f>RigheOfferte[[#This Row],[Lavorazione]]</f>
        <v>#VALUE!</v>
      </c>
      <c r="I755" t="e">
        <f>RigheOfferte[[#This Row],[Colore]]</f>
        <v>#VALUE!</v>
      </c>
      <c r="J755" t="e">
        <f>RigheOfferte[[#This Row],[Velocità]]</f>
        <v>#VALUE!</v>
      </c>
      <c r="K755" t="e">
        <f>RigheOfferte[[#This Row],[Superf.pz Mq]]</f>
        <v>#VALUE!</v>
      </c>
      <c r="L755" t="e">
        <f>RigheOfferte[[#This Row],[passo]]</f>
        <v>#VALUE!</v>
      </c>
      <c r="M755" t="e">
        <f>RigheOfferte[[#This Row],[nr.pezzi Telaio]]</f>
        <v>#VALUE!</v>
      </c>
      <c r="N755" t="e">
        <f>RigheOfferte[[#This Row],[nr.pezzi ora-unita]]</f>
        <v>#VALUE!</v>
      </c>
      <c r="O755" t="e">
        <f>Tabella1[[#This Row],[superificie]]*Resa</f>
        <v>#VALUE!</v>
      </c>
      <c r="P755" t="e">
        <f>Tabella1[[#This Row],[KgPezzo]]*Tabella1[[#This Row],[q.ta offerta]]</f>
        <v>#VALUE!</v>
      </c>
      <c r="Q755" t="e">
        <f>RigheOfferte[[#This Row],[QtaProtez]]</f>
        <v>#VALUE!</v>
      </c>
      <c r="R755" t="e">
        <f>RigheOfferte[[#This Row],[Tipo Protezione]]</f>
        <v>#VALUE!</v>
      </c>
    </row>
    <row r="756" spans="1:18">
      <c r="A756" t="e">
        <f>RigheOfferte[[#This Row],[Nprev]]</f>
        <v>#VALUE!</v>
      </c>
      <c r="B756" t="e">
        <f>RigheOfferte[[#This Row],[Nriga]]</f>
        <v>#VALUE!</v>
      </c>
      <c r="C756" t="e">
        <f>RigheOfferte[[#This Row],[Cliente]]</f>
        <v>#VALUE!</v>
      </c>
      <c r="D756" t="e">
        <f>RigheOfferte[[#This Row],[sub_cliente]]</f>
        <v>#VALUE!</v>
      </c>
      <c r="E756" t="e">
        <f>RigheOfferte[[#This Row],[cod.Art.]]</f>
        <v>#VALUE!</v>
      </c>
      <c r="F756" t="e">
        <f>RigheOfferte[[#This Row],[Descrizione]]</f>
        <v>#VALUE!</v>
      </c>
      <c r="G756" t="e">
        <f>RigheOfferte[[#This Row],[Q.ta'']]</f>
        <v>#VALUE!</v>
      </c>
      <c r="H756" t="e">
        <f>RigheOfferte[[#This Row],[Lavorazione]]</f>
        <v>#VALUE!</v>
      </c>
      <c r="I756" t="e">
        <f>RigheOfferte[[#This Row],[Colore]]</f>
        <v>#VALUE!</v>
      </c>
      <c r="J756" t="e">
        <f>RigheOfferte[[#This Row],[Velocità]]</f>
        <v>#VALUE!</v>
      </c>
      <c r="K756" t="e">
        <f>RigheOfferte[[#This Row],[Superf.pz Mq]]</f>
        <v>#VALUE!</v>
      </c>
      <c r="L756" t="e">
        <f>RigheOfferte[[#This Row],[passo]]</f>
        <v>#VALUE!</v>
      </c>
      <c r="M756" t="e">
        <f>RigheOfferte[[#This Row],[nr.pezzi Telaio]]</f>
        <v>#VALUE!</v>
      </c>
      <c r="N756" t="e">
        <f>RigheOfferte[[#This Row],[nr.pezzi ora-unita]]</f>
        <v>#VALUE!</v>
      </c>
      <c r="O756" t="e">
        <f>Tabella1[[#This Row],[superificie]]*Resa</f>
        <v>#VALUE!</v>
      </c>
      <c r="P756" t="e">
        <f>Tabella1[[#This Row],[KgPezzo]]*Tabella1[[#This Row],[q.ta offerta]]</f>
        <v>#VALUE!</v>
      </c>
      <c r="Q756" t="e">
        <f>RigheOfferte[[#This Row],[QtaProtez]]</f>
        <v>#VALUE!</v>
      </c>
      <c r="R756" t="e">
        <f>RigheOfferte[[#This Row],[Tipo Protezione]]</f>
        <v>#VALUE!</v>
      </c>
    </row>
    <row r="757" spans="1:18">
      <c r="A757" t="e">
        <f>RigheOfferte[[#This Row],[Nprev]]</f>
        <v>#VALUE!</v>
      </c>
      <c r="B757" t="e">
        <f>RigheOfferte[[#This Row],[Nriga]]</f>
        <v>#VALUE!</v>
      </c>
      <c r="C757" t="e">
        <f>RigheOfferte[[#This Row],[Cliente]]</f>
        <v>#VALUE!</v>
      </c>
      <c r="D757" t="e">
        <f>RigheOfferte[[#This Row],[sub_cliente]]</f>
        <v>#VALUE!</v>
      </c>
      <c r="E757" t="e">
        <f>RigheOfferte[[#This Row],[cod.Art.]]</f>
        <v>#VALUE!</v>
      </c>
      <c r="F757" t="e">
        <f>RigheOfferte[[#This Row],[Descrizione]]</f>
        <v>#VALUE!</v>
      </c>
      <c r="G757" t="e">
        <f>RigheOfferte[[#This Row],[Q.ta'']]</f>
        <v>#VALUE!</v>
      </c>
      <c r="H757" t="e">
        <f>RigheOfferte[[#This Row],[Lavorazione]]</f>
        <v>#VALUE!</v>
      </c>
      <c r="I757" t="e">
        <f>RigheOfferte[[#This Row],[Colore]]</f>
        <v>#VALUE!</v>
      </c>
      <c r="J757" t="e">
        <f>RigheOfferte[[#This Row],[Velocità]]</f>
        <v>#VALUE!</v>
      </c>
      <c r="K757" t="e">
        <f>RigheOfferte[[#This Row],[Superf.pz Mq]]</f>
        <v>#VALUE!</v>
      </c>
      <c r="L757" t="e">
        <f>RigheOfferte[[#This Row],[passo]]</f>
        <v>#VALUE!</v>
      </c>
      <c r="M757" t="e">
        <f>RigheOfferte[[#This Row],[nr.pezzi Telaio]]</f>
        <v>#VALUE!</v>
      </c>
      <c r="N757" t="e">
        <f>RigheOfferte[[#This Row],[nr.pezzi ora-unita]]</f>
        <v>#VALUE!</v>
      </c>
      <c r="O757" t="e">
        <f>Tabella1[[#This Row],[superificie]]*Resa</f>
        <v>#VALUE!</v>
      </c>
      <c r="P757" t="e">
        <f>Tabella1[[#This Row],[KgPezzo]]*Tabella1[[#This Row],[q.ta offerta]]</f>
        <v>#VALUE!</v>
      </c>
      <c r="Q757" t="e">
        <f>RigheOfferte[[#This Row],[QtaProtez]]</f>
        <v>#VALUE!</v>
      </c>
      <c r="R757" t="e">
        <f>RigheOfferte[[#This Row],[Tipo Protezione]]</f>
        <v>#VALUE!</v>
      </c>
    </row>
    <row r="758" spans="1:18">
      <c r="A758" t="e">
        <f>RigheOfferte[[#This Row],[Nprev]]</f>
        <v>#VALUE!</v>
      </c>
      <c r="B758" t="e">
        <f>RigheOfferte[[#This Row],[Nriga]]</f>
        <v>#VALUE!</v>
      </c>
      <c r="C758" t="e">
        <f>RigheOfferte[[#This Row],[Cliente]]</f>
        <v>#VALUE!</v>
      </c>
      <c r="D758" t="e">
        <f>RigheOfferte[[#This Row],[sub_cliente]]</f>
        <v>#VALUE!</v>
      </c>
      <c r="E758" t="e">
        <f>RigheOfferte[[#This Row],[cod.Art.]]</f>
        <v>#VALUE!</v>
      </c>
      <c r="F758" t="e">
        <f>RigheOfferte[[#This Row],[Descrizione]]</f>
        <v>#VALUE!</v>
      </c>
      <c r="G758" t="e">
        <f>RigheOfferte[[#This Row],[Q.ta'']]</f>
        <v>#VALUE!</v>
      </c>
      <c r="H758" t="e">
        <f>RigheOfferte[[#This Row],[Lavorazione]]</f>
        <v>#VALUE!</v>
      </c>
      <c r="I758" t="e">
        <f>RigheOfferte[[#This Row],[Colore]]</f>
        <v>#VALUE!</v>
      </c>
      <c r="J758" t="e">
        <f>RigheOfferte[[#This Row],[Velocità]]</f>
        <v>#VALUE!</v>
      </c>
      <c r="K758" t="e">
        <f>RigheOfferte[[#This Row],[Superf.pz Mq]]</f>
        <v>#VALUE!</v>
      </c>
      <c r="L758" t="e">
        <f>RigheOfferte[[#This Row],[passo]]</f>
        <v>#VALUE!</v>
      </c>
      <c r="M758" t="e">
        <f>RigheOfferte[[#This Row],[nr.pezzi Telaio]]</f>
        <v>#VALUE!</v>
      </c>
      <c r="N758" t="e">
        <f>RigheOfferte[[#This Row],[nr.pezzi ora-unita]]</f>
        <v>#VALUE!</v>
      </c>
      <c r="O758" t="e">
        <f>Tabella1[[#This Row],[superificie]]*Resa</f>
        <v>#VALUE!</v>
      </c>
      <c r="P758" t="e">
        <f>Tabella1[[#This Row],[KgPezzo]]*Tabella1[[#This Row],[q.ta offerta]]</f>
        <v>#VALUE!</v>
      </c>
      <c r="Q758" t="e">
        <f>RigheOfferte[[#This Row],[QtaProtez]]</f>
        <v>#VALUE!</v>
      </c>
      <c r="R758" t="e">
        <f>RigheOfferte[[#This Row],[Tipo Protezione]]</f>
        <v>#VALUE!</v>
      </c>
    </row>
    <row r="759" spans="1:18">
      <c r="A759" t="e">
        <f>RigheOfferte[[#This Row],[Nprev]]</f>
        <v>#VALUE!</v>
      </c>
      <c r="B759" t="e">
        <f>RigheOfferte[[#This Row],[Nriga]]</f>
        <v>#VALUE!</v>
      </c>
      <c r="C759" t="e">
        <f>RigheOfferte[[#This Row],[Cliente]]</f>
        <v>#VALUE!</v>
      </c>
      <c r="D759" t="e">
        <f>RigheOfferte[[#This Row],[sub_cliente]]</f>
        <v>#VALUE!</v>
      </c>
      <c r="E759" t="e">
        <f>RigheOfferte[[#This Row],[cod.Art.]]</f>
        <v>#VALUE!</v>
      </c>
      <c r="F759" t="e">
        <f>RigheOfferte[[#This Row],[Descrizione]]</f>
        <v>#VALUE!</v>
      </c>
      <c r="G759" t="e">
        <f>RigheOfferte[[#This Row],[Q.ta'']]</f>
        <v>#VALUE!</v>
      </c>
      <c r="H759" t="e">
        <f>RigheOfferte[[#This Row],[Lavorazione]]</f>
        <v>#VALUE!</v>
      </c>
      <c r="I759" t="e">
        <f>RigheOfferte[[#This Row],[Colore]]</f>
        <v>#VALUE!</v>
      </c>
      <c r="J759" t="e">
        <f>RigheOfferte[[#This Row],[Velocità]]</f>
        <v>#VALUE!</v>
      </c>
      <c r="K759" t="e">
        <f>RigheOfferte[[#This Row],[Superf.pz Mq]]</f>
        <v>#VALUE!</v>
      </c>
      <c r="L759" t="e">
        <f>RigheOfferte[[#This Row],[passo]]</f>
        <v>#VALUE!</v>
      </c>
      <c r="M759" t="e">
        <f>RigheOfferte[[#This Row],[nr.pezzi Telaio]]</f>
        <v>#VALUE!</v>
      </c>
      <c r="N759" t="e">
        <f>RigheOfferte[[#This Row],[nr.pezzi ora-unita]]</f>
        <v>#VALUE!</v>
      </c>
      <c r="O759" t="e">
        <f>Tabella1[[#This Row],[superificie]]*Resa</f>
        <v>#VALUE!</v>
      </c>
      <c r="P759" t="e">
        <f>Tabella1[[#This Row],[KgPezzo]]*Tabella1[[#This Row],[q.ta offerta]]</f>
        <v>#VALUE!</v>
      </c>
      <c r="Q759" t="e">
        <f>RigheOfferte[[#This Row],[QtaProtez]]</f>
        <v>#VALUE!</v>
      </c>
      <c r="R759" t="e">
        <f>RigheOfferte[[#This Row],[Tipo Protezione]]</f>
        <v>#VALUE!</v>
      </c>
    </row>
    <row r="760" spans="1:18">
      <c r="A760" t="e">
        <f>RigheOfferte[[#This Row],[Nprev]]</f>
        <v>#VALUE!</v>
      </c>
      <c r="B760" t="e">
        <f>RigheOfferte[[#This Row],[Nriga]]</f>
        <v>#VALUE!</v>
      </c>
      <c r="C760" t="e">
        <f>RigheOfferte[[#This Row],[Cliente]]</f>
        <v>#VALUE!</v>
      </c>
      <c r="D760" t="e">
        <f>RigheOfferte[[#This Row],[sub_cliente]]</f>
        <v>#VALUE!</v>
      </c>
      <c r="E760" t="e">
        <f>RigheOfferte[[#This Row],[cod.Art.]]</f>
        <v>#VALUE!</v>
      </c>
      <c r="F760" t="e">
        <f>RigheOfferte[[#This Row],[Descrizione]]</f>
        <v>#VALUE!</v>
      </c>
      <c r="G760" t="e">
        <f>RigheOfferte[[#This Row],[Q.ta'']]</f>
        <v>#VALUE!</v>
      </c>
      <c r="H760" t="e">
        <f>RigheOfferte[[#This Row],[Lavorazione]]</f>
        <v>#VALUE!</v>
      </c>
      <c r="I760" t="e">
        <f>RigheOfferte[[#This Row],[Colore]]</f>
        <v>#VALUE!</v>
      </c>
      <c r="J760" t="e">
        <f>RigheOfferte[[#This Row],[Velocità]]</f>
        <v>#VALUE!</v>
      </c>
      <c r="K760" t="e">
        <f>RigheOfferte[[#This Row],[Superf.pz Mq]]</f>
        <v>#VALUE!</v>
      </c>
      <c r="L760" t="e">
        <f>RigheOfferte[[#This Row],[passo]]</f>
        <v>#VALUE!</v>
      </c>
      <c r="M760" t="e">
        <f>RigheOfferte[[#This Row],[nr.pezzi Telaio]]</f>
        <v>#VALUE!</v>
      </c>
      <c r="N760" t="e">
        <f>RigheOfferte[[#This Row],[nr.pezzi ora-unita]]</f>
        <v>#VALUE!</v>
      </c>
      <c r="O760" t="e">
        <f>Tabella1[[#This Row],[superificie]]*Resa</f>
        <v>#VALUE!</v>
      </c>
      <c r="P760" t="e">
        <f>Tabella1[[#This Row],[KgPezzo]]*Tabella1[[#This Row],[q.ta offerta]]</f>
        <v>#VALUE!</v>
      </c>
      <c r="Q760" t="e">
        <f>RigheOfferte[[#This Row],[QtaProtez]]</f>
        <v>#VALUE!</v>
      </c>
      <c r="R760" t="e">
        <f>RigheOfferte[[#This Row],[Tipo Protezione]]</f>
        <v>#VALUE!</v>
      </c>
    </row>
    <row r="761" spans="1:18">
      <c r="A761" t="e">
        <f>RigheOfferte[[#This Row],[Nprev]]</f>
        <v>#VALUE!</v>
      </c>
      <c r="B761" t="e">
        <f>RigheOfferte[[#This Row],[Nriga]]</f>
        <v>#VALUE!</v>
      </c>
      <c r="C761" t="e">
        <f>RigheOfferte[[#This Row],[Cliente]]</f>
        <v>#VALUE!</v>
      </c>
      <c r="D761" t="e">
        <f>RigheOfferte[[#This Row],[sub_cliente]]</f>
        <v>#VALUE!</v>
      </c>
      <c r="E761" t="e">
        <f>RigheOfferte[[#This Row],[cod.Art.]]</f>
        <v>#VALUE!</v>
      </c>
      <c r="F761" t="e">
        <f>RigheOfferte[[#This Row],[Descrizione]]</f>
        <v>#VALUE!</v>
      </c>
      <c r="G761" t="e">
        <f>RigheOfferte[[#This Row],[Q.ta'']]</f>
        <v>#VALUE!</v>
      </c>
      <c r="H761" t="e">
        <f>RigheOfferte[[#This Row],[Lavorazione]]</f>
        <v>#VALUE!</v>
      </c>
      <c r="I761" t="e">
        <f>RigheOfferte[[#This Row],[Colore]]</f>
        <v>#VALUE!</v>
      </c>
      <c r="J761" t="e">
        <f>RigheOfferte[[#This Row],[Velocità]]</f>
        <v>#VALUE!</v>
      </c>
      <c r="K761" t="e">
        <f>RigheOfferte[[#This Row],[Superf.pz Mq]]</f>
        <v>#VALUE!</v>
      </c>
      <c r="L761" t="e">
        <f>RigheOfferte[[#This Row],[passo]]</f>
        <v>#VALUE!</v>
      </c>
      <c r="M761" t="e">
        <f>RigheOfferte[[#This Row],[nr.pezzi Telaio]]</f>
        <v>#VALUE!</v>
      </c>
      <c r="N761" t="e">
        <f>RigheOfferte[[#This Row],[nr.pezzi ora-unita]]</f>
        <v>#VALUE!</v>
      </c>
      <c r="O761" t="e">
        <f>Tabella1[[#This Row],[superificie]]*Resa</f>
        <v>#VALUE!</v>
      </c>
      <c r="P761" t="e">
        <f>Tabella1[[#This Row],[KgPezzo]]*Tabella1[[#This Row],[q.ta offerta]]</f>
        <v>#VALUE!</v>
      </c>
      <c r="Q761" t="e">
        <f>RigheOfferte[[#This Row],[QtaProtez]]</f>
        <v>#VALUE!</v>
      </c>
      <c r="R761" t="e">
        <f>RigheOfferte[[#This Row],[Tipo Protezione]]</f>
        <v>#VALUE!</v>
      </c>
    </row>
    <row r="762" spans="1:18">
      <c r="A762" t="e">
        <f>RigheOfferte[[#This Row],[Nprev]]</f>
        <v>#VALUE!</v>
      </c>
      <c r="B762" t="e">
        <f>RigheOfferte[[#This Row],[Nriga]]</f>
        <v>#VALUE!</v>
      </c>
      <c r="C762" t="e">
        <f>RigheOfferte[[#This Row],[Cliente]]</f>
        <v>#VALUE!</v>
      </c>
      <c r="D762" t="e">
        <f>RigheOfferte[[#This Row],[sub_cliente]]</f>
        <v>#VALUE!</v>
      </c>
      <c r="E762" t="e">
        <f>RigheOfferte[[#This Row],[cod.Art.]]</f>
        <v>#VALUE!</v>
      </c>
      <c r="F762" t="e">
        <f>RigheOfferte[[#This Row],[Descrizione]]</f>
        <v>#VALUE!</v>
      </c>
      <c r="G762" t="e">
        <f>RigheOfferte[[#This Row],[Q.ta'']]</f>
        <v>#VALUE!</v>
      </c>
      <c r="H762" t="e">
        <f>RigheOfferte[[#This Row],[Lavorazione]]</f>
        <v>#VALUE!</v>
      </c>
      <c r="I762" t="e">
        <f>RigheOfferte[[#This Row],[Colore]]</f>
        <v>#VALUE!</v>
      </c>
      <c r="J762" t="e">
        <f>RigheOfferte[[#This Row],[Velocità]]</f>
        <v>#VALUE!</v>
      </c>
      <c r="K762" t="e">
        <f>RigheOfferte[[#This Row],[Superf.pz Mq]]</f>
        <v>#VALUE!</v>
      </c>
      <c r="L762" t="e">
        <f>RigheOfferte[[#This Row],[passo]]</f>
        <v>#VALUE!</v>
      </c>
      <c r="M762" t="e">
        <f>RigheOfferte[[#This Row],[nr.pezzi Telaio]]</f>
        <v>#VALUE!</v>
      </c>
      <c r="N762" t="e">
        <f>RigheOfferte[[#This Row],[nr.pezzi ora-unita]]</f>
        <v>#VALUE!</v>
      </c>
      <c r="O762" t="e">
        <f>Tabella1[[#This Row],[superificie]]*Resa</f>
        <v>#VALUE!</v>
      </c>
      <c r="P762" t="e">
        <f>Tabella1[[#This Row],[KgPezzo]]*Tabella1[[#This Row],[q.ta offerta]]</f>
        <v>#VALUE!</v>
      </c>
      <c r="Q762" t="e">
        <f>RigheOfferte[[#This Row],[QtaProtez]]</f>
        <v>#VALUE!</v>
      </c>
      <c r="R762" t="e">
        <f>RigheOfferte[[#This Row],[Tipo Protezione]]</f>
        <v>#VALUE!</v>
      </c>
    </row>
    <row r="763" spans="1:18">
      <c r="A763" t="e">
        <f>RigheOfferte[[#This Row],[Nprev]]</f>
        <v>#VALUE!</v>
      </c>
      <c r="B763" t="e">
        <f>RigheOfferte[[#This Row],[Nriga]]</f>
        <v>#VALUE!</v>
      </c>
      <c r="C763" t="e">
        <f>RigheOfferte[[#This Row],[Cliente]]</f>
        <v>#VALUE!</v>
      </c>
      <c r="D763" t="e">
        <f>RigheOfferte[[#This Row],[sub_cliente]]</f>
        <v>#VALUE!</v>
      </c>
      <c r="E763" t="e">
        <f>RigheOfferte[[#This Row],[cod.Art.]]</f>
        <v>#VALUE!</v>
      </c>
      <c r="F763" t="e">
        <f>RigheOfferte[[#This Row],[Descrizione]]</f>
        <v>#VALUE!</v>
      </c>
      <c r="G763" t="e">
        <f>RigheOfferte[[#This Row],[Q.ta'']]</f>
        <v>#VALUE!</v>
      </c>
      <c r="H763" t="e">
        <f>RigheOfferte[[#This Row],[Lavorazione]]</f>
        <v>#VALUE!</v>
      </c>
      <c r="I763" t="e">
        <f>RigheOfferte[[#This Row],[Colore]]</f>
        <v>#VALUE!</v>
      </c>
      <c r="J763" t="e">
        <f>RigheOfferte[[#This Row],[Velocità]]</f>
        <v>#VALUE!</v>
      </c>
      <c r="K763" t="e">
        <f>RigheOfferte[[#This Row],[Superf.pz Mq]]</f>
        <v>#VALUE!</v>
      </c>
      <c r="L763" t="e">
        <f>RigheOfferte[[#This Row],[passo]]</f>
        <v>#VALUE!</v>
      </c>
      <c r="M763" t="e">
        <f>RigheOfferte[[#This Row],[nr.pezzi Telaio]]</f>
        <v>#VALUE!</v>
      </c>
      <c r="N763" t="e">
        <f>RigheOfferte[[#This Row],[nr.pezzi ora-unita]]</f>
        <v>#VALUE!</v>
      </c>
      <c r="O763" t="e">
        <f>Tabella1[[#This Row],[superificie]]*Resa</f>
        <v>#VALUE!</v>
      </c>
      <c r="P763" t="e">
        <f>Tabella1[[#This Row],[KgPezzo]]*Tabella1[[#This Row],[q.ta offerta]]</f>
        <v>#VALUE!</v>
      </c>
      <c r="Q763" t="e">
        <f>RigheOfferte[[#This Row],[QtaProtez]]</f>
        <v>#VALUE!</v>
      </c>
      <c r="R763" t="e">
        <f>RigheOfferte[[#This Row],[Tipo Protezione]]</f>
        <v>#VALUE!</v>
      </c>
    </row>
    <row r="764" spans="1:18">
      <c r="A764" t="e">
        <f>RigheOfferte[[#This Row],[Nprev]]</f>
        <v>#VALUE!</v>
      </c>
      <c r="B764" t="e">
        <f>RigheOfferte[[#This Row],[Nriga]]</f>
        <v>#VALUE!</v>
      </c>
      <c r="C764" t="e">
        <f>RigheOfferte[[#This Row],[Cliente]]</f>
        <v>#VALUE!</v>
      </c>
      <c r="D764" t="e">
        <f>RigheOfferte[[#This Row],[sub_cliente]]</f>
        <v>#VALUE!</v>
      </c>
      <c r="E764" t="e">
        <f>RigheOfferte[[#This Row],[cod.Art.]]</f>
        <v>#VALUE!</v>
      </c>
      <c r="F764" t="e">
        <f>RigheOfferte[[#This Row],[Descrizione]]</f>
        <v>#VALUE!</v>
      </c>
      <c r="G764" t="e">
        <f>RigheOfferte[[#This Row],[Q.ta'']]</f>
        <v>#VALUE!</v>
      </c>
      <c r="H764" t="e">
        <f>RigheOfferte[[#This Row],[Lavorazione]]</f>
        <v>#VALUE!</v>
      </c>
      <c r="I764" t="e">
        <f>RigheOfferte[[#This Row],[Colore]]</f>
        <v>#VALUE!</v>
      </c>
      <c r="J764" t="e">
        <f>RigheOfferte[[#This Row],[Velocità]]</f>
        <v>#VALUE!</v>
      </c>
      <c r="K764" t="e">
        <f>RigheOfferte[[#This Row],[Superf.pz Mq]]</f>
        <v>#VALUE!</v>
      </c>
      <c r="L764" t="e">
        <f>RigheOfferte[[#This Row],[passo]]</f>
        <v>#VALUE!</v>
      </c>
      <c r="M764" t="e">
        <f>RigheOfferte[[#This Row],[nr.pezzi Telaio]]</f>
        <v>#VALUE!</v>
      </c>
      <c r="N764" t="e">
        <f>RigheOfferte[[#This Row],[nr.pezzi ora-unita]]</f>
        <v>#VALUE!</v>
      </c>
      <c r="O764" t="e">
        <f>Tabella1[[#This Row],[superificie]]*Resa</f>
        <v>#VALUE!</v>
      </c>
      <c r="P764" t="e">
        <f>Tabella1[[#This Row],[KgPezzo]]*Tabella1[[#This Row],[q.ta offerta]]</f>
        <v>#VALUE!</v>
      </c>
      <c r="Q764" t="e">
        <f>RigheOfferte[[#This Row],[QtaProtez]]</f>
        <v>#VALUE!</v>
      </c>
      <c r="R764" t="e">
        <f>RigheOfferte[[#This Row],[Tipo Protezione]]</f>
        <v>#VALUE!</v>
      </c>
    </row>
    <row r="765" spans="1:18">
      <c r="A765" t="e">
        <f>RigheOfferte[[#This Row],[Nprev]]</f>
        <v>#VALUE!</v>
      </c>
      <c r="B765" t="e">
        <f>RigheOfferte[[#This Row],[Nriga]]</f>
        <v>#VALUE!</v>
      </c>
      <c r="C765" t="e">
        <f>RigheOfferte[[#This Row],[Cliente]]</f>
        <v>#VALUE!</v>
      </c>
      <c r="D765" t="e">
        <f>RigheOfferte[[#This Row],[sub_cliente]]</f>
        <v>#VALUE!</v>
      </c>
      <c r="E765" t="e">
        <f>RigheOfferte[[#This Row],[cod.Art.]]</f>
        <v>#VALUE!</v>
      </c>
      <c r="F765" t="e">
        <f>RigheOfferte[[#This Row],[Descrizione]]</f>
        <v>#VALUE!</v>
      </c>
      <c r="G765" t="e">
        <f>RigheOfferte[[#This Row],[Q.ta'']]</f>
        <v>#VALUE!</v>
      </c>
      <c r="H765" t="e">
        <f>RigheOfferte[[#This Row],[Lavorazione]]</f>
        <v>#VALUE!</v>
      </c>
      <c r="I765" t="e">
        <f>RigheOfferte[[#This Row],[Colore]]</f>
        <v>#VALUE!</v>
      </c>
      <c r="J765" t="e">
        <f>RigheOfferte[[#This Row],[Velocità]]</f>
        <v>#VALUE!</v>
      </c>
      <c r="K765" t="e">
        <f>RigheOfferte[[#This Row],[Superf.pz Mq]]</f>
        <v>#VALUE!</v>
      </c>
      <c r="L765" t="e">
        <f>RigheOfferte[[#This Row],[passo]]</f>
        <v>#VALUE!</v>
      </c>
      <c r="M765" t="e">
        <f>RigheOfferte[[#This Row],[nr.pezzi Telaio]]</f>
        <v>#VALUE!</v>
      </c>
      <c r="N765" t="e">
        <f>RigheOfferte[[#This Row],[nr.pezzi ora-unita]]</f>
        <v>#VALUE!</v>
      </c>
      <c r="O765" t="e">
        <f>Tabella1[[#This Row],[superificie]]*Resa</f>
        <v>#VALUE!</v>
      </c>
      <c r="P765" t="e">
        <f>Tabella1[[#This Row],[KgPezzo]]*Tabella1[[#This Row],[q.ta offerta]]</f>
        <v>#VALUE!</v>
      </c>
      <c r="Q765" t="e">
        <f>RigheOfferte[[#This Row],[QtaProtez]]</f>
        <v>#VALUE!</v>
      </c>
      <c r="R765" t="e">
        <f>RigheOfferte[[#This Row],[Tipo Protezione]]</f>
        <v>#VALUE!</v>
      </c>
    </row>
    <row r="766" spans="1:18">
      <c r="A766" t="e">
        <f>RigheOfferte[[#This Row],[Nprev]]</f>
        <v>#VALUE!</v>
      </c>
      <c r="B766" t="e">
        <f>RigheOfferte[[#This Row],[Nriga]]</f>
        <v>#VALUE!</v>
      </c>
      <c r="C766" t="e">
        <f>RigheOfferte[[#This Row],[Cliente]]</f>
        <v>#VALUE!</v>
      </c>
      <c r="D766" t="e">
        <f>RigheOfferte[[#This Row],[sub_cliente]]</f>
        <v>#VALUE!</v>
      </c>
      <c r="E766" t="e">
        <f>RigheOfferte[[#This Row],[cod.Art.]]</f>
        <v>#VALUE!</v>
      </c>
      <c r="F766" t="e">
        <f>RigheOfferte[[#This Row],[Descrizione]]</f>
        <v>#VALUE!</v>
      </c>
      <c r="G766" t="e">
        <f>RigheOfferte[[#This Row],[Q.ta'']]</f>
        <v>#VALUE!</v>
      </c>
      <c r="H766" t="e">
        <f>RigheOfferte[[#This Row],[Lavorazione]]</f>
        <v>#VALUE!</v>
      </c>
      <c r="I766" t="e">
        <f>RigheOfferte[[#This Row],[Colore]]</f>
        <v>#VALUE!</v>
      </c>
      <c r="J766" t="e">
        <f>RigheOfferte[[#This Row],[Velocità]]</f>
        <v>#VALUE!</v>
      </c>
      <c r="K766" t="e">
        <f>RigheOfferte[[#This Row],[Superf.pz Mq]]</f>
        <v>#VALUE!</v>
      </c>
      <c r="L766" t="e">
        <f>RigheOfferte[[#This Row],[passo]]</f>
        <v>#VALUE!</v>
      </c>
      <c r="M766" t="e">
        <f>RigheOfferte[[#This Row],[nr.pezzi Telaio]]</f>
        <v>#VALUE!</v>
      </c>
      <c r="N766" t="e">
        <f>RigheOfferte[[#This Row],[nr.pezzi ora-unita]]</f>
        <v>#VALUE!</v>
      </c>
      <c r="O766" t="e">
        <f>Tabella1[[#This Row],[superificie]]*Resa</f>
        <v>#VALUE!</v>
      </c>
      <c r="P766" t="e">
        <f>Tabella1[[#This Row],[KgPezzo]]*Tabella1[[#This Row],[q.ta offerta]]</f>
        <v>#VALUE!</v>
      </c>
      <c r="Q766" t="e">
        <f>RigheOfferte[[#This Row],[QtaProtez]]</f>
        <v>#VALUE!</v>
      </c>
      <c r="R766" t="e">
        <f>RigheOfferte[[#This Row],[Tipo Protezione]]</f>
        <v>#VALUE!</v>
      </c>
    </row>
    <row r="767" spans="1:18">
      <c r="A767" t="e">
        <f>RigheOfferte[[#This Row],[Nprev]]</f>
        <v>#VALUE!</v>
      </c>
      <c r="B767" t="e">
        <f>RigheOfferte[[#This Row],[Nriga]]</f>
        <v>#VALUE!</v>
      </c>
      <c r="C767" t="e">
        <f>RigheOfferte[[#This Row],[Cliente]]</f>
        <v>#VALUE!</v>
      </c>
      <c r="D767" t="e">
        <f>RigheOfferte[[#This Row],[sub_cliente]]</f>
        <v>#VALUE!</v>
      </c>
      <c r="E767" t="e">
        <f>RigheOfferte[[#This Row],[cod.Art.]]</f>
        <v>#VALUE!</v>
      </c>
      <c r="F767" t="e">
        <f>RigheOfferte[[#This Row],[Descrizione]]</f>
        <v>#VALUE!</v>
      </c>
      <c r="G767" t="e">
        <f>RigheOfferte[[#This Row],[Q.ta'']]</f>
        <v>#VALUE!</v>
      </c>
      <c r="H767" t="e">
        <f>RigheOfferte[[#This Row],[Lavorazione]]</f>
        <v>#VALUE!</v>
      </c>
      <c r="I767" t="e">
        <f>RigheOfferte[[#This Row],[Colore]]</f>
        <v>#VALUE!</v>
      </c>
      <c r="J767" t="e">
        <f>RigheOfferte[[#This Row],[Velocità]]</f>
        <v>#VALUE!</v>
      </c>
      <c r="K767" t="e">
        <f>RigheOfferte[[#This Row],[Superf.pz Mq]]</f>
        <v>#VALUE!</v>
      </c>
      <c r="L767" t="e">
        <f>RigheOfferte[[#This Row],[passo]]</f>
        <v>#VALUE!</v>
      </c>
      <c r="M767" t="e">
        <f>RigheOfferte[[#This Row],[nr.pezzi Telaio]]</f>
        <v>#VALUE!</v>
      </c>
      <c r="N767" t="e">
        <f>RigheOfferte[[#This Row],[nr.pezzi ora-unita]]</f>
        <v>#VALUE!</v>
      </c>
      <c r="O767" t="e">
        <f>Tabella1[[#This Row],[superificie]]*Resa</f>
        <v>#VALUE!</v>
      </c>
      <c r="P767" t="e">
        <f>Tabella1[[#This Row],[KgPezzo]]*Tabella1[[#This Row],[q.ta offerta]]</f>
        <v>#VALUE!</v>
      </c>
      <c r="Q767" t="e">
        <f>RigheOfferte[[#This Row],[QtaProtez]]</f>
        <v>#VALUE!</v>
      </c>
      <c r="R767" t="e">
        <f>RigheOfferte[[#This Row],[Tipo Protezione]]</f>
        <v>#VALUE!</v>
      </c>
    </row>
    <row r="768" spans="1:18">
      <c r="A768" t="e">
        <f>RigheOfferte[[#This Row],[Nprev]]</f>
        <v>#VALUE!</v>
      </c>
      <c r="B768" t="e">
        <f>RigheOfferte[[#This Row],[Nriga]]</f>
        <v>#VALUE!</v>
      </c>
      <c r="C768" t="e">
        <f>RigheOfferte[[#This Row],[Cliente]]</f>
        <v>#VALUE!</v>
      </c>
      <c r="D768" t="e">
        <f>RigheOfferte[[#This Row],[sub_cliente]]</f>
        <v>#VALUE!</v>
      </c>
      <c r="E768" t="e">
        <f>RigheOfferte[[#This Row],[cod.Art.]]</f>
        <v>#VALUE!</v>
      </c>
      <c r="F768" t="e">
        <f>RigheOfferte[[#This Row],[Descrizione]]</f>
        <v>#VALUE!</v>
      </c>
      <c r="G768" t="e">
        <f>RigheOfferte[[#This Row],[Q.ta'']]</f>
        <v>#VALUE!</v>
      </c>
      <c r="H768" t="e">
        <f>RigheOfferte[[#This Row],[Lavorazione]]</f>
        <v>#VALUE!</v>
      </c>
      <c r="I768" t="e">
        <f>RigheOfferte[[#This Row],[Colore]]</f>
        <v>#VALUE!</v>
      </c>
      <c r="J768" t="e">
        <f>RigheOfferte[[#This Row],[Velocità]]</f>
        <v>#VALUE!</v>
      </c>
      <c r="K768" t="e">
        <f>RigheOfferte[[#This Row],[Superf.pz Mq]]</f>
        <v>#VALUE!</v>
      </c>
      <c r="L768" t="e">
        <f>RigheOfferte[[#This Row],[passo]]</f>
        <v>#VALUE!</v>
      </c>
      <c r="M768" t="e">
        <f>RigheOfferte[[#This Row],[nr.pezzi Telaio]]</f>
        <v>#VALUE!</v>
      </c>
      <c r="N768" t="e">
        <f>RigheOfferte[[#This Row],[nr.pezzi ora-unita]]</f>
        <v>#VALUE!</v>
      </c>
      <c r="O768" t="e">
        <f>Tabella1[[#This Row],[superificie]]*Resa</f>
        <v>#VALUE!</v>
      </c>
      <c r="P768" t="e">
        <f>Tabella1[[#This Row],[KgPezzo]]*Tabella1[[#This Row],[q.ta offerta]]</f>
        <v>#VALUE!</v>
      </c>
      <c r="Q768" t="e">
        <f>RigheOfferte[[#This Row],[QtaProtez]]</f>
        <v>#VALUE!</v>
      </c>
      <c r="R768" t="e">
        <f>RigheOfferte[[#This Row],[Tipo Protezione]]</f>
        <v>#VALUE!</v>
      </c>
    </row>
    <row r="769" spans="1:18">
      <c r="A769" t="e">
        <f>RigheOfferte[[#This Row],[Nprev]]</f>
        <v>#VALUE!</v>
      </c>
      <c r="B769" t="e">
        <f>RigheOfferte[[#This Row],[Nriga]]</f>
        <v>#VALUE!</v>
      </c>
      <c r="C769" t="e">
        <f>RigheOfferte[[#This Row],[Cliente]]</f>
        <v>#VALUE!</v>
      </c>
      <c r="D769" t="e">
        <f>RigheOfferte[[#This Row],[sub_cliente]]</f>
        <v>#VALUE!</v>
      </c>
      <c r="E769" t="e">
        <f>RigheOfferte[[#This Row],[cod.Art.]]</f>
        <v>#VALUE!</v>
      </c>
      <c r="F769" t="e">
        <f>RigheOfferte[[#This Row],[Descrizione]]</f>
        <v>#VALUE!</v>
      </c>
      <c r="G769" t="e">
        <f>RigheOfferte[[#This Row],[Q.ta'']]</f>
        <v>#VALUE!</v>
      </c>
      <c r="H769" t="e">
        <f>RigheOfferte[[#This Row],[Lavorazione]]</f>
        <v>#VALUE!</v>
      </c>
      <c r="I769" t="e">
        <f>RigheOfferte[[#This Row],[Colore]]</f>
        <v>#VALUE!</v>
      </c>
      <c r="J769" t="e">
        <f>RigheOfferte[[#This Row],[Velocità]]</f>
        <v>#VALUE!</v>
      </c>
      <c r="K769" t="e">
        <f>RigheOfferte[[#This Row],[Superf.pz Mq]]</f>
        <v>#VALUE!</v>
      </c>
      <c r="L769" t="e">
        <f>RigheOfferte[[#This Row],[passo]]</f>
        <v>#VALUE!</v>
      </c>
      <c r="M769" t="e">
        <f>RigheOfferte[[#This Row],[nr.pezzi Telaio]]</f>
        <v>#VALUE!</v>
      </c>
      <c r="N769" t="e">
        <f>RigheOfferte[[#This Row],[nr.pezzi ora-unita]]</f>
        <v>#VALUE!</v>
      </c>
      <c r="O769" t="e">
        <f>Tabella1[[#This Row],[superificie]]*Resa</f>
        <v>#VALUE!</v>
      </c>
      <c r="P769" t="e">
        <f>Tabella1[[#This Row],[KgPezzo]]*Tabella1[[#This Row],[q.ta offerta]]</f>
        <v>#VALUE!</v>
      </c>
      <c r="Q769" t="e">
        <f>RigheOfferte[[#This Row],[QtaProtez]]</f>
        <v>#VALUE!</v>
      </c>
      <c r="R769" t="e">
        <f>RigheOfferte[[#This Row],[Tipo Protezione]]</f>
        <v>#VALUE!</v>
      </c>
    </row>
    <row r="770" spans="1:18">
      <c r="A770" t="e">
        <f>RigheOfferte[[#This Row],[Nprev]]</f>
        <v>#VALUE!</v>
      </c>
      <c r="B770" t="e">
        <f>RigheOfferte[[#This Row],[Nriga]]</f>
        <v>#VALUE!</v>
      </c>
      <c r="C770" t="e">
        <f>RigheOfferte[[#This Row],[Cliente]]</f>
        <v>#VALUE!</v>
      </c>
      <c r="D770" t="e">
        <f>RigheOfferte[[#This Row],[sub_cliente]]</f>
        <v>#VALUE!</v>
      </c>
      <c r="E770" t="e">
        <f>RigheOfferte[[#This Row],[cod.Art.]]</f>
        <v>#VALUE!</v>
      </c>
      <c r="F770" t="e">
        <f>RigheOfferte[[#This Row],[Descrizione]]</f>
        <v>#VALUE!</v>
      </c>
      <c r="G770" t="e">
        <f>RigheOfferte[[#This Row],[Q.ta'']]</f>
        <v>#VALUE!</v>
      </c>
      <c r="H770" t="e">
        <f>RigheOfferte[[#This Row],[Lavorazione]]</f>
        <v>#VALUE!</v>
      </c>
      <c r="I770" t="e">
        <f>RigheOfferte[[#This Row],[Colore]]</f>
        <v>#VALUE!</v>
      </c>
      <c r="J770" t="e">
        <f>RigheOfferte[[#This Row],[Velocità]]</f>
        <v>#VALUE!</v>
      </c>
      <c r="K770" t="e">
        <f>RigheOfferte[[#This Row],[Superf.pz Mq]]</f>
        <v>#VALUE!</v>
      </c>
      <c r="L770" t="e">
        <f>RigheOfferte[[#This Row],[passo]]</f>
        <v>#VALUE!</v>
      </c>
      <c r="M770" t="e">
        <f>RigheOfferte[[#This Row],[nr.pezzi Telaio]]</f>
        <v>#VALUE!</v>
      </c>
      <c r="N770" t="e">
        <f>RigheOfferte[[#This Row],[nr.pezzi ora-unita]]</f>
        <v>#VALUE!</v>
      </c>
      <c r="O770" t="e">
        <f>Tabella1[[#This Row],[superificie]]*Resa</f>
        <v>#VALUE!</v>
      </c>
      <c r="P770" t="e">
        <f>Tabella1[[#This Row],[KgPezzo]]*Tabella1[[#This Row],[q.ta offerta]]</f>
        <v>#VALUE!</v>
      </c>
      <c r="Q770" t="e">
        <f>RigheOfferte[[#This Row],[QtaProtez]]</f>
        <v>#VALUE!</v>
      </c>
      <c r="R770" t="e">
        <f>RigheOfferte[[#This Row],[Tipo Protezione]]</f>
        <v>#VALUE!</v>
      </c>
    </row>
    <row r="771" spans="1:18">
      <c r="A771" t="e">
        <f>RigheOfferte[[#This Row],[Nprev]]</f>
        <v>#VALUE!</v>
      </c>
      <c r="B771" t="e">
        <f>RigheOfferte[[#This Row],[Nriga]]</f>
        <v>#VALUE!</v>
      </c>
      <c r="C771" t="e">
        <f>RigheOfferte[[#This Row],[Cliente]]</f>
        <v>#VALUE!</v>
      </c>
      <c r="D771" t="e">
        <f>RigheOfferte[[#This Row],[sub_cliente]]</f>
        <v>#VALUE!</v>
      </c>
      <c r="E771" t="e">
        <f>RigheOfferte[[#This Row],[cod.Art.]]</f>
        <v>#VALUE!</v>
      </c>
      <c r="F771" t="e">
        <f>RigheOfferte[[#This Row],[Descrizione]]</f>
        <v>#VALUE!</v>
      </c>
      <c r="G771" t="e">
        <f>RigheOfferte[[#This Row],[Q.ta'']]</f>
        <v>#VALUE!</v>
      </c>
      <c r="H771" t="e">
        <f>RigheOfferte[[#This Row],[Lavorazione]]</f>
        <v>#VALUE!</v>
      </c>
      <c r="I771" t="e">
        <f>RigheOfferte[[#This Row],[Colore]]</f>
        <v>#VALUE!</v>
      </c>
      <c r="J771" t="e">
        <f>RigheOfferte[[#This Row],[Velocità]]</f>
        <v>#VALUE!</v>
      </c>
      <c r="K771" t="e">
        <f>RigheOfferte[[#This Row],[Superf.pz Mq]]</f>
        <v>#VALUE!</v>
      </c>
      <c r="L771" t="e">
        <f>RigheOfferte[[#This Row],[passo]]</f>
        <v>#VALUE!</v>
      </c>
      <c r="M771" t="e">
        <f>RigheOfferte[[#This Row],[nr.pezzi Telaio]]</f>
        <v>#VALUE!</v>
      </c>
      <c r="N771" t="e">
        <f>RigheOfferte[[#This Row],[nr.pezzi ora-unita]]</f>
        <v>#VALUE!</v>
      </c>
      <c r="O771" t="e">
        <f>Tabella1[[#This Row],[superificie]]*Resa</f>
        <v>#VALUE!</v>
      </c>
      <c r="P771" t="e">
        <f>Tabella1[[#This Row],[KgPezzo]]*Tabella1[[#This Row],[q.ta offerta]]</f>
        <v>#VALUE!</v>
      </c>
      <c r="Q771" t="e">
        <f>RigheOfferte[[#This Row],[QtaProtez]]</f>
        <v>#VALUE!</v>
      </c>
      <c r="R771" t="e">
        <f>RigheOfferte[[#This Row],[Tipo Protezione]]</f>
        <v>#VALUE!</v>
      </c>
    </row>
    <row r="772" spans="1:18">
      <c r="A772" t="e">
        <f>RigheOfferte[[#This Row],[Nprev]]</f>
        <v>#VALUE!</v>
      </c>
      <c r="B772" t="e">
        <f>RigheOfferte[[#This Row],[Nriga]]</f>
        <v>#VALUE!</v>
      </c>
      <c r="C772" t="e">
        <f>RigheOfferte[[#This Row],[Cliente]]</f>
        <v>#VALUE!</v>
      </c>
      <c r="D772" t="e">
        <f>RigheOfferte[[#This Row],[sub_cliente]]</f>
        <v>#VALUE!</v>
      </c>
      <c r="E772" t="e">
        <f>RigheOfferte[[#This Row],[cod.Art.]]</f>
        <v>#VALUE!</v>
      </c>
      <c r="F772" t="e">
        <f>RigheOfferte[[#This Row],[Descrizione]]</f>
        <v>#VALUE!</v>
      </c>
      <c r="G772" t="e">
        <f>RigheOfferte[[#This Row],[Q.ta'']]</f>
        <v>#VALUE!</v>
      </c>
      <c r="H772" t="e">
        <f>RigheOfferte[[#This Row],[Lavorazione]]</f>
        <v>#VALUE!</v>
      </c>
      <c r="I772" t="e">
        <f>RigheOfferte[[#This Row],[Colore]]</f>
        <v>#VALUE!</v>
      </c>
      <c r="J772" t="e">
        <f>RigheOfferte[[#This Row],[Velocità]]</f>
        <v>#VALUE!</v>
      </c>
      <c r="K772" t="e">
        <f>RigheOfferte[[#This Row],[Superf.pz Mq]]</f>
        <v>#VALUE!</v>
      </c>
      <c r="L772" t="e">
        <f>RigheOfferte[[#This Row],[passo]]</f>
        <v>#VALUE!</v>
      </c>
      <c r="M772" t="e">
        <f>RigheOfferte[[#This Row],[nr.pezzi Telaio]]</f>
        <v>#VALUE!</v>
      </c>
      <c r="N772" t="e">
        <f>RigheOfferte[[#This Row],[nr.pezzi ora-unita]]</f>
        <v>#VALUE!</v>
      </c>
      <c r="O772" t="e">
        <f>Tabella1[[#This Row],[superificie]]*Resa</f>
        <v>#VALUE!</v>
      </c>
      <c r="P772" t="e">
        <f>Tabella1[[#This Row],[KgPezzo]]*Tabella1[[#This Row],[q.ta offerta]]</f>
        <v>#VALUE!</v>
      </c>
      <c r="Q772" t="e">
        <f>RigheOfferte[[#This Row],[QtaProtez]]</f>
        <v>#VALUE!</v>
      </c>
      <c r="R772" t="e">
        <f>RigheOfferte[[#This Row],[Tipo Protezione]]</f>
        <v>#VALUE!</v>
      </c>
    </row>
    <row r="773" spans="1:18">
      <c r="A773" t="e">
        <f>RigheOfferte[[#This Row],[Nprev]]</f>
        <v>#VALUE!</v>
      </c>
      <c r="B773" t="e">
        <f>RigheOfferte[[#This Row],[Nriga]]</f>
        <v>#VALUE!</v>
      </c>
      <c r="C773" t="e">
        <f>RigheOfferte[[#This Row],[Cliente]]</f>
        <v>#VALUE!</v>
      </c>
      <c r="D773" t="e">
        <f>RigheOfferte[[#This Row],[sub_cliente]]</f>
        <v>#VALUE!</v>
      </c>
      <c r="E773" t="e">
        <f>RigheOfferte[[#This Row],[cod.Art.]]</f>
        <v>#VALUE!</v>
      </c>
      <c r="F773" t="e">
        <f>RigheOfferte[[#This Row],[Descrizione]]</f>
        <v>#VALUE!</v>
      </c>
      <c r="G773" t="e">
        <f>RigheOfferte[[#This Row],[Q.ta'']]</f>
        <v>#VALUE!</v>
      </c>
      <c r="H773" t="e">
        <f>RigheOfferte[[#This Row],[Lavorazione]]</f>
        <v>#VALUE!</v>
      </c>
      <c r="I773" t="e">
        <f>RigheOfferte[[#This Row],[Colore]]</f>
        <v>#VALUE!</v>
      </c>
      <c r="J773" t="e">
        <f>RigheOfferte[[#This Row],[Velocità]]</f>
        <v>#VALUE!</v>
      </c>
      <c r="K773" t="e">
        <f>RigheOfferte[[#This Row],[Superf.pz Mq]]</f>
        <v>#VALUE!</v>
      </c>
      <c r="L773" t="e">
        <f>RigheOfferte[[#This Row],[passo]]</f>
        <v>#VALUE!</v>
      </c>
      <c r="M773" t="e">
        <f>RigheOfferte[[#This Row],[nr.pezzi Telaio]]</f>
        <v>#VALUE!</v>
      </c>
      <c r="N773" t="e">
        <f>RigheOfferte[[#This Row],[nr.pezzi ora-unita]]</f>
        <v>#VALUE!</v>
      </c>
      <c r="O773" t="e">
        <f>Tabella1[[#This Row],[superificie]]*Resa</f>
        <v>#VALUE!</v>
      </c>
      <c r="P773" t="e">
        <f>Tabella1[[#This Row],[KgPezzo]]*Tabella1[[#This Row],[q.ta offerta]]</f>
        <v>#VALUE!</v>
      </c>
      <c r="Q773" t="e">
        <f>RigheOfferte[[#This Row],[QtaProtez]]</f>
        <v>#VALUE!</v>
      </c>
      <c r="R773" t="e">
        <f>RigheOfferte[[#This Row],[Tipo Protezione]]</f>
        <v>#VALUE!</v>
      </c>
    </row>
    <row r="774" spans="1:18">
      <c r="A774" t="e">
        <f>RigheOfferte[[#This Row],[Nprev]]</f>
        <v>#VALUE!</v>
      </c>
      <c r="B774" t="e">
        <f>RigheOfferte[[#This Row],[Nriga]]</f>
        <v>#VALUE!</v>
      </c>
      <c r="C774" t="e">
        <f>RigheOfferte[[#This Row],[Cliente]]</f>
        <v>#VALUE!</v>
      </c>
      <c r="D774" t="e">
        <f>RigheOfferte[[#This Row],[sub_cliente]]</f>
        <v>#VALUE!</v>
      </c>
      <c r="E774" t="e">
        <f>RigheOfferte[[#This Row],[cod.Art.]]</f>
        <v>#VALUE!</v>
      </c>
      <c r="F774" t="e">
        <f>RigheOfferte[[#This Row],[Descrizione]]</f>
        <v>#VALUE!</v>
      </c>
      <c r="G774" t="e">
        <f>RigheOfferte[[#This Row],[Q.ta'']]</f>
        <v>#VALUE!</v>
      </c>
      <c r="H774" t="e">
        <f>RigheOfferte[[#This Row],[Lavorazione]]</f>
        <v>#VALUE!</v>
      </c>
      <c r="I774" t="e">
        <f>RigheOfferte[[#This Row],[Colore]]</f>
        <v>#VALUE!</v>
      </c>
      <c r="J774" t="e">
        <f>RigheOfferte[[#This Row],[Velocità]]</f>
        <v>#VALUE!</v>
      </c>
      <c r="K774" t="e">
        <f>RigheOfferte[[#This Row],[Superf.pz Mq]]</f>
        <v>#VALUE!</v>
      </c>
      <c r="L774" t="e">
        <f>RigheOfferte[[#This Row],[passo]]</f>
        <v>#VALUE!</v>
      </c>
      <c r="M774" t="e">
        <f>RigheOfferte[[#This Row],[nr.pezzi Telaio]]</f>
        <v>#VALUE!</v>
      </c>
      <c r="N774" t="e">
        <f>RigheOfferte[[#This Row],[nr.pezzi ora-unita]]</f>
        <v>#VALUE!</v>
      </c>
      <c r="O774" t="e">
        <f>Tabella1[[#This Row],[superificie]]*Resa</f>
        <v>#VALUE!</v>
      </c>
      <c r="P774" t="e">
        <f>Tabella1[[#This Row],[KgPezzo]]*Tabella1[[#This Row],[q.ta offerta]]</f>
        <v>#VALUE!</v>
      </c>
      <c r="Q774" t="e">
        <f>RigheOfferte[[#This Row],[QtaProtez]]</f>
        <v>#VALUE!</v>
      </c>
      <c r="R774" t="e">
        <f>RigheOfferte[[#This Row],[Tipo Protezione]]</f>
        <v>#VALUE!</v>
      </c>
    </row>
    <row r="775" spans="1:18">
      <c r="A775" t="e">
        <f>RigheOfferte[[#This Row],[Nprev]]</f>
        <v>#VALUE!</v>
      </c>
      <c r="B775" t="e">
        <f>RigheOfferte[[#This Row],[Nriga]]</f>
        <v>#VALUE!</v>
      </c>
      <c r="C775" t="e">
        <f>RigheOfferte[[#This Row],[Cliente]]</f>
        <v>#VALUE!</v>
      </c>
      <c r="D775" t="e">
        <f>RigheOfferte[[#This Row],[sub_cliente]]</f>
        <v>#VALUE!</v>
      </c>
      <c r="E775" t="e">
        <f>RigheOfferte[[#This Row],[cod.Art.]]</f>
        <v>#VALUE!</v>
      </c>
      <c r="F775" t="e">
        <f>RigheOfferte[[#This Row],[Descrizione]]</f>
        <v>#VALUE!</v>
      </c>
      <c r="G775" t="e">
        <f>RigheOfferte[[#This Row],[Q.ta'']]</f>
        <v>#VALUE!</v>
      </c>
      <c r="H775" t="e">
        <f>RigheOfferte[[#This Row],[Lavorazione]]</f>
        <v>#VALUE!</v>
      </c>
      <c r="I775" t="e">
        <f>RigheOfferte[[#This Row],[Colore]]</f>
        <v>#VALUE!</v>
      </c>
      <c r="J775" t="e">
        <f>RigheOfferte[[#This Row],[Velocità]]</f>
        <v>#VALUE!</v>
      </c>
      <c r="K775" t="e">
        <f>RigheOfferte[[#This Row],[Superf.pz Mq]]</f>
        <v>#VALUE!</v>
      </c>
      <c r="L775" t="e">
        <f>RigheOfferte[[#This Row],[passo]]</f>
        <v>#VALUE!</v>
      </c>
      <c r="M775" t="e">
        <f>RigheOfferte[[#This Row],[nr.pezzi Telaio]]</f>
        <v>#VALUE!</v>
      </c>
      <c r="N775" t="e">
        <f>RigheOfferte[[#This Row],[nr.pezzi ora-unita]]</f>
        <v>#VALUE!</v>
      </c>
      <c r="O775" t="e">
        <f>Tabella1[[#This Row],[superificie]]*Resa</f>
        <v>#VALUE!</v>
      </c>
      <c r="P775" t="e">
        <f>Tabella1[[#This Row],[KgPezzo]]*Tabella1[[#This Row],[q.ta offerta]]</f>
        <v>#VALUE!</v>
      </c>
      <c r="Q775" t="e">
        <f>RigheOfferte[[#This Row],[QtaProtez]]</f>
        <v>#VALUE!</v>
      </c>
      <c r="R775" t="e">
        <f>RigheOfferte[[#This Row],[Tipo Protezione]]</f>
        <v>#VALUE!</v>
      </c>
    </row>
    <row r="776" spans="1:18">
      <c r="A776" t="e">
        <f>RigheOfferte[[#This Row],[Nprev]]</f>
        <v>#VALUE!</v>
      </c>
      <c r="B776" t="e">
        <f>RigheOfferte[[#This Row],[Nriga]]</f>
        <v>#VALUE!</v>
      </c>
      <c r="C776" t="e">
        <f>RigheOfferte[[#This Row],[Cliente]]</f>
        <v>#VALUE!</v>
      </c>
      <c r="D776" t="e">
        <f>RigheOfferte[[#This Row],[sub_cliente]]</f>
        <v>#VALUE!</v>
      </c>
      <c r="E776" t="e">
        <f>RigheOfferte[[#This Row],[cod.Art.]]</f>
        <v>#VALUE!</v>
      </c>
      <c r="F776" t="e">
        <f>RigheOfferte[[#This Row],[Descrizione]]</f>
        <v>#VALUE!</v>
      </c>
      <c r="G776" t="e">
        <f>RigheOfferte[[#This Row],[Q.ta'']]</f>
        <v>#VALUE!</v>
      </c>
      <c r="H776" t="e">
        <f>RigheOfferte[[#This Row],[Lavorazione]]</f>
        <v>#VALUE!</v>
      </c>
      <c r="I776" t="e">
        <f>RigheOfferte[[#This Row],[Colore]]</f>
        <v>#VALUE!</v>
      </c>
      <c r="J776" t="e">
        <f>RigheOfferte[[#This Row],[Velocità]]</f>
        <v>#VALUE!</v>
      </c>
      <c r="K776" t="e">
        <f>RigheOfferte[[#This Row],[Superf.pz Mq]]</f>
        <v>#VALUE!</v>
      </c>
      <c r="L776" t="e">
        <f>RigheOfferte[[#This Row],[passo]]</f>
        <v>#VALUE!</v>
      </c>
      <c r="M776" t="e">
        <f>RigheOfferte[[#This Row],[nr.pezzi Telaio]]</f>
        <v>#VALUE!</v>
      </c>
      <c r="N776" t="e">
        <f>RigheOfferte[[#This Row],[nr.pezzi ora-unita]]</f>
        <v>#VALUE!</v>
      </c>
      <c r="O776" t="e">
        <f>Tabella1[[#This Row],[superificie]]*Resa</f>
        <v>#VALUE!</v>
      </c>
      <c r="P776" t="e">
        <f>Tabella1[[#This Row],[KgPezzo]]*Tabella1[[#This Row],[q.ta offerta]]</f>
        <v>#VALUE!</v>
      </c>
      <c r="Q776" t="e">
        <f>RigheOfferte[[#This Row],[QtaProtez]]</f>
        <v>#VALUE!</v>
      </c>
      <c r="R776" t="e">
        <f>RigheOfferte[[#This Row],[Tipo Protezione]]</f>
        <v>#VALUE!</v>
      </c>
    </row>
    <row r="777" spans="1:18">
      <c r="A777" t="e">
        <f>RigheOfferte[[#This Row],[Nprev]]</f>
        <v>#VALUE!</v>
      </c>
      <c r="B777" t="e">
        <f>RigheOfferte[[#This Row],[Nriga]]</f>
        <v>#VALUE!</v>
      </c>
      <c r="C777" t="e">
        <f>RigheOfferte[[#This Row],[Cliente]]</f>
        <v>#VALUE!</v>
      </c>
      <c r="D777" t="e">
        <f>RigheOfferte[[#This Row],[sub_cliente]]</f>
        <v>#VALUE!</v>
      </c>
      <c r="E777" t="e">
        <f>RigheOfferte[[#This Row],[cod.Art.]]</f>
        <v>#VALUE!</v>
      </c>
      <c r="F777" t="e">
        <f>RigheOfferte[[#This Row],[Descrizione]]</f>
        <v>#VALUE!</v>
      </c>
      <c r="G777" t="e">
        <f>RigheOfferte[[#This Row],[Q.ta'']]</f>
        <v>#VALUE!</v>
      </c>
      <c r="H777" t="e">
        <f>RigheOfferte[[#This Row],[Lavorazione]]</f>
        <v>#VALUE!</v>
      </c>
      <c r="I777" t="e">
        <f>RigheOfferte[[#This Row],[Colore]]</f>
        <v>#VALUE!</v>
      </c>
      <c r="J777" t="e">
        <f>RigheOfferte[[#This Row],[Velocità]]</f>
        <v>#VALUE!</v>
      </c>
      <c r="K777" t="e">
        <f>RigheOfferte[[#This Row],[Superf.pz Mq]]</f>
        <v>#VALUE!</v>
      </c>
      <c r="L777" t="e">
        <f>RigheOfferte[[#This Row],[passo]]</f>
        <v>#VALUE!</v>
      </c>
      <c r="M777" t="e">
        <f>RigheOfferte[[#This Row],[nr.pezzi Telaio]]</f>
        <v>#VALUE!</v>
      </c>
      <c r="N777" t="e">
        <f>RigheOfferte[[#This Row],[nr.pezzi ora-unita]]</f>
        <v>#VALUE!</v>
      </c>
      <c r="O777" t="e">
        <f>Tabella1[[#This Row],[superificie]]*Resa</f>
        <v>#VALUE!</v>
      </c>
      <c r="P777" t="e">
        <f>Tabella1[[#This Row],[KgPezzo]]*Tabella1[[#This Row],[q.ta offerta]]</f>
        <v>#VALUE!</v>
      </c>
      <c r="Q777" t="e">
        <f>RigheOfferte[[#This Row],[QtaProtez]]</f>
        <v>#VALUE!</v>
      </c>
      <c r="R777" t="e">
        <f>RigheOfferte[[#This Row],[Tipo Protezione]]</f>
        <v>#VALUE!</v>
      </c>
    </row>
    <row r="778" spans="1:18">
      <c r="A778" t="e">
        <f>RigheOfferte[[#This Row],[Nprev]]</f>
        <v>#VALUE!</v>
      </c>
      <c r="B778" t="e">
        <f>RigheOfferte[[#This Row],[Nriga]]</f>
        <v>#VALUE!</v>
      </c>
      <c r="C778" t="e">
        <f>RigheOfferte[[#This Row],[Cliente]]</f>
        <v>#VALUE!</v>
      </c>
      <c r="D778" t="e">
        <f>RigheOfferte[[#This Row],[sub_cliente]]</f>
        <v>#VALUE!</v>
      </c>
      <c r="E778" t="e">
        <f>RigheOfferte[[#This Row],[cod.Art.]]</f>
        <v>#VALUE!</v>
      </c>
      <c r="F778" t="e">
        <f>RigheOfferte[[#This Row],[Descrizione]]</f>
        <v>#VALUE!</v>
      </c>
      <c r="G778" t="e">
        <f>RigheOfferte[[#This Row],[Q.ta'']]</f>
        <v>#VALUE!</v>
      </c>
      <c r="H778" t="e">
        <f>RigheOfferte[[#This Row],[Lavorazione]]</f>
        <v>#VALUE!</v>
      </c>
      <c r="I778" t="e">
        <f>RigheOfferte[[#This Row],[Colore]]</f>
        <v>#VALUE!</v>
      </c>
      <c r="J778" t="e">
        <f>RigheOfferte[[#This Row],[Velocità]]</f>
        <v>#VALUE!</v>
      </c>
      <c r="K778" t="e">
        <f>RigheOfferte[[#This Row],[Superf.pz Mq]]</f>
        <v>#VALUE!</v>
      </c>
      <c r="L778" t="e">
        <f>RigheOfferte[[#This Row],[passo]]</f>
        <v>#VALUE!</v>
      </c>
      <c r="M778" t="e">
        <f>RigheOfferte[[#This Row],[nr.pezzi Telaio]]</f>
        <v>#VALUE!</v>
      </c>
      <c r="N778" t="e">
        <f>RigheOfferte[[#This Row],[nr.pezzi ora-unita]]</f>
        <v>#VALUE!</v>
      </c>
      <c r="O778" t="e">
        <f>Tabella1[[#This Row],[superificie]]*Resa</f>
        <v>#VALUE!</v>
      </c>
      <c r="P778" t="e">
        <f>Tabella1[[#This Row],[KgPezzo]]*Tabella1[[#This Row],[q.ta offerta]]</f>
        <v>#VALUE!</v>
      </c>
      <c r="Q778" t="e">
        <f>RigheOfferte[[#This Row],[QtaProtez]]</f>
        <v>#VALUE!</v>
      </c>
      <c r="R778" t="e">
        <f>RigheOfferte[[#This Row],[Tipo Protezione]]</f>
        <v>#VALUE!</v>
      </c>
    </row>
    <row r="779" spans="1:18">
      <c r="A779" t="e">
        <f>RigheOfferte[[#This Row],[Nprev]]</f>
        <v>#VALUE!</v>
      </c>
      <c r="B779" t="e">
        <f>RigheOfferte[[#This Row],[Nriga]]</f>
        <v>#VALUE!</v>
      </c>
      <c r="C779" t="e">
        <f>RigheOfferte[[#This Row],[Cliente]]</f>
        <v>#VALUE!</v>
      </c>
      <c r="D779" t="e">
        <f>RigheOfferte[[#This Row],[sub_cliente]]</f>
        <v>#VALUE!</v>
      </c>
      <c r="E779" t="e">
        <f>RigheOfferte[[#This Row],[cod.Art.]]</f>
        <v>#VALUE!</v>
      </c>
      <c r="F779" t="e">
        <f>RigheOfferte[[#This Row],[Descrizione]]</f>
        <v>#VALUE!</v>
      </c>
      <c r="G779" t="e">
        <f>RigheOfferte[[#This Row],[Q.ta'']]</f>
        <v>#VALUE!</v>
      </c>
      <c r="H779" t="e">
        <f>RigheOfferte[[#This Row],[Lavorazione]]</f>
        <v>#VALUE!</v>
      </c>
      <c r="I779" t="e">
        <f>RigheOfferte[[#This Row],[Colore]]</f>
        <v>#VALUE!</v>
      </c>
      <c r="J779" t="e">
        <f>RigheOfferte[[#This Row],[Velocità]]</f>
        <v>#VALUE!</v>
      </c>
      <c r="K779" t="e">
        <f>RigheOfferte[[#This Row],[Superf.pz Mq]]</f>
        <v>#VALUE!</v>
      </c>
      <c r="L779" t="e">
        <f>RigheOfferte[[#This Row],[passo]]</f>
        <v>#VALUE!</v>
      </c>
      <c r="M779" t="e">
        <f>RigheOfferte[[#This Row],[nr.pezzi Telaio]]</f>
        <v>#VALUE!</v>
      </c>
      <c r="N779" t="e">
        <f>RigheOfferte[[#This Row],[nr.pezzi ora-unita]]</f>
        <v>#VALUE!</v>
      </c>
      <c r="O779" t="e">
        <f>Tabella1[[#This Row],[superificie]]*Resa</f>
        <v>#VALUE!</v>
      </c>
      <c r="P779" t="e">
        <f>Tabella1[[#This Row],[KgPezzo]]*Tabella1[[#This Row],[q.ta offerta]]</f>
        <v>#VALUE!</v>
      </c>
      <c r="Q779" t="e">
        <f>RigheOfferte[[#This Row],[QtaProtez]]</f>
        <v>#VALUE!</v>
      </c>
      <c r="R779" t="e">
        <f>RigheOfferte[[#This Row],[Tipo Protezione]]</f>
        <v>#VALUE!</v>
      </c>
    </row>
    <row r="780" spans="1:18">
      <c r="A780" t="e">
        <f>RigheOfferte[[#This Row],[Nprev]]</f>
        <v>#VALUE!</v>
      </c>
      <c r="B780" t="e">
        <f>RigheOfferte[[#This Row],[Nriga]]</f>
        <v>#VALUE!</v>
      </c>
      <c r="C780" t="e">
        <f>RigheOfferte[[#This Row],[Cliente]]</f>
        <v>#VALUE!</v>
      </c>
      <c r="D780" t="e">
        <f>RigheOfferte[[#This Row],[sub_cliente]]</f>
        <v>#VALUE!</v>
      </c>
      <c r="E780" t="e">
        <f>RigheOfferte[[#This Row],[cod.Art.]]</f>
        <v>#VALUE!</v>
      </c>
      <c r="F780" t="e">
        <f>RigheOfferte[[#This Row],[Descrizione]]</f>
        <v>#VALUE!</v>
      </c>
      <c r="G780" t="e">
        <f>RigheOfferte[[#This Row],[Q.ta'']]</f>
        <v>#VALUE!</v>
      </c>
      <c r="H780" t="e">
        <f>RigheOfferte[[#This Row],[Lavorazione]]</f>
        <v>#VALUE!</v>
      </c>
      <c r="I780" t="e">
        <f>RigheOfferte[[#This Row],[Colore]]</f>
        <v>#VALUE!</v>
      </c>
      <c r="J780" t="e">
        <f>RigheOfferte[[#This Row],[Velocità]]</f>
        <v>#VALUE!</v>
      </c>
      <c r="K780" t="e">
        <f>RigheOfferte[[#This Row],[Superf.pz Mq]]</f>
        <v>#VALUE!</v>
      </c>
      <c r="L780" t="e">
        <f>RigheOfferte[[#This Row],[passo]]</f>
        <v>#VALUE!</v>
      </c>
      <c r="M780" t="e">
        <f>RigheOfferte[[#This Row],[nr.pezzi Telaio]]</f>
        <v>#VALUE!</v>
      </c>
      <c r="N780" t="e">
        <f>RigheOfferte[[#This Row],[nr.pezzi ora-unita]]</f>
        <v>#VALUE!</v>
      </c>
      <c r="O780" t="e">
        <f>Tabella1[[#This Row],[superificie]]*Resa</f>
        <v>#VALUE!</v>
      </c>
      <c r="P780" t="e">
        <f>Tabella1[[#This Row],[KgPezzo]]*Tabella1[[#This Row],[q.ta offerta]]</f>
        <v>#VALUE!</v>
      </c>
      <c r="Q780" t="e">
        <f>RigheOfferte[[#This Row],[QtaProtez]]</f>
        <v>#VALUE!</v>
      </c>
      <c r="R780" t="e">
        <f>RigheOfferte[[#This Row],[Tipo Protezione]]</f>
        <v>#VALUE!</v>
      </c>
    </row>
    <row r="781" spans="1:18">
      <c r="A781" t="e">
        <f>RigheOfferte[[#This Row],[Nprev]]</f>
        <v>#VALUE!</v>
      </c>
      <c r="B781" t="e">
        <f>RigheOfferte[[#This Row],[Nriga]]</f>
        <v>#VALUE!</v>
      </c>
      <c r="C781" t="e">
        <f>RigheOfferte[[#This Row],[Cliente]]</f>
        <v>#VALUE!</v>
      </c>
      <c r="D781" t="e">
        <f>RigheOfferte[[#This Row],[sub_cliente]]</f>
        <v>#VALUE!</v>
      </c>
      <c r="E781" t="e">
        <f>RigheOfferte[[#This Row],[cod.Art.]]</f>
        <v>#VALUE!</v>
      </c>
      <c r="F781" t="e">
        <f>RigheOfferte[[#This Row],[Descrizione]]</f>
        <v>#VALUE!</v>
      </c>
      <c r="G781" t="e">
        <f>RigheOfferte[[#This Row],[Q.ta'']]</f>
        <v>#VALUE!</v>
      </c>
      <c r="H781" t="e">
        <f>RigheOfferte[[#This Row],[Lavorazione]]</f>
        <v>#VALUE!</v>
      </c>
      <c r="I781" t="e">
        <f>RigheOfferte[[#This Row],[Colore]]</f>
        <v>#VALUE!</v>
      </c>
      <c r="J781" t="e">
        <f>RigheOfferte[[#This Row],[Velocità]]</f>
        <v>#VALUE!</v>
      </c>
      <c r="K781" t="e">
        <f>RigheOfferte[[#This Row],[Superf.pz Mq]]</f>
        <v>#VALUE!</v>
      </c>
      <c r="L781" t="e">
        <f>RigheOfferte[[#This Row],[passo]]</f>
        <v>#VALUE!</v>
      </c>
      <c r="M781" t="e">
        <f>RigheOfferte[[#This Row],[nr.pezzi Telaio]]</f>
        <v>#VALUE!</v>
      </c>
      <c r="N781" t="e">
        <f>RigheOfferte[[#This Row],[nr.pezzi ora-unita]]</f>
        <v>#VALUE!</v>
      </c>
      <c r="O781" t="e">
        <f>Tabella1[[#This Row],[superificie]]*Resa</f>
        <v>#VALUE!</v>
      </c>
      <c r="P781" t="e">
        <f>Tabella1[[#This Row],[KgPezzo]]*Tabella1[[#This Row],[q.ta offerta]]</f>
        <v>#VALUE!</v>
      </c>
      <c r="Q781" t="e">
        <f>RigheOfferte[[#This Row],[QtaProtez]]</f>
        <v>#VALUE!</v>
      </c>
      <c r="R781" t="e">
        <f>RigheOfferte[[#This Row],[Tipo Protezione]]</f>
        <v>#VALUE!</v>
      </c>
    </row>
    <row r="782" spans="1:18">
      <c r="A782" t="e">
        <f>RigheOfferte[[#This Row],[Nprev]]</f>
        <v>#VALUE!</v>
      </c>
      <c r="B782" t="e">
        <f>RigheOfferte[[#This Row],[Nriga]]</f>
        <v>#VALUE!</v>
      </c>
      <c r="C782" t="e">
        <f>RigheOfferte[[#This Row],[Cliente]]</f>
        <v>#VALUE!</v>
      </c>
      <c r="D782" t="e">
        <f>RigheOfferte[[#This Row],[sub_cliente]]</f>
        <v>#VALUE!</v>
      </c>
      <c r="E782" t="e">
        <f>RigheOfferte[[#This Row],[cod.Art.]]</f>
        <v>#VALUE!</v>
      </c>
      <c r="F782" t="e">
        <f>RigheOfferte[[#This Row],[Descrizione]]</f>
        <v>#VALUE!</v>
      </c>
      <c r="G782" t="e">
        <f>RigheOfferte[[#This Row],[Q.ta'']]</f>
        <v>#VALUE!</v>
      </c>
      <c r="H782" t="e">
        <f>RigheOfferte[[#This Row],[Lavorazione]]</f>
        <v>#VALUE!</v>
      </c>
      <c r="I782" t="e">
        <f>RigheOfferte[[#This Row],[Colore]]</f>
        <v>#VALUE!</v>
      </c>
      <c r="J782" t="e">
        <f>RigheOfferte[[#This Row],[Velocità]]</f>
        <v>#VALUE!</v>
      </c>
      <c r="K782" t="e">
        <f>RigheOfferte[[#This Row],[Superf.pz Mq]]</f>
        <v>#VALUE!</v>
      </c>
      <c r="L782" t="e">
        <f>RigheOfferte[[#This Row],[passo]]</f>
        <v>#VALUE!</v>
      </c>
      <c r="M782" t="e">
        <f>RigheOfferte[[#This Row],[nr.pezzi Telaio]]</f>
        <v>#VALUE!</v>
      </c>
      <c r="N782" t="e">
        <f>RigheOfferte[[#This Row],[nr.pezzi ora-unita]]</f>
        <v>#VALUE!</v>
      </c>
      <c r="O782" t="e">
        <f>Tabella1[[#This Row],[superificie]]*Resa</f>
        <v>#VALUE!</v>
      </c>
      <c r="P782" t="e">
        <f>Tabella1[[#This Row],[KgPezzo]]*Tabella1[[#This Row],[q.ta offerta]]</f>
        <v>#VALUE!</v>
      </c>
      <c r="Q782" t="e">
        <f>RigheOfferte[[#This Row],[QtaProtez]]</f>
        <v>#VALUE!</v>
      </c>
      <c r="R782" t="e">
        <f>RigheOfferte[[#This Row],[Tipo Protezione]]</f>
        <v>#VALUE!</v>
      </c>
    </row>
    <row r="783" spans="1:18">
      <c r="A783" t="e">
        <f>RigheOfferte[[#This Row],[Nprev]]</f>
        <v>#VALUE!</v>
      </c>
      <c r="B783" t="e">
        <f>RigheOfferte[[#This Row],[Nriga]]</f>
        <v>#VALUE!</v>
      </c>
      <c r="C783" t="e">
        <f>RigheOfferte[[#This Row],[Cliente]]</f>
        <v>#VALUE!</v>
      </c>
      <c r="D783" t="e">
        <f>RigheOfferte[[#This Row],[sub_cliente]]</f>
        <v>#VALUE!</v>
      </c>
      <c r="E783" t="e">
        <f>RigheOfferte[[#This Row],[cod.Art.]]</f>
        <v>#VALUE!</v>
      </c>
      <c r="F783" t="e">
        <f>RigheOfferte[[#This Row],[Descrizione]]</f>
        <v>#VALUE!</v>
      </c>
      <c r="G783" t="e">
        <f>RigheOfferte[[#This Row],[Q.ta'']]</f>
        <v>#VALUE!</v>
      </c>
      <c r="H783" t="e">
        <f>RigheOfferte[[#This Row],[Lavorazione]]</f>
        <v>#VALUE!</v>
      </c>
      <c r="I783" t="e">
        <f>RigheOfferte[[#This Row],[Colore]]</f>
        <v>#VALUE!</v>
      </c>
      <c r="J783" t="e">
        <f>RigheOfferte[[#This Row],[Velocità]]</f>
        <v>#VALUE!</v>
      </c>
      <c r="K783" t="e">
        <f>RigheOfferte[[#This Row],[Superf.pz Mq]]</f>
        <v>#VALUE!</v>
      </c>
      <c r="L783" t="e">
        <f>RigheOfferte[[#This Row],[passo]]</f>
        <v>#VALUE!</v>
      </c>
      <c r="M783" t="e">
        <f>RigheOfferte[[#This Row],[nr.pezzi Telaio]]</f>
        <v>#VALUE!</v>
      </c>
      <c r="N783" t="e">
        <f>RigheOfferte[[#This Row],[nr.pezzi ora-unita]]</f>
        <v>#VALUE!</v>
      </c>
      <c r="O783" t="e">
        <f>Tabella1[[#This Row],[superificie]]*Resa</f>
        <v>#VALUE!</v>
      </c>
      <c r="P783" t="e">
        <f>Tabella1[[#This Row],[KgPezzo]]*Tabella1[[#This Row],[q.ta offerta]]</f>
        <v>#VALUE!</v>
      </c>
      <c r="Q783" t="e">
        <f>RigheOfferte[[#This Row],[QtaProtez]]</f>
        <v>#VALUE!</v>
      </c>
      <c r="R783" t="e">
        <f>RigheOfferte[[#This Row],[Tipo Protezione]]</f>
        <v>#VALUE!</v>
      </c>
    </row>
    <row r="784" spans="1:18">
      <c r="A784" t="e">
        <f>RigheOfferte[[#This Row],[Nprev]]</f>
        <v>#VALUE!</v>
      </c>
      <c r="B784" t="e">
        <f>RigheOfferte[[#This Row],[Nriga]]</f>
        <v>#VALUE!</v>
      </c>
      <c r="C784" t="e">
        <f>RigheOfferte[[#This Row],[Cliente]]</f>
        <v>#VALUE!</v>
      </c>
      <c r="D784" t="e">
        <f>RigheOfferte[[#This Row],[sub_cliente]]</f>
        <v>#VALUE!</v>
      </c>
      <c r="E784" t="e">
        <f>RigheOfferte[[#This Row],[cod.Art.]]</f>
        <v>#VALUE!</v>
      </c>
      <c r="F784" t="e">
        <f>RigheOfferte[[#This Row],[Descrizione]]</f>
        <v>#VALUE!</v>
      </c>
      <c r="G784" t="e">
        <f>RigheOfferte[[#This Row],[Q.ta'']]</f>
        <v>#VALUE!</v>
      </c>
      <c r="H784" t="e">
        <f>RigheOfferte[[#This Row],[Lavorazione]]</f>
        <v>#VALUE!</v>
      </c>
      <c r="I784" t="e">
        <f>RigheOfferte[[#This Row],[Colore]]</f>
        <v>#VALUE!</v>
      </c>
      <c r="J784" t="e">
        <f>RigheOfferte[[#This Row],[Velocità]]</f>
        <v>#VALUE!</v>
      </c>
      <c r="K784" t="e">
        <f>RigheOfferte[[#This Row],[Superf.pz Mq]]</f>
        <v>#VALUE!</v>
      </c>
      <c r="L784" t="e">
        <f>RigheOfferte[[#This Row],[passo]]</f>
        <v>#VALUE!</v>
      </c>
      <c r="M784" t="e">
        <f>RigheOfferte[[#This Row],[nr.pezzi Telaio]]</f>
        <v>#VALUE!</v>
      </c>
      <c r="N784" t="e">
        <f>RigheOfferte[[#This Row],[nr.pezzi ora-unita]]</f>
        <v>#VALUE!</v>
      </c>
      <c r="O784" t="e">
        <f>Tabella1[[#This Row],[superificie]]*Resa</f>
        <v>#VALUE!</v>
      </c>
      <c r="P784" t="e">
        <f>Tabella1[[#This Row],[KgPezzo]]*Tabella1[[#This Row],[q.ta offerta]]</f>
        <v>#VALUE!</v>
      </c>
      <c r="Q784" t="e">
        <f>RigheOfferte[[#This Row],[QtaProtez]]</f>
        <v>#VALUE!</v>
      </c>
      <c r="R784" t="e">
        <f>RigheOfferte[[#This Row],[Tipo Protezione]]</f>
        <v>#VALUE!</v>
      </c>
    </row>
    <row r="785" spans="1:18">
      <c r="A785" t="e">
        <f>RigheOfferte[[#This Row],[Nprev]]</f>
        <v>#VALUE!</v>
      </c>
      <c r="B785" t="e">
        <f>RigheOfferte[[#This Row],[Nriga]]</f>
        <v>#VALUE!</v>
      </c>
      <c r="C785" t="e">
        <f>RigheOfferte[[#This Row],[Cliente]]</f>
        <v>#VALUE!</v>
      </c>
      <c r="D785" t="e">
        <f>RigheOfferte[[#This Row],[sub_cliente]]</f>
        <v>#VALUE!</v>
      </c>
      <c r="E785" t="e">
        <f>RigheOfferte[[#This Row],[cod.Art.]]</f>
        <v>#VALUE!</v>
      </c>
      <c r="F785" t="e">
        <f>RigheOfferte[[#This Row],[Descrizione]]</f>
        <v>#VALUE!</v>
      </c>
      <c r="G785" t="e">
        <f>RigheOfferte[[#This Row],[Q.ta'']]</f>
        <v>#VALUE!</v>
      </c>
      <c r="H785" t="e">
        <f>RigheOfferte[[#This Row],[Lavorazione]]</f>
        <v>#VALUE!</v>
      </c>
      <c r="I785" t="e">
        <f>RigheOfferte[[#This Row],[Colore]]</f>
        <v>#VALUE!</v>
      </c>
      <c r="J785" t="e">
        <f>RigheOfferte[[#This Row],[Velocità]]</f>
        <v>#VALUE!</v>
      </c>
      <c r="K785" t="e">
        <f>RigheOfferte[[#This Row],[Superf.pz Mq]]</f>
        <v>#VALUE!</v>
      </c>
      <c r="L785" t="e">
        <f>RigheOfferte[[#This Row],[passo]]</f>
        <v>#VALUE!</v>
      </c>
      <c r="M785" t="e">
        <f>RigheOfferte[[#This Row],[nr.pezzi Telaio]]</f>
        <v>#VALUE!</v>
      </c>
      <c r="N785" t="e">
        <f>RigheOfferte[[#This Row],[nr.pezzi ora-unita]]</f>
        <v>#VALUE!</v>
      </c>
      <c r="O785" t="e">
        <f>Tabella1[[#This Row],[superificie]]*Resa</f>
        <v>#VALUE!</v>
      </c>
      <c r="P785" t="e">
        <f>Tabella1[[#This Row],[KgPezzo]]*Tabella1[[#This Row],[q.ta offerta]]</f>
        <v>#VALUE!</v>
      </c>
      <c r="Q785" t="e">
        <f>RigheOfferte[[#This Row],[QtaProtez]]</f>
        <v>#VALUE!</v>
      </c>
      <c r="R785" t="e">
        <f>RigheOfferte[[#This Row],[Tipo Protezione]]</f>
        <v>#VALUE!</v>
      </c>
    </row>
    <row r="786" spans="1:18">
      <c r="A786" t="e">
        <f>RigheOfferte[[#This Row],[Nprev]]</f>
        <v>#VALUE!</v>
      </c>
      <c r="B786" t="e">
        <f>RigheOfferte[[#This Row],[Nriga]]</f>
        <v>#VALUE!</v>
      </c>
      <c r="C786" t="e">
        <f>RigheOfferte[[#This Row],[Cliente]]</f>
        <v>#VALUE!</v>
      </c>
      <c r="D786" t="e">
        <f>RigheOfferte[[#This Row],[sub_cliente]]</f>
        <v>#VALUE!</v>
      </c>
      <c r="E786" t="e">
        <f>RigheOfferte[[#This Row],[cod.Art.]]</f>
        <v>#VALUE!</v>
      </c>
      <c r="F786" t="e">
        <f>RigheOfferte[[#This Row],[Descrizione]]</f>
        <v>#VALUE!</v>
      </c>
      <c r="G786" t="e">
        <f>RigheOfferte[[#This Row],[Q.ta'']]</f>
        <v>#VALUE!</v>
      </c>
      <c r="H786" t="e">
        <f>RigheOfferte[[#This Row],[Lavorazione]]</f>
        <v>#VALUE!</v>
      </c>
      <c r="I786" t="e">
        <f>RigheOfferte[[#This Row],[Colore]]</f>
        <v>#VALUE!</v>
      </c>
      <c r="J786" t="e">
        <f>RigheOfferte[[#This Row],[Velocità]]</f>
        <v>#VALUE!</v>
      </c>
      <c r="K786" t="e">
        <f>RigheOfferte[[#This Row],[Superf.pz Mq]]</f>
        <v>#VALUE!</v>
      </c>
      <c r="L786" t="e">
        <f>RigheOfferte[[#This Row],[passo]]</f>
        <v>#VALUE!</v>
      </c>
      <c r="M786" t="e">
        <f>RigheOfferte[[#This Row],[nr.pezzi Telaio]]</f>
        <v>#VALUE!</v>
      </c>
      <c r="N786" t="e">
        <f>RigheOfferte[[#This Row],[nr.pezzi ora-unita]]</f>
        <v>#VALUE!</v>
      </c>
      <c r="O786" t="e">
        <f>Tabella1[[#This Row],[superificie]]*Resa</f>
        <v>#VALUE!</v>
      </c>
      <c r="P786" t="e">
        <f>Tabella1[[#This Row],[KgPezzo]]*Tabella1[[#This Row],[q.ta offerta]]</f>
        <v>#VALUE!</v>
      </c>
      <c r="Q786" t="e">
        <f>RigheOfferte[[#This Row],[QtaProtez]]</f>
        <v>#VALUE!</v>
      </c>
      <c r="R786" t="e">
        <f>RigheOfferte[[#This Row],[Tipo Protezione]]</f>
        <v>#VALUE!</v>
      </c>
    </row>
    <row r="787" spans="1:18">
      <c r="A787" t="e">
        <f>RigheOfferte[[#This Row],[Nprev]]</f>
        <v>#VALUE!</v>
      </c>
      <c r="B787" t="e">
        <f>RigheOfferte[[#This Row],[Nriga]]</f>
        <v>#VALUE!</v>
      </c>
      <c r="C787" t="e">
        <f>RigheOfferte[[#This Row],[Cliente]]</f>
        <v>#VALUE!</v>
      </c>
      <c r="D787" t="e">
        <f>RigheOfferte[[#This Row],[sub_cliente]]</f>
        <v>#VALUE!</v>
      </c>
      <c r="E787" t="e">
        <f>RigheOfferte[[#This Row],[cod.Art.]]</f>
        <v>#VALUE!</v>
      </c>
      <c r="F787" t="e">
        <f>RigheOfferte[[#This Row],[Descrizione]]</f>
        <v>#VALUE!</v>
      </c>
      <c r="G787" t="e">
        <f>RigheOfferte[[#This Row],[Q.ta'']]</f>
        <v>#VALUE!</v>
      </c>
      <c r="H787" t="e">
        <f>RigheOfferte[[#This Row],[Lavorazione]]</f>
        <v>#VALUE!</v>
      </c>
      <c r="I787" t="e">
        <f>RigheOfferte[[#This Row],[Colore]]</f>
        <v>#VALUE!</v>
      </c>
      <c r="J787" t="e">
        <f>RigheOfferte[[#This Row],[Velocità]]</f>
        <v>#VALUE!</v>
      </c>
      <c r="K787" t="e">
        <f>RigheOfferte[[#This Row],[Superf.pz Mq]]</f>
        <v>#VALUE!</v>
      </c>
      <c r="L787" t="e">
        <f>RigheOfferte[[#This Row],[passo]]</f>
        <v>#VALUE!</v>
      </c>
      <c r="M787" t="e">
        <f>RigheOfferte[[#This Row],[nr.pezzi Telaio]]</f>
        <v>#VALUE!</v>
      </c>
      <c r="N787" t="e">
        <f>RigheOfferte[[#This Row],[nr.pezzi ora-unita]]</f>
        <v>#VALUE!</v>
      </c>
      <c r="O787" t="e">
        <f>Tabella1[[#This Row],[superificie]]*Resa</f>
        <v>#VALUE!</v>
      </c>
      <c r="P787" t="e">
        <f>Tabella1[[#This Row],[KgPezzo]]*Tabella1[[#This Row],[q.ta offerta]]</f>
        <v>#VALUE!</v>
      </c>
      <c r="Q787" t="e">
        <f>RigheOfferte[[#This Row],[QtaProtez]]</f>
        <v>#VALUE!</v>
      </c>
      <c r="R787" t="e">
        <f>RigheOfferte[[#This Row],[Tipo Protezione]]</f>
        <v>#VALUE!</v>
      </c>
    </row>
    <row r="788" spans="1:18">
      <c r="A788" t="e">
        <f>RigheOfferte[[#This Row],[Nprev]]</f>
        <v>#VALUE!</v>
      </c>
      <c r="B788" t="e">
        <f>RigheOfferte[[#This Row],[Nriga]]</f>
        <v>#VALUE!</v>
      </c>
      <c r="C788" t="e">
        <f>RigheOfferte[[#This Row],[Cliente]]</f>
        <v>#VALUE!</v>
      </c>
      <c r="D788" t="e">
        <f>RigheOfferte[[#This Row],[sub_cliente]]</f>
        <v>#VALUE!</v>
      </c>
      <c r="E788" t="e">
        <f>RigheOfferte[[#This Row],[cod.Art.]]</f>
        <v>#VALUE!</v>
      </c>
      <c r="F788" t="e">
        <f>RigheOfferte[[#This Row],[Descrizione]]</f>
        <v>#VALUE!</v>
      </c>
      <c r="G788" t="e">
        <f>RigheOfferte[[#This Row],[Q.ta'']]</f>
        <v>#VALUE!</v>
      </c>
      <c r="H788" t="e">
        <f>RigheOfferte[[#This Row],[Lavorazione]]</f>
        <v>#VALUE!</v>
      </c>
      <c r="I788" t="e">
        <f>RigheOfferte[[#This Row],[Colore]]</f>
        <v>#VALUE!</v>
      </c>
      <c r="J788" t="e">
        <f>RigheOfferte[[#This Row],[Velocità]]</f>
        <v>#VALUE!</v>
      </c>
      <c r="K788" t="e">
        <f>RigheOfferte[[#This Row],[Superf.pz Mq]]</f>
        <v>#VALUE!</v>
      </c>
      <c r="L788" t="e">
        <f>RigheOfferte[[#This Row],[passo]]</f>
        <v>#VALUE!</v>
      </c>
      <c r="M788" t="e">
        <f>RigheOfferte[[#This Row],[nr.pezzi Telaio]]</f>
        <v>#VALUE!</v>
      </c>
      <c r="N788" t="e">
        <f>RigheOfferte[[#This Row],[nr.pezzi ora-unita]]</f>
        <v>#VALUE!</v>
      </c>
      <c r="O788" t="e">
        <f>Tabella1[[#This Row],[superificie]]*Resa</f>
        <v>#VALUE!</v>
      </c>
      <c r="P788" t="e">
        <f>Tabella1[[#This Row],[KgPezzo]]*Tabella1[[#This Row],[q.ta offerta]]</f>
        <v>#VALUE!</v>
      </c>
      <c r="Q788" t="e">
        <f>RigheOfferte[[#This Row],[QtaProtez]]</f>
        <v>#VALUE!</v>
      </c>
      <c r="R788" t="e">
        <f>RigheOfferte[[#This Row],[Tipo Protezione]]</f>
        <v>#VALUE!</v>
      </c>
    </row>
    <row r="789" spans="1:18">
      <c r="A789" t="e">
        <f>RigheOfferte[[#This Row],[Nprev]]</f>
        <v>#VALUE!</v>
      </c>
      <c r="B789" t="e">
        <f>RigheOfferte[[#This Row],[Nriga]]</f>
        <v>#VALUE!</v>
      </c>
      <c r="C789" t="e">
        <f>RigheOfferte[[#This Row],[Cliente]]</f>
        <v>#VALUE!</v>
      </c>
      <c r="D789" t="e">
        <f>RigheOfferte[[#This Row],[sub_cliente]]</f>
        <v>#VALUE!</v>
      </c>
      <c r="E789" t="e">
        <f>RigheOfferte[[#This Row],[cod.Art.]]</f>
        <v>#VALUE!</v>
      </c>
      <c r="F789" t="e">
        <f>RigheOfferte[[#This Row],[Descrizione]]</f>
        <v>#VALUE!</v>
      </c>
      <c r="G789" t="e">
        <f>RigheOfferte[[#This Row],[Q.ta'']]</f>
        <v>#VALUE!</v>
      </c>
      <c r="H789" t="e">
        <f>RigheOfferte[[#This Row],[Lavorazione]]</f>
        <v>#VALUE!</v>
      </c>
      <c r="I789" t="e">
        <f>RigheOfferte[[#This Row],[Colore]]</f>
        <v>#VALUE!</v>
      </c>
      <c r="J789" t="e">
        <f>RigheOfferte[[#This Row],[Velocità]]</f>
        <v>#VALUE!</v>
      </c>
      <c r="K789" t="e">
        <f>RigheOfferte[[#This Row],[Superf.pz Mq]]</f>
        <v>#VALUE!</v>
      </c>
      <c r="L789" t="e">
        <f>RigheOfferte[[#This Row],[passo]]</f>
        <v>#VALUE!</v>
      </c>
      <c r="M789" t="e">
        <f>RigheOfferte[[#This Row],[nr.pezzi Telaio]]</f>
        <v>#VALUE!</v>
      </c>
      <c r="N789" t="e">
        <f>RigheOfferte[[#This Row],[nr.pezzi ora-unita]]</f>
        <v>#VALUE!</v>
      </c>
      <c r="O789" t="e">
        <f>Tabella1[[#This Row],[superificie]]*Resa</f>
        <v>#VALUE!</v>
      </c>
      <c r="P789" t="e">
        <f>Tabella1[[#This Row],[KgPezzo]]*Tabella1[[#This Row],[q.ta offerta]]</f>
        <v>#VALUE!</v>
      </c>
      <c r="Q789" t="e">
        <f>RigheOfferte[[#This Row],[QtaProtez]]</f>
        <v>#VALUE!</v>
      </c>
      <c r="R789" t="e">
        <f>RigheOfferte[[#This Row],[Tipo Protezione]]</f>
        <v>#VALUE!</v>
      </c>
    </row>
    <row r="790" spans="1:18">
      <c r="A790" t="e">
        <f>RigheOfferte[[#This Row],[Nprev]]</f>
        <v>#VALUE!</v>
      </c>
      <c r="B790" t="e">
        <f>RigheOfferte[[#This Row],[Nriga]]</f>
        <v>#VALUE!</v>
      </c>
      <c r="C790" t="e">
        <f>RigheOfferte[[#This Row],[Cliente]]</f>
        <v>#VALUE!</v>
      </c>
      <c r="D790" t="e">
        <f>RigheOfferte[[#This Row],[sub_cliente]]</f>
        <v>#VALUE!</v>
      </c>
      <c r="E790" t="e">
        <f>RigheOfferte[[#This Row],[cod.Art.]]</f>
        <v>#VALUE!</v>
      </c>
      <c r="F790" t="e">
        <f>RigheOfferte[[#This Row],[Descrizione]]</f>
        <v>#VALUE!</v>
      </c>
      <c r="G790" t="e">
        <f>RigheOfferte[[#This Row],[Q.ta'']]</f>
        <v>#VALUE!</v>
      </c>
      <c r="H790" t="e">
        <f>RigheOfferte[[#This Row],[Lavorazione]]</f>
        <v>#VALUE!</v>
      </c>
      <c r="I790" t="e">
        <f>RigheOfferte[[#This Row],[Colore]]</f>
        <v>#VALUE!</v>
      </c>
      <c r="J790" t="e">
        <f>RigheOfferte[[#This Row],[Velocità]]</f>
        <v>#VALUE!</v>
      </c>
      <c r="K790" t="e">
        <f>RigheOfferte[[#This Row],[Superf.pz Mq]]</f>
        <v>#VALUE!</v>
      </c>
      <c r="L790" t="e">
        <f>RigheOfferte[[#This Row],[passo]]</f>
        <v>#VALUE!</v>
      </c>
      <c r="M790" t="e">
        <f>RigheOfferte[[#This Row],[nr.pezzi Telaio]]</f>
        <v>#VALUE!</v>
      </c>
      <c r="N790" t="e">
        <f>RigheOfferte[[#This Row],[nr.pezzi ora-unita]]</f>
        <v>#VALUE!</v>
      </c>
      <c r="O790" t="e">
        <f>Tabella1[[#This Row],[superificie]]*Resa</f>
        <v>#VALUE!</v>
      </c>
      <c r="P790" t="e">
        <f>Tabella1[[#This Row],[KgPezzo]]*Tabella1[[#This Row],[q.ta offerta]]</f>
        <v>#VALUE!</v>
      </c>
      <c r="Q790" t="e">
        <f>RigheOfferte[[#This Row],[QtaProtez]]</f>
        <v>#VALUE!</v>
      </c>
      <c r="R790" t="e">
        <f>RigheOfferte[[#This Row],[Tipo Protezione]]</f>
        <v>#VALUE!</v>
      </c>
    </row>
    <row r="791" spans="1:18">
      <c r="A791" t="e">
        <f>RigheOfferte[[#This Row],[Nprev]]</f>
        <v>#VALUE!</v>
      </c>
      <c r="B791" t="e">
        <f>RigheOfferte[[#This Row],[Nriga]]</f>
        <v>#VALUE!</v>
      </c>
      <c r="C791" t="e">
        <f>RigheOfferte[[#This Row],[Cliente]]</f>
        <v>#VALUE!</v>
      </c>
      <c r="D791" t="e">
        <f>RigheOfferte[[#This Row],[sub_cliente]]</f>
        <v>#VALUE!</v>
      </c>
      <c r="E791" t="e">
        <f>RigheOfferte[[#This Row],[cod.Art.]]</f>
        <v>#VALUE!</v>
      </c>
      <c r="F791" t="e">
        <f>RigheOfferte[[#This Row],[Descrizione]]</f>
        <v>#VALUE!</v>
      </c>
      <c r="G791" t="e">
        <f>RigheOfferte[[#This Row],[Q.ta'']]</f>
        <v>#VALUE!</v>
      </c>
      <c r="H791" t="e">
        <f>RigheOfferte[[#This Row],[Lavorazione]]</f>
        <v>#VALUE!</v>
      </c>
      <c r="I791" t="e">
        <f>RigheOfferte[[#This Row],[Colore]]</f>
        <v>#VALUE!</v>
      </c>
      <c r="J791" t="e">
        <f>RigheOfferte[[#This Row],[Velocità]]</f>
        <v>#VALUE!</v>
      </c>
      <c r="K791" t="e">
        <f>RigheOfferte[[#This Row],[Superf.pz Mq]]</f>
        <v>#VALUE!</v>
      </c>
      <c r="L791" t="e">
        <f>RigheOfferte[[#This Row],[passo]]</f>
        <v>#VALUE!</v>
      </c>
      <c r="M791" t="e">
        <f>RigheOfferte[[#This Row],[nr.pezzi Telaio]]</f>
        <v>#VALUE!</v>
      </c>
      <c r="N791" t="e">
        <f>RigheOfferte[[#This Row],[nr.pezzi ora-unita]]</f>
        <v>#VALUE!</v>
      </c>
      <c r="O791" t="e">
        <f>Tabella1[[#This Row],[superificie]]*Resa</f>
        <v>#VALUE!</v>
      </c>
      <c r="P791" t="e">
        <f>Tabella1[[#This Row],[KgPezzo]]*Tabella1[[#This Row],[q.ta offerta]]</f>
        <v>#VALUE!</v>
      </c>
      <c r="Q791" t="e">
        <f>RigheOfferte[[#This Row],[QtaProtez]]</f>
        <v>#VALUE!</v>
      </c>
      <c r="R791" t="e">
        <f>RigheOfferte[[#This Row],[Tipo Protezione]]</f>
        <v>#VALUE!</v>
      </c>
    </row>
    <row r="792" spans="1:18">
      <c r="A792" t="e">
        <f>RigheOfferte[[#This Row],[Nprev]]</f>
        <v>#VALUE!</v>
      </c>
      <c r="B792" t="e">
        <f>RigheOfferte[[#This Row],[Nriga]]</f>
        <v>#VALUE!</v>
      </c>
      <c r="C792" t="e">
        <f>RigheOfferte[[#This Row],[Cliente]]</f>
        <v>#VALUE!</v>
      </c>
      <c r="D792" t="e">
        <f>RigheOfferte[[#This Row],[sub_cliente]]</f>
        <v>#VALUE!</v>
      </c>
      <c r="E792" t="e">
        <f>RigheOfferte[[#This Row],[cod.Art.]]</f>
        <v>#VALUE!</v>
      </c>
      <c r="F792" t="e">
        <f>RigheOfferte[[#This Row],[Descrizione]]</f>
        <v>#VALUE!</v>
      </c>
      <c r="G792" t="e">
        <f>RigheOfferte[[#This Row],[Q.ta'']]</f>
        <v>#VALUE!</v>
      </c>
      <c r="H792" t="e">
        <f>RigheOfferte[[#This Row],[Lavorazione]]</f>
        <v>#VALUE!</v>
      </c>
      <c r="I792" t="e">
        <f>RigheOfferte[[#This Row],[Colore]]</f>
        <v>#VALUE!</v>
      </c>
      <c r="J792" t="e">
        <f>RigheOfferte[[#This Row],[Velocità]]</f>
        <v>#VALUE!</v>
      </c>
      <c r="K792" t="e">
        <f>RigheOfferte[[#This Row],[Superf.pz Mq]]</f>
        <v>#VALUE!</v>
      </c>
      <c r="L792" t="e">
        <f>RigheOfferte[[#This Row],[passo]]</f>
        <v>#VALUE!</v>
      </c>
      <c r="M792" t="e">
        <f>RigheOfferte[[#This Row],[nr.pezzi Telaio]]</f>
        <v>#VALUE!</v>
      </c>
      <c r="N792" t="e">
        <f>RigheOfferte[[#This Row],[nr.pezzi ora-unita]]</f>
        <v>#VALUE!</v>
      </c>
      <c r="O792" t="e">
        <f>Tabella1[[#This Row],[superificie]]*Resa</f>
        <v>#VALUE!</v>
      </c>
      <c r="P792" t="e">
        <f>Tabella1[[#This Row],[KgPezzo]]*Tabella1[[#This Row],[q.ta offerta]]</f>
        <v>#VALUE!</v>
      </c>
      <c r="Q792" t="e">
        <f>RigheOfferte[[#This Row],[QtaProtez]]</f>
        <v>#VALUE!</v>
      </c>
      <c r="R792" t="e">
        <f>RigheOfferte[[#This Row],[Tipo Protezione]]</f>
        <v>#VALUE!</v>
      </c>
    </row>
    <row r="793" spans="1:18">
      <c r="A793" t="e">
        <f>RigheOfferte[[#This Row],[Nprev]]</f>
        <v>#VALUE!</v>
      </c>
      <c r="B793" t="e">
        <f>RigheOfferte[[#This Row],[Nriga]]</f>
        <v>#VALUE!</v>
      </c>
      <c r="C793" t="e">
        <f>RigheOfferte[[#This Row],[Cliente]]</f>
        <v>#VALUE!</v>
      </c>
      <c r="D793" t="e">
        <f>RigheOfferte[[#This Row],[sub_cliente]]</f>
        <v>#VALUE!</v>
      </c>
      <c r="E793" t="e">
        <f>RigheOfferte[[#This Row],[cod.Art.]]</f>
        <v>#VALUE!</v>
      </c>
      <c r="F793" t="e">
        <f>RigheOfferte[[#This Row],[Descrizione]]</f>
        <v>#VALUE!</v>
      </c>
      <c r="G793" t="e">
        <f>RigheOfferte[[#This Row],[Q.ta'']]</f>
        <v>#VALUE!</v>
      </c>
      <c r="H793" t="e">
        <f>RigheOfferte[[#This Row],[Lavorazione]]</f>
        <v>#VALUE!</v>
      </c>
      <c r="I793" t="e">
        <f>RigheOfferte[[#This Row],[Colore]]</f>
        <v>#VALUE!</v>
      </c>
      <c r="J793" t="e">
        <f>RigheOfferte[[#This Row],[Velocità]]</f>
        <v>#VALUE!</v>
      </c>
      <c r="K793" t="e">
        <f>RigheOfferte[[#This Row],[Superf.pz Mq]]</f>
        <v>#VALUE!</v>
      </c>
      <c r="L793" t="e">
        <f>RigheOfferte[[#This Row],[passo]]</f>
        <v>#VALUE!</v>
      </c>
      <c r="M793" t="e">
        <f>RigheOfferte[[#This Row],[nr.pezzi Telaio]]</f>
        <v>#VALUE!</v>
      </c>
      <c r="N793" t="e">
        <f>RigheOfferte[[#This Row],[nr.pezzi ora-unita]]</f>
        <v>#VALUE!</v>
      </c>
      <c r="O793" t="e">
        <f>Tabella1[[#This Row],[superificie]]*Resa</f>
        <v>#VALUE!</v>
      </c>
      <c r="P793" t="e">
        <f>Tabella1[[#This Row],[KgPezzo]]*Tabella1[[#This Row],[q.ta offerta]]</f>
        <v>#VALUE!</v>
      </c>
      <c r="Q793" t="e">
        <f>RigheOfferte[[#This Row],[QtaProtez]]</f>
        <v>#VALUE!</v>
      </c>
      <c r="R793" t="e">
        <f>RigheOfferte[[#This Row],[Tipo Protezione]]</f>
        <v>#VALUE!</v>
      </c>
    </row>
    <row r="794" spans="1:18">
      <c r="A794" t="e">
        <f>RigheOfferte[[#This Row],[Nprev]]</f>
        <v>#VALUE!</v>
      </c>
      <c r="B794" t="e">
        <f>RigheOfferte[[#This Row],[Nriga]]</f>
        <v>#VALUE!</v>
      </c>
      <c r="C794" t="e">
        <f>RigheOfferte[[#This Row],[Cliente]]</f>
        <v>#VALUE!</v>
      </c>
      <c r="D794" t="e">
        <f>RigheOfferte[[#This Row],[sub_cliente]]</f>
        <v>#VALUE!</v>
      </c>
      <c r="E794" t="e">
        <f>RigheOfferte[[#This Row],[cod.Art.]]</f>
        <v>#VALUE!</v>
      </c>
      <c r="F794" t="e">
        <f>RigheOfferte[[#This Row],[Descrizione]]</f>
        <v>#VALUE!</v>
      </c>
      <c r="G794" t="e">
        <f>RigheOfferte[[#This Row],[Q.ta'']]</f>
        <v>#VALUE!</v>
      </c>
      <c r="H794" t="e">
        <f>RigheOfferte[[#This Row],[Lavorazione]]</f>
        <v>#VALUE!</v>
      </c>
      <c r="I794" t="e">
        <f>RigheOfferte[[#This Row],[Colore]]</f>
        <v>#VALUE!</v>
      </c>
      <c r="J794" t="e">
        <f>RigheOfferte[[#This Row],[Velocità]]</f>
        <v>#VALUE!</v>
      </c>
      <c r="K794" t="e">
        <f>RigheOfferte[[#This Row],[Superf.pz Mq]]</f>
        <v>#VALUE!</v>
      </c>
      <c r="L794" t="e">
        <f>RigheOfferte[[#This Row],[passo]]</f>
        <v>#VALUE!</v>
      </c>
      <c r="M794" t="e">
        <f>RigheOfferte[[#This Row],[nr.pezzi Telaio]]</f>
        <v>#VALUE!</v>
      </c>
      <c r="N794" t="e">
        <f>RigheOfferte[[#This Row],[nr.pezzi ora-unita]]</f>
        <v>#VALUE!</v>
      </c>
      <c r="O794" t="e">
        <f>Tabella1[[#This Row],[superificie]]*Resa</f>
        <v>#VALUE!</v>
      </c>
      <c r="P794" t="e">
        <f>Tabella1[[#This Row],[KgPezzo]]*Tabella1[[#This Row],[q.ta offerta]]</f>
        <v>#VALUE!</v>
      </c>
      <c r="Q794" t="e">
        <f>RigheOfferte[[#This Row],[QtaProtez]]</f>
        <v>#VALUE!</v>
      </c>
      <c r="R794" t="e">
        <f>RigheOfferte[[#This Row],[Tipo Protezione]]</f>
        <v>#VALUE!</v>
      </c>
    </row>
    <row r="795" spans="1:18">
      <c r="A795" t="e">
        <f>RigheOfferte[[#This Row],[Nprev]]</f>
        <v>#VALUE!</v>
      </c>
      <c r="B795" t="e">
        <f>RigheOfferte[[#This Row],[Nriga]]</f>
        <v>#VALUE!</v>
      </c>
      <c r="C795" t="e">
        <f>RigheOfferte[[#This Row],[Cliente]]</f>
        <v>#VALUE!</v>
      </c>
      <c r="D795" t="e">
        <f>RigheOfferte[[#This Row],[sub_cliente]]</f>
        <v>#VALUE!</v>
      </c>
      <c r="E795" t="e">
        <f>RigheOfferte[[#This Row],[cod.Art.]]</f>
        <v>#VALUE!</v>
      </c>
      <c r="F795" t="e">
        <f>RigheOfferte[[#This Row],[Descrizione]]</f>
        <v>#VALUE!</v>
      </c>
      <c r="G795" t="e">
        <f>RigheOfferte[[#This Row],[Q.ta'']]</f>
        <v>#VALUE!</v>
      </c>
      <c r="H795" t="e">
        <f>RigheOfferte[[#This Row],[Lavorazione]]</f>
        <v>#VALUE!</v>
      </c>
      <c r="I795" t="e">
        <f>RigheOfferte[[#This Row],[Colore]]</f>
        <v>#VALUE!</v>
      </c>
      <c r="J795" t="e">
        <f>RigheOfferte[[#This Row],[Velocità]]</f>
        <v>#VALUE!</v>
      </c>
      <c r="K795" t="e">
        <f>RigheOfferte[[#This Row],[Superf.pz Mq]]</f>
        <v>#VALUE!</v>
      </c>
      <c r="L795" t="e">
        <f>RigheOfferte[[#This Row],[passo]]</f>
        <v>#VALUE!</v>
      </c>
      <c r="M795" t="e">
        <f>RigheOfferte[[#This Row],[nr.pezzi Telaio]]</f>
        <v>#VALUE!</v>
      </c>
      <c r="N795" t="e">
        <f>RigheOfferte[[#This Row],[nr.pezzi ora-unita]]</f>
        <v>#VALUE!</v>
      </c>
      <c r="O795" t="e">
        <f>Tabella1[[#This Row],[superificie]]*Resa</f>
        <v>#VALUE!</v>
      </c>
      <c r="P795" t="e">
        <f>Tabella1[[#This Row],[KgPezzo]]*Tabella1[[#This Row],[q.ta offerta]]</f>
        <v>#VALUE!</v>
      </c>
      <c r="Q795" t="e">
        <f>RigheOfferte[[#This Row],[QtaProtez]]</f>
        <v>#VALUE!</v>
      </c>
      <c r="R795" t="e">
        <f>RigheOfferte[[#This Row],[Tipo Protezione]]</f>
        <v>#VALUE!</v>
      </c>
    </row>
    <row r="796" spans="1:18">
      <c r="A796" t="e">
        <f>RigheOfferte[[#This Row],[Nprev]]</f>
        <v>#VALUE!</v>
      </c>
      <c r="B796" t="e">
        <f>RigheOfferte[[#This Row],[Nriga]]</f>
        <v>#VALUE!</v>
      </c>
      <c r="C796" t="e">
        <f>RigheOfferte[[#This Row],[Cliente]]</f>
        <v>#VALUE!</v>
      </c>
      <c r="D796" t="e">
        <f>RigheOfferte[[#This Row],[sub_cliente]]</f>
        <v>#VALUE!</v>
      </c>
      <c r="E796" t="e">
        <f>RigheOfferte[[#This Row],[cod.Art.]]</f>
        <v>#VALUE!</v>
      </c>
      <c r="F796" t="e">
        <f>RigheOfferte[[#This Row],[Descrizione]]</f>
        <v>#VALUE!</v>
      </c>
      <c r="G796" t="e">
        <f>RigheOfferte[[#This Row],[Q.ta'']]</f>
        <v>#VALUE!</v>
      </c>
      <c r="H796" t="e">
        <f>RigheOfferte[[#This Row],[Lavorazione]]</f>
        <v>#VALUE!</v>
      </c>
      <c r="I796" t="e">
        <f>RigheOfferte[[#This Row],[Colore]]</f>
        <v>#VALUE!</v>
      </c>
      <c r="J796" t="e">
        <f>RigheOfferte[[#This Row],[Velocità]]</f>
        <v>#VALUE!</v>
      </c>
      <c r="K796" t="e">
        <f>RigheOfferte[[#This Row],[Superf.pz Mq]]</f>
        <v>#VALUE!</v>
      </c>
      <c r="L796" t="e">
        <f>RigheOfferte[[#This Row],[passo]]</f>
        <v>#VALUE!</v>
      </c>
      <c r="M796" t="e">
        <f>RigheOfferte[[#This Row],[nr.pezzi Telaio]]</f>
        <v>#VALUE!</v>
      </c>
      <c r="N796" t="e">
        <f>RigheOfferte[[#This Row],[nr.pezzi ora-unita]]</f>
        <v>#VALUE!</v>
      </c>
      <c r="O796" t="e">
        <f>Tabella1[[#This Row],[superificie]]*Resa</f>
        <v>#VALUE!</v>
      </c>
      <c r="P796" t="e">
        <f>Tabella1[[#This Row],[KgPezzo]]*Tabella1[[#This Row],[q.ta offerta]]</f>
        <v>#VALUE!</v>
      </c>
      <c r="Q796" t="e">
        <f>RigheOfferte[[#This Row],[QtaProtez]]</f>
        <v>#VALUE!</v>
      </c>
      <c r="R796" t="e">
        <f>RigheOfferte[[#This Row],[Tipo Protezione]]</f>
        <v>#VALUE!</v>
      </c>
    </row>
    <row r="797" spans="1:18">
      <c r="A797" t="e">
        <f>RigheOfferte[[#This Row],[Nprev]]</f>
        <v>#VALUE!</v>
      </c>
      <c r="B797" t="e">
        <f>RigheOfferte[[#This Row],[Nriga]]</f>
        <v>#VALUE!</v>
      </c>
      <c r="C797" t="e">
        <f>RigheOfferte[[#This Row],[Cliente]]</f>
        <v>#VALUE!</v>
      </c>
      <c r="D797" t="e">
        <f>RigheOfferte[[#This Row],[sub_cliente]]</f>
        <v>#VALUE!</v>
      </c>
      <c r="E797" t="e">
        <f>RigheOfferte[[#This Row],[cod.Art.]]</f>
        <v>#VALUE!</v>
      </c>
      <c r="F797" t="e">
        <f>RigheOfferte[[#This Row],[Descrizione]]</f>
        <v>#VALUE!</v>
      </c>
      <c r="G797" t="e">
        <f>RigheOfferte[[#This Row],[Q.ta'']]</f>
        <v>#VALUE!</v>
      </c>
      <c r="H797" t="e">
        <f>RigheOfferte[[#This Row],[Lavorazione]]</f>
        <v>#VALUE!</v>
      </c>
      <c r="I797" t="e">
        <f>RigheOfferte[[#This Row],[Colore]]</f>
        <v>#VALUE!</v>
      </c>
      <c r="J797" t="e">
        <f>RigheOfferte[[#This Row],[Velocità]]</f>
        <v>#VALUE!</v>
      </c>
      <c r="K797" t="e">
        <f>RigheOfferte[[#This Row],[Superf.pz Mq]]</f>
        <v>#VALUE!</v>
      </c>
      <c r="L797" t="e">
        <f>RigheOfferte[[#This Row],[passo]]</f>
        <v>#VALUE!</v>
      </c>
      <c r="M797" t="e">
        <f>RigheOfferte[[#This Row],[nr.pezzi Telaio]]</f>
        <v>#VALUE!</v>
      </c>
      <c r="N797" t="e">
        <f>RigheOfferte[[#This Row],[nr.pezzi ora-unita]]</f>
        <v>#VALUE!</v>
      </c>
      <c r="O797" t="e">
        <f>Tabella1[[#This Row],[superificie]]*Resa</f>
        <v>#VALUE!</v>
      </c>
      <c r="P797" t="e">
        <f>Tabella1[[#This Row],[KgPezzo]]*Tabella1[[#This Row],[q.ta offerta]]</f>
        <v>#VALUE!</v>
      </c>
      <c r="Q797" t="e">
        <f>RigheOfferte[[#This Row],[QtaProtez]]</f>
        <v>#VALUE!</v>
      </c>
      <c r="R797" t="e">
        <f>RigheOfferte[[#This Row],[Tipo Protezione]]</f>
        <v>#VALUE!</v>
      </c>
    </row>
    <row r="798" spans="1:18">
      <c r="A798" t="e">
        <f>RigheOfferte[[#This Row],[Nprev]]</f>
        <v>#VALUE!</v>
      </c>
      <c r="B798" t="e">
        <f>RigheOfferte[[#This Row],[Nriga]]</f>
        <v>#VALUE!</v>
      </c>
      <c r="C798" t="e">
        <f>RigheOfferte[[#This Row],[Cliente]]</f>
        <v>#VALUE!</v>
      </c>
      <c r="D798" t="e">
        <f>RigheOfferte[[#This Row],[sub_cliente]]</f>
        <v>#VALUE!</v>
      </c>
      <c r="E798" t="e">
        <f>RigheOfferte[[#This Row],[cod.Art.]]</f>
        <v>#VALUE!</v>
      </c>
      <c r="F798" t="e">
        <f>RigheOfferte[[#This Row],[Descrizione]]</f>
        <v>#VALUE!</v>
      </c>
      <c r="G798" t="e">
        <f>RigheOfferte[[#This Row],[Q.ta'']]</f>
        <v>#VALUE!</v>
      </c>
      <c r="H798" t="e">
        <f>RigheOfferte[[#This Row],[Lavorazione]]</f>
        <v>#VALUE!</v>
      </c>
      <c r="I798" t="e">
        <f>RigheOfferte[[#This Row],[Colore]]</f>
        <v>#VALUE!</v>
      </c>
      <c r="J798" t="e">
        <f>RigheOfferte[[#This Row],[Velocità]]</f>
        <v>#VALUE!</v>
      </c>
      <c r="K798" t="e">
        <f>RigheOfferte[[#This Row],[Superf.pz Mq]]</f>
        <v>#VALUE!</v>
      </c>
      <c r="L798" t="e">
        <f>RigheOfferte[[#This Row],[passo]]</f>
        <v>#VALUE!</v>
      </c>
      <c r="M798" t="e">
        <f>RigheOfferte[[#This Row],[nr.pezzi Telaio]]</f>
        <v>#VALUE!</v>
      </c>
      <c r="N798" t="e">
        <f>RigheOfferte[[#This Row],[nr.pezzi ora-unita]]</f>
        <v>#VALUE!</v>
      </c>
      <c r="O798" t="e">
        <f>Tabella1[[#This Row],[superificie]]*Resa</f>
        <v>#VALUE!</v>
      </c>
      <c r="P798" t="e">
        <f>Tabella1[[#This Row],[KgPezzo]]*Tabella1[[#This Row],[q.ta offerta]]</f>
        <v>#VALUE!</v>
      </c>
      <c r="Q798" t="e">
        <f>RigheOfferte[[#This Row],[QtaProtez]]</f>
        <v>#VALUE!</v>
      </c>
      <c r="R798" t="e">
        <f>RigheOfferte[[#This Row],[Tipo Protezione]]</f>
        <v>#VALUE!</v>
      </c>
    </row>
    <row r="799" spans="1:18">
      <c r="A799" t="e">
        <f>RigheOfferte[[#This Row],[Nprev]]</f>
        <v>#VALUE!</v>
      </c>
      <c r="B799" t="e">
        <f>RigheOfferte[[#This Row],[Nriga]]</f>
        <v>#VALUE!</v>
      </c>
      <c r="C799" t="e">
        <f>RigheOfferte[[#This Row],[Cliente]]</f>
        <v>#VALUE!</v>
      </c>
      <c r="D799" t="e">
        <f>RigheOfferte[[#This Row],[sub_cliente]]</f>
        <v>#VALUE!</v>
      </c>
      <c r="E799" t="e">
        <f>RigheOfferte[[#This Row],[cod.Art.]]</f>
        <v>#VALUE!</v>
      </c>
      <c r="F799" t="e">
        <f>RigheOfferte[[#This Row],[Descrizione]]</f>
        <v>#VALUE!</v>
      </c>
      <c r="G799" t="e">
        <f>RigheOfferte[[#This Row],[Q.ta'']]</f>
        <v>#VALUE!</v>
      </c>
      <c r="H799" t="e">
        <f>RigheOfferte[[#This Row],[Lavorazione]]</f>
        <v>#VALUE!</v>
      </c>
      <c r="I799" t="e">
        <f>RigheOfferte[[#This Row],[Colore]]</f>
        <v>#VALUE!</v>
      </c>
      <c r="J799" t="e">
        <f>RigheOfferte[[#This Row],[Velocità]]</f>
        <v>#VALUE!</v>
      </c>
      <c r="K799" t="e">
        <f>RigheOfferte[[#This Row],[Superf.pz Mq]]</f>
        <v>#VALUE!</v>
      </c>
      <c r="L799" t="e">
        <f>RigheOfferte[[#This Row],[passo]]</f>
        <v>#VALUE!</v>
      </c>
      <c r="M799" t="e">
        <f>RigheOfferte[[#This Row],[nr.pezzi Telaio]]</f>
        <v>#VALUE!</v>
      </c>
      <c r="N799" t="e">
        <f>RigheOfferte[[#This Row],[nr.pezzi ora-unita]]</f>
        <v>#VALUE!</v>
      </c>
      <c r="O799" t="e">
        <f>Tabella1[[#This Row],[superificie]]*Resa</f>
        <v>#VALUE!</v>
      </c>
      <c r="P799" t="e">
        <f>Tabella1[[#This Row],[KgPezzo]]*Tabella1[[#This Row],[q.ta offerta]]</f>
        <v>#VALUE!</v>
      </c>
      <c r="Q799" t="e">
        <f>RigheOfferte[[#This Row],[QtaProtez]]</f>
        <v>#VALUE!</v>
      </c>
      <c r="R799" t="e">
        <f>RigheOfferte[[#This Row],[Tipo Protezione]]</f>
        <v>#VALUE!</v>
      </c>
    </row>
    <row r="800" spans="1:18">
      <c r="A800" t="e">
        <f>RigheOfferte[[#This Row],[Nprev]]</f>
        <v>#VALUE!</v>
      </c>
      <c r="B800" t="e">
        <f>RigheOfferte[[#This Row],[Nriga]]</f>
        <v>#VALUE!</v>
      </c>
      <c r="C800" t="e">
        <f>RigheOfferte[[#This Row],[Cliente]]</f>
        <v>#VALUE!</v>
      </c>
      <c r="D800" t="e">
        <f>RigheOfferte[[#This Row],[sub_cliente]]</f>
        <v>#VALUE!</v>
      </c>
      <c r="E800" t="e">
        <f>RigheOfferte[[#This Row],[cod.Art.]]</f>
        <v>#VALUE!</v>
      </c>
      <c r="F800" t="e">
        <f>RigheOfferte[[#This Row],[Descrizione]]</f>
        <v>#VALUE!</v>
      </c>
      <c r="G800" t="e">
        <f>RigheOfferte[[#This Row],[Q.ta'']]</f>
        <v>#VALUE!</v>
      </c>
      <c r="H800" t="e">
        <f>RigheOfferte[[#This Row],[Lavorazione]]</f>
        <v>#VALUE!</v>
      </c>
      <c r="I800" t="e">
        <f>RigheOfferte[[#This Row],[Colore]]</f>
        <v>#VALUE!</v>
      </c>
      <c r="J800" t="e">
        <f>RigheOfferte[[#This Row],[Velocità]]</f>
        <v>#VALUE!</v>
      </c>
      <c r="K800" t="e">
        <f>RigheOfferte[[#This Row],[Superf.pz Mq]]</f>
        <v>#VALUE!</v>
      </c>
      <c r="L800" t="e">
        <f>RigheOfferte[[#This Row],[passo]]</f>
        <v>#VALUE!</v>
      </c>
      <c r="M800" t="e">
        <f>RigheOfferte[[#This Row],[nr.pezzi Telaio]]</f>
        <v>#VALUE!</v>
      </c>
      <c r="N800" t="e">
        <f>RigheOfferte[[#This Row],[nr.pezzi ora-unita]]</f>
        <v>#VALUE!</v>
      </c>
      <c r="O800" t="e">
        <f>Tabella1[[#This Row],[superificie]]*Resa</f>
        <v>#VALUE!</v>
      </c>
      <c r="P800" t="e">
        <f>Tabella1[[#This Row],[KgPezzo]]*Tabella1[[#This Row],[q.ta offerta]]</f>
        <v>#VALUE!</v>
      </c>
      <c r="Q800" t="e">
        <f>RigheOfferte[[#This Row],[QtaProtez]]</f>
        <v>#VALUE!</v>
      </c>
      <c r="R800" t="e">
        <f>RigheOfferte[[#This Row],[Tipo Protezione]]</f>
        <v>#VALUE!</v>
      </c>
    </row>
    <row r="801" spans="1:18">
      <c r="A801" t="e">
        <f>RigheOfferte[[#This Row],[Nprev]]</f>
        <v>#VALUE!</v>
      </c>
      <c r="B801" t="e">
        <f>RigheOfferte[[#This Row],[Nriga]]</f>
        <v>#VALUE!</v>
      </c>
      <c r="C801" t="e">
        <f>RigheOfferte[[#This Row],[Cliente]]</f>
        <v>#VALUE!</v>
      </c>
      <c r="D801" t="e">
        <f>RigheOfferte[[#This Row],[sub_cliente]]</f>
        <v>#VALUE!</v>
      </c>
      <c r="E801" t="e">
        <f>RigheOfferte[[#This Row],[cod.Art.]]</f>
        <v>#VALUE!</v>
      </c>
      <c r="F801" t="e">
        <f>RigheOfferte[[#This Row],[Descrizione]]</f>
        <v>#VALUE!</v>
      </c>
      <c r="G801" t="e">
        <f>RigheOfferte[[#This Row],[Q.ta'']]</f>
        <v>#VALUE!</v>
      </c>
      <c r="H801" t="e">
        <f>RigheOfferte[[#This Row],[Lavorazione]]</f>
        <v>#VALUE!</v>
      </c>
      <c r="I801" t="e">
        <f>RigheOfferte[[#This Row],[Colore]]</f>
        <v>#VALUE!</v>
      </c>
      <c r="J801" t="e">
        <f>RigheOfferte[[#This Row],[Velocità]]</f>
        <v>#VALUE!</v>
      </c>
      <c r="K801" t="e">
        <f>RigheOfferte[[#This Row],[Superf.pz Mq]]</f>
        <v>#VALUE!</v>
      </c>
      <c r="L801" t="e">
        <f>RigheOfferte[[#This Row],[passo]]</f>
        <v>#VALUE!</v>
      </c>
      <c r="M801" t="e">
        <f>RigheOfferte[[#This Row],[nr.pezzi Telaio]]</f>
        <v>#VALUE!</v>
      </c>
      <c r="N801" t="e">
        <f>RigheOfferte[[#This Row],[nr.pezzi ora-unita]]</f>
        <v>#VALUE!</v>
      </c>
      <c r="O801" t="e">
        <f>Tabella1[[#This Row],[superificie]]*Resa</f>
        <v>#VALUE!</v>
      </c>
      <c r="P801" t="e">
        <f>Tabella1[[#This Row],[KgPezzo]]*Tabella1[[#This Row],[q.ta offerta]]</f>
        <v>#VALUE!</v>
      </c>
      <c r="Q801" t="e">
        <f>RigheOfferte[[#This Row],[QtaProtez]]</f>
        <v>#VALUE!</v>
      </c>
      <c r="R801" t="e">
        <f>RigheOfferte[[#This Row],[Tipo Protezione]]</f>
        <v>#VALUE!</v>
      </c>
    </row>
    <row r="802" spans="1:18">
      <c r="A802" t="e">
        <f>RigheOfferte[[#This Row],[Nprev]]</f>
        <v>#VALUE!</v>
      </c>
      <c r="B802" t="e">
        <f>RigheOfferte[[#This Row],[Nriga]]</f>
        <v>#VALUE!</v>
      </c>
      <c r="C802" t="e">
        <f>RigheOfferte[[#This Row],[Cliente]]</f>
        <v>#VALUE!</v>
      </c>
      <c r="D802" t="e">
        <f>RigheOfferte[[#This Row],[sub_cliente]]</f>
        <v>#VALUE!</v>
      </c>
      <c r="E802" t="e">
        <f>RigheOfferte[[#This Row],[cod.Art.]]</f>
        <v>#VALUE!</v>
      </c>
      <c r="F802" t="e">
        <f>RigheOfferte[[#This Row],[Descrizione]]</f>
        <v>#VALUE!</v>
      </c>
      <c r="G802" t="e">
        <f>RigheOfferte[[#This Row],[Q.ta'']]</f>
        <v>#VALUE!</v>
      </c>
      <c r="H802" t="e">
        <f>RigheOfferte[[#This Row],[Lavorazione]]</f>
        <v>#VALUE!</v>
      </c>
      <c r="I802" t="e">
        <f>RigheOfferte[[#This Row],[Colore]]</f>
        <v>#VALUE!</v>
      </c>
      <c r="J802" t="e">
        <f>RigheOfferte[[#This Row],[Velocità]]</f>
        <v>#VALUE!</v>
      </c>
      <c r="K802" t="e">
        <f>RigheOfferte[[#This Row],[Superf.pz Mq]]</f>
        <v>#VALUE!</v>
      </c>
      <c r="L802" t="e">
        <f>RigheOfferte[[#This Row],[passo]]</f>
        <v>#VALUE!</v>
      </c>
      <c r="M802" t="e">
        <f>RigheOfferte[[#This Row],[nr.pezzi Telaio]]</f>
        <v>#VALUE!</v>
      </c>
      <c r="N802" t="e">
        <f>RigheOfferte[[#This Row],[nr.pezzi ora-unita]]</f>
        <v>#VALUE!</v>
      </c>
      <c r="O802" t="e">
        <f>Tabella1[[#This Row],[superificie]]*Resa</f>
        <v>#VALUE!</v>
      </c>
      <c r="P802" t="e">
        <f>Tabella1[[#This Row],[KgPezzo]]*Tabella1[[#This Row],[q.ta offerta]]</f>
        <v>#VALUE!</v>
      </c>
      <c r="Q802" t="e">
        <f>RigheOfferte[[#This Row],[QtaProtez]]</f>
        <v>#VALUE!</v>
      </c>
      <c r="R802" t="e">
        <f>RigheOfferte[[#This Row],[Tipo Protezione]]</f>
        <v>#VALUE!</v>
      </c>
    </row>
    <row r="803" spans="1:18">
      <c r="A803" t="e">
        <f>RigheOfferte[[#This Row],[Nprev]]</f>
        <v>#VALUE!</v>
      </c>
      <c r="B803" t="e">
        <f>RigheOfferte[[#This Row],[Nriga]]</f>
        <v>#VALUE!</v>
      </c>
      <c r="C803" t="e">
        <f>RigheOfferte[[#This Row],[Cliente]]</f>
        <v>#VALUE!</v>
      </c>
      <c r="D803" t="e">
        <f>RigheOfferte[[#This Row],[sub_cliente]]</f>
        <v>#VALUE!</v>
      </c>
      <c r="E803" t="e">
        <f>RigheOfferte[[#This Row],[cod.Art.]]</f>
        <v>#VALUE!</v>
      </c>
      <c r="F803" t="e">
        <f>RigheOfferte[[#This Row],[Descrizione]]</f>
        <v>#VALUE!</v>
      </c>
      <c r="G803" t="e">
        <f>RigheOfferte[[#This Row],[Q.ta'']]</f>
        <v>#VALUE!</v>
      </c>
      <c r="H803" t="e">
        <f>RigheOfferte[[#This Row],[Lavorazione]]</f>
        <v>#VALUE!</v>
      </c>
      <c r="I803" t="e">
        <f>RigheOfferte[[#This Row],[Colore]]</f>
        <v>#VALUE!</v>
      </c>
      <c r="J803" t="e">
        <f>RigheOfferte[[#This Row],[Velocità]]</f>
        <v>#VALUE!</v>
      </c>
      <c r="K803" t="e">
        <f>RigheOfferte[[#This Row],[Superf.pz Mq]]</f>
        <v>#VALUE!</v>
      </c>
      <c r="L803" t="e">
        <f>RigheOfferte[[#This Row],[passo]]</f>
        <v>#VALUE!</v>
      </c>
      <c r="M803" t="e">
        <f>RigheOfferte[[#This Row],[nr.pezzi Telaio]]</f>
        <v>#VALUE!</v>
      </c>
      <c r="N803" t="e">
        <f>RigheOfferte[[#This Row],[nr.pezzi ora-unita]]</f>
        <v>#VALUE!</v>
      </c>
      <c r="O803" t="e">
        <f>Tabella1[[#This Row],[superificie]]*Resa</f>
        <v>#VALUE!</v>
      </c>
      <c r="P803" t="e">
        <f>Tabella1[[#This Row],[KgPezzo]]*Tabella1[[#This Row],[q.ta offerta]]</f>
        <v>#VALUE!</v>
      </c>
      <c r="Q803" t="e">
        <f>RigheOfferte[[#This Row],[QtaProtez]]</f>
        <v>#VALUE!</v>
      </c>
      <c r="R803" t="e">
        <f>RigheOfferte[[#This Row],[Tipo Protezione]]</f>
        <v>#VALUE!</v>
      </c>
    </row>
    <row r="804" spans="1:18">
      <c r="A804" t="e">
        <f>RigheOfferte[[#This Row],[Nprev]]</f>
        <v>#VALUE!</v>
      </c>
      <c r="B804" t="e">
        <f>RigheOfferte[[#This Row],[Nriga]]</f>
        <v>#VALUE!</v>
      </c>
      <c r="C804" t="e">
        <f>RigheOfferte[[#This Row],[Cliente]]</f>
        <v>#VALUE!</v>
      </c>
      <c r="D804" t="e">
        <f>RigheOfferte[[#This Row],[sub_cliente]]</f>
        <v>#VALUE!</v>
      </c>
      <c r="E804" t="e">
        <f>RigheOfferte[[#This Row],[cod.Art.]]</f>
        <v>#VALUE!</v>
      </c>
      <c r="F804" t="e">
        <f>RigheOfferte[[#This Row],[Descrizione]]</f>
        <v>#VALUE!</v>
      </c>
      <c r="G804" t="e">
        <f>RigheOfferte[[#This Row],[Q.ta'']]</f>
        <v>#VALUE!</v>
      </c>
      <c r="H804" t="e">
        <f>RigheOfferte[[#This Row],[Lavorazione]]</f>
        <v>#VALUE!</v>
      </c>
      <c r="I804" t="e">
        <f>RigheOfferte[[#This Row],[Colore]]</f>
        <v>#VALUE!</v>
      </c>
      <c r="J804" t="e">
        <f>RigheOfferte[[#This Row],[Velocità]]</f>
        <v>#VALUE!</v>
      </c>
      <c r="K804" t="e">
        <f>RigheOfferte[[#This Row],[Superf.pz Mq]]</f>
        <v>#VALUE!</v>
      </c>
      <c r="L804" t="e">
        <f>RigheOfferte[[#This Row],[passo]]</f>
        <v>#VALUE!</v>
      </c>
      <c r="M804" t="e">
        <f>RigheOfferte[[#This Row],[nr.pezzi Telaio]]</f>
        <v>#VALUE!</v>
      </c>
      <c r="N804" t="e">
        <f>RigheOfferte[[#This Row],[nr.pezzi ora-unita]]</f>
        <v>#VALUE!</v>
      </c>
      <c r="O804" t="e">
        <f>Tabella1[[#This Row],[superificie]]*Resa</f>
        <v>#VALUE!</v>
      </c>
      <c r="P804" t="e">
        <f>Tabella1[[#This Row],[KgPezzo]]*Tabella1[[#This Row],[q.ta offerta]]</f>
        <v>#VALUE!</v>
      </c>
      <c r="Q804" t="e">
        <f>RigheOfferte[[#This Row],[QtaProtez]]</f>
        <v>#VALUE!</v>
      </c>
      <c r="R804" t="e">
        <f>RigheOfferte[[#This Row],[Tipo Protezione]]</f>
        <v>#VALUE!</v>
      </c>
    </row>
    <row r="805" spans="1:18">
      <c r="A805" t="e">
        <f>RigheOfferte[[#This Row],[Nprev]]</f>
        <v>#VALUE!</v>
      </c>
      <c r="B805" t="e">
        <f>RigheOfferte[[#This Row],[Nriga]]</f>
        <v>#VALUE!</v>
      </c>
      <c r="C805" t="e">
        <f>RigheOfferte[[#This Row],[Cliente]]</f>
        <v>#VALUE!</v>
      </c>
      <c r="D805" t="e">
        <f>RigheOfferte[[#This Row],[sub_cliente]]</f>
        <v>#VALUE!</v>
      </c>
      <c r="E805" t="e">
        <f>RigheOfferte[[#This Row],[cod.Art.]]</f>
        <v>#VALUE!</v>
      </c>
      <c r="F805" t="e">
        <f>RigheOfferte[[#This Row],[Descrizione]]</f>
        <v>#VALUE!</v>
      </c>
      <c r="G805" t="e">
        <f>RigheOfferte[[#This Row],[Q.ta'']]</f>
        <v>#VALUE!</v>
      </c>
      <c r="H805" t="e">
        <f>RigheOfferte[[#This Row],[Lavorazione]]</f>
        <v>#VALUE!</v>
      </c>
      <c r="I805" t="e">
        <f>RigheOfferte[[#This Row],[Colore]]</f>
        <v>#VALUE!</v>
      </c>
      <c r="J805" t="e">
        <f>RigheOfferte[[#This Row],[Velocità]]</f>
        <v>#VALUE!</v>
      </c>
      <c r="K805" t="e">
        <f>RigheOfferte[[#This Row],[Superf.pz Mq]]</f>
        <v>#VALUE!</v>
      </c>
      <c r="L805" t="e">
        <f>RigheOfferte[[#This Row],[passo]]</f>
        <v>#VALUE!</v>
      </c>
      <c r="M805" t="e">
        <f>RigheOfferte[[#This Row],[nr.pezzi Telaio]]</f>
        <v>#VALUE!</v>
      </c>
      <c r="N805" t="e">
        <f>RigheOfferte[[#This Row],[nr.pezzi ora-unita]]</f>
        <v>#VALUE!</v>
      </c>
      <c r="O805" t="e">
        <f>Tabella1[[#This Row],[superificie]]*Resa</f>
        <v>#VALUE!</v>
      </c>
      <c r="P805" t="e">
        <f>Tabella1[[#This Row],[KgPezzo]]*Tabella1[[#This Row],[q.ta offerta]]</f>
        <v>#VALUE!</v>
      </c>
      <c r="Q805" t="e">
        <f>RigheOfferte[[#This Row],[QtaProtez]]</f>
        <v>#VALUE!</v>
      </c>
      <c r="R805" t="e">
        <f>RigheOfferte[[#This Row],[Tipo Protezione]]</f>
        <v>#VALUE!</v>
      </c>
    </row>
    <row r="806" spans="1:18">
      <c r="A806" t="e">
        <f>RigheOfferte[[#This Row],[Nprev]]</f>
        <v>#VALUE!</v>
      </c>
      <c r="B806" t="e">
        <f>RigheOfferte[[#This Row],[Nriga]]</f>
        <v>#VALUE!</v>
      </c>
      <c r="C806" t="e">
        <f>RigheOfferte[[#This Row],[Cliente]]</f>
        <v>#VALUE!</v>
      </c>
      <c r="D806" t="e">
        <f>RigheOfferte[[#This Row],[sub_cliente]]</f>
        <v>#VALUE!</v>
      </c>
      <c r="E806" t="e">
        <f>RigheOfferte[[#This Row],[cod.Art.]]</f>
        <v>#VALUE!</v>
      </c>
      <c r="F806" t="e">
        <f>RigheOfferte[[#This Row],[Descrizione]]</f>
        <v>#VALUE!</v>
      </c>
      <c r="G806" t="e">
        <f>RigheOfferte[[#This Row],[Q.ta'']]</f>
        <v>#VALUE!</v>
      </c>
      <c r="H806" t="e">
        <f>RigheOfferte[[#This Row],[Lavorazione]]</f>
        <v>#VALUE!</v>
      </c>
      <c r="I806" t="e">
        <f>RigheOfferte[[#This Row],[Colore]]</f>
        <v>#VALUE!</v>
      </c>
      <c r="J806" t="e">
        <f>RigheOfferte[[#This Row],[Velocità]]</f>
        <v>#VALUE!</v>
      </c>
      <c r="K806" t="e">
        <f>RigheOfferte[[#This Row],[Superf.pz Mq]]</f>
        <v>#VALUE!</v>
      </c>
      <c r="L806" t="e">
        <f>RigheOfferte[[#This Row],[passo]]</f>
        <v>#VALUE!</v>
      </c>
      <c r="M806" t="e">
        <f>RigheOfferte[[#This Row],[nr.pezzi Telaio]]</f>
        <v>#VALUE!</v>
      </c>
      <c r="N806" t="e">
        <f>RigheOfferte[[#This Row],[nr.pezzi ora-unita]]</f>
        <v>#VALUE!</v>
      </c>
      <c r="O806" t="e">
        <f>Tabella1[[#This Row],[superificie]]*Resa</f>
        <v>#VALUE!</v>
      </c>
      <c r="P806" t="e">
        <f>Tabella1[[#This Row],[KgPezzo]]*Tabella1[[#This Row],[q.ta offerta]]</f>
        <v>#VALUE!</v>
      </c>
      <c r="Q806" t="e">
        <f>RigheOfferte[[#This Row],[QtaProtez]]</f>
        <v>#VALUE!</v>
      </c>
      <c r="R806" t="e">
        <f>RigheOfferte[[#This Row],[Tipo Protezione]]</f>
        <v>#VALUE!</v>
      </c>
    </row>
    <row r="807" spans="1:18">
      <c r="A807" t="e">
        <f>RigheOfferte[[#This Row],[Nprev]]</f>
        <v>#VALUE!</v>
      </c>
      <c r="B807" t="e">
        <f>RigheOfferte[[#This Row],[Nriga]]</f>
        <v>#VALUE!</v>
      </c>
      <c r="C807" t="e">
        <f>RigheOfferte[[#This Row],[Cliente]]</f>
        <v>#VALUE!</v>
      </c>
      <c r="D807" t="e">
        <f>RigheOfferte[[#This Row],[sub_cliente]]</f>
        <v>#VALUE!</v>
      </c>
      <c r="E807" t="e">
        <f>RigheOfferte[[#This Row],[cod.Art.]]</f>
        <v>#VALUE!</v>
      </c>
      <c r="F807" t="e">
        <f>RigheOfferte[[#This Row],[Descrizione]]</f>
        <v>#VALUE!</v>
      </c>
      <c r="G807" t="e">
        <f>RigheOfferte[[#This Row],[Q.ta'']]</f>
        <v>#VALUE!</v>
      </c>
      <c r="H807" t="e">
        <f>RigheOfferte[[#This Row],[Lavorazione]]</f>
        <v>#VALUE!</v>
      </c>
      <c r="I807" t="e">
        <f>RigheOfferte[[#This Row],[Colore]]</f>
        <v>#VALUE!</v>
      </c>
      <c r="J807" t="e">
        <f>RigheOfferte[[#This Row],[Velocità]]</f>
        <v>#VALUE!</v>
      </c>
      <c r="K807" t="e">
        <f>RigheOfferte[[#This Row],[Superf.pz Mq]]</f>
        <v>#VALUE!</v>
      </c>
      <c r="L807" t="e">
        <f>RigheOfferte[[#This Row],[passo]]</f>
        <v>#VALUE!</v>
      </c>
      <c r="M807" t="e">
        <f>RigheOfferte[[#This Row],[nr.pezzi Telaio]]</f>
        <v>#VALUE!</v>
      </c>
      <c r="N807" t="e">
        <f>RigheOfferte[[#This Row],[nr.pezzi ora-unita]]</f>
        <v>#VALUE!</v>
      </c>
      <c r="O807" t="e">
        <f>Tabella1[[#This Row],[superificie]]*Resa</f>
        <v>#VALUE!</v>
      </c>
      <c r="P807" t="e">
        <f>Tabella1[[#This Row],[KgPezzo]]*Tabella1[[#This Row],[q.ta offerta]]</f>
        <v>#VALUE!</v>
      </c>
      <c r="Q807" t="e">
        <f>RigheOfferte[[#This Row],[QtaProtez]]</f>
        <v>#VALUE!</v>
      </c>
      <c r="R807" t="e">
        <f>RigheOfferte[[#This Row],[Tipo Protezione]]</f>
        <v>#VALUE!</v>
      </c>
    </row>
    <row r="808" spans="1:18">
      <c r="A808" t="e">
        <f>RigheOfferte[[#This Row],[Nprev]]</f>
        <v>#VALUE!</v>
      </c>
      <c r="B808" t="e">
        <f>RigheOfferte[[#This Row],[Nriga]]</f>
        <v>#VALUE!</v>
      </c>
      <c r="C808" t="e">
        <f>RigheOfferte[[#This Row],[Cliente]]</f>
        <v>#VALUE!</v>
      </c>
      <c r="D808" t="e">
        <f>RigheOfferte[[#This Row],[sub_cliente]]</f>
        <v>#VALUE!</v>
      </c>
      <c r="E808" t="e">
        <f>RigheOfferte[[#This Row],[cod.Art.]]</f>
        <v>#VALUE!</v>
      </c>
      <c r="F808" t="e">
        <f>RigheOfferte[[#This Row],[Descrizione]]</f>
        <v>#VALUE!</v>
      </c>
      <c r="G808" t="e">
        <f>RigheOfferte[[#This Row],[Q.ta'']]</f>
        <v>#VALUE!</v>
      </c>
      <c r="H808" t="e">
        <f>RigheOfferte[[#This Row],[Lavorazione]]</f>
        <v>#VALUE!</v>
      </c>
      <c r="I808" t="e">
        <f>RigheOfferte[[#This Row],[Colore]]</f>
        <v>#VALUE!</v>
      </c>
      <c r="J808" t="e">
        <f>RigheOfferte[[#This Row],[Velocità]]</f>
        <v>#VALUE!</v>
      </c>
      <c r="K808" t="e">
        <f>RigheOfferte[[#This Row],[Superf.pz Mq]]</f>
        <v>#VALUE!</v>
      </c>
      <c r="L808" t="e">
        <f>RigheOfferte[[#This Row],[passo]]</f>
        <v>#VALUE!</v>
      </c>
      <c r="M808" t="e">
        <f>RigheOfferte[[#This Row],[nr.pezzi Telaio]]</f>
        <v>#VALUE!</v>
      </c>
      <c r="N808" t="e">
        <f>RigheOfferte[[#This Row],[nr.pezzi ora-unita]]</f>
        <v>#VALUE!</v>
      </c>
      <c r="O808" t="e">
        <f>Tabella1[[#This Row],[superificie]]*Resa</f>
        <v>#VALUE!</v>
      </c>
      <c r="P808" t="e">
        <f>Tabella1[[#This Row],[KgPezzo]]*Tabella1[[#This Row],[q.ta offerta]]</f>
        <v>#VALUE!</v>
      </c>
      <c r="Q808" t="e">
        <f>RigheOfferte[[#This Row],[QtaProtez]]</f>
        <v>#VALUE!</v>
      </c>
      <c r="R808" t="e">
        <f>RigheOfferte[[#This Row],[Tipo Protezione]]</f>
        <v>#VALUE!</v>
      </c>
    </row>
    <row r="809" spans="1:18">
      <c r="A809" t="e">
        <f>RigheOfferte[[#This Row],[Nprev]]</f>
        <v>#VALUE!</v>
      </c>
      <c r="B809" t="e">
        <f>RigheOfferte[[#This Row],[Nriga]]</f>
        <v>#VALUE!</v>
      </c>
      <c r="C809" t="e">
        <f>RigheOfferte[[#This Row],[Cliente]]</f>
        <v>#VALUE!</v>
      </c>
      <c r="D809" t="e">
        <f>RigheOfferte[[#This Row],[sub_cliente]]</f>
        <v>#VALUE!</v>
      </c>
      <c r="E809" t="e">
        <f>RigheOfferte[[#This Row],[cod.Art.]]</f>
        <v>#VALUE!</v>
      </c>
      <c r="F809" t="e">
        <f>RigheOfferte[[#This Row],[Descrizione]]</f>
        <v>#VALUE!</v>
      </c>
      <c r="G809" t="e">
        <f>RigheOfferte[[#This Row],[Q.ta'']]</f>
        <v>#VALUE!</v>
      </c>
      <c r="H809" t="e">
        <f>RigheOfferte[[#This Row],[Lavorazione]]</f>
        <v>#VALUE!</v>
      </c>
      <c r="I809" t="e">
        <f>RigheOfferte[[#This Row],[Colore]]</f>
        <v>#VALUE!</v>
      </c>
      <c r="J809" t="e">
        <f>RigheOfferte[[#This Row],[Velocità]]</f>
        <v>#VALUE!</v>
      </c>
      <c r="K809" t="e">
        <f>RigheOfferte[[#This Row],[Superf.pz Mq]]</f>
        <v>#VALUE!</v>
      </c>
      <c r="L809" t="e">
        <f>RigheOfferte[[#This Row],[passo]]</f>
        <v>#VALUE!</v>
      </c>
      <c r="M809" t="e">
        <f>RigheOfferte[[#This Row],[nr.pezzi Telaio]]</f>
        <v>#VALUE!</v>
      </c>
      <c r="N809" t="e">
        <f>RigheOfferte[[#This Row],[nr.pezzi ora-unita]]</f>
        <v>#VALUE!</v>
      </c>
      <c r="O809" t="e">
        <f>Tabella1[[#This Row],[superificie]]*Resa</f>
        <v>#VALUE!</v>
      </c>
      <c r="P809" t="e">
        <f>Tabella1[[#This Row],[KgPezzo]]*Tabella1[[#This Row],[q.ta offerta]]</f>
        <v>#VALUE!</v>
      </c>
      <c r="Q809" t="e">
        <f>RigheOfferte[[#This Row],[QtaProtez]]</f>
        <v>#VALUE!</v>
      </c>
      <c r="R809" t="e">
        <f>RigheOfferte[[#This Row],[Tipo Protezione]]</f>
        <v>#VALUE!</v>
      </c>
    </row>
    <row r="810" spans="1:18">
      <c r="A810" t="e">
        <f>RigheOfferte[[#This Row],[Nprev]]</f>
        <v>#VALUE!</v>
      </c>
      <c r="B810" t="e">
        <f>RigheOfferte[[#This Row],[Nriga]]</f>
        <v>#VALUE!</v>
      </c>
      <c r="C810" t="e">
        <f>RigheOfferte[[#This Row],[Cliente]]</f>
        <v>#VALUE!</v>
      </c>
      <c r="D810" t="e">
        <f>RigheOfferte[[#This Row],[sub_cliente]]</f>
        <v>#VALUE!</v>
      </c>
      <c r="E810" t="e">
        <f>RigheOfferte[[#This Row],[cod.Art.]]</f>
        <v>#VALUE!</v>
      </c>
      <c r="F810" t="e">
        <f>RigheOfferte[[#This Row],[Descrizione]]</f>
        <v>#VALUE!</v>
      </c>
      <c r="G810" t="e">
        <f>RigheOfferte[[#This Row],[Q.ta'']]</f>
        <v>#VALUE!</v>
      </c>
      <c r="H810" t="e">
        <f>RigheOfferte[[#This Row],[Lavorazione]]</f>
        <v>#VALUE!</v>
      </c>
      <c r="I810" t="e">
        <f>RigheOfferte[[#This Row],[Colore]]</f>
        <v>#VALUE!</v>
      </c>
      <c r="J810" t="e">
        <f>RigheOfferte[[#This Row],[Velocità]]</f>
        <v>#VALUE!</v>
      </c>
      <c r="K810" t="e">
        <f>RigheOfferte[[#This Row],[Superf.pz Mq]]</f>
        <v>#VALUE!</v>
      </c>
      <c r="L810" t="e">
        <f>RigheOfferte[[#This Row],[passo]]</f>
        <v>#VALUE!</v>
      </c>
      <c r="M810" t="e">
        <f>RigheOfferte[[#This Row],[nr.pezzi Telaio]]</f>
        <v>#VALUE!</v>
      </c>
      <c r="N810" t="e">
        <f>RigheOfferte[[#This Row],[nr.pezzi ora-unita]]</f>
        <v>#VALUE!</v>
      </c>
      <c r="O810" t="e">
        <f>Tabella1[[#This Row],[superificie]]*Resa</f>
        <v>#VALUE!</v>
      </c>
      <c r="P810" t="e">
        <f>Tabella1[[#This Row],[KgPezzo]]*Tabella1[[#This Row],[q.ta offerta]]</f>
        <v>#VALUE!</v>
      </c>
      <c r="Q810" t="e">
        <f>RigheOfferte[[#This Row],[QtaProtez]]</f>
        <v>#VALUE!</v>
      </c>
      <c r="R810" t="e">
        <f>RigheOfferte[[#This Row],[Tipo Protezione]]</f>
        <v>#VALUE!</v>
      </c>
    </row>
    <row r="811" spans="1:18">
      <c r="A811" t="e">
        <f>RigheOfferte[[#This Row],[Nprev]]</f>
        <v>#VALUE!</v>
      </c>
      <c r="B811" t="e">
        <f>RigheOfferte[[#This Row],[Nriga]]</f>
        <v>#VALUE!</v>
      </c>
      <c r="C811" t="e">
        <f>RigheOfferte[[#This Row],[Cliente]]</f>
        <v>#VALUE!</v>
      </c>
      <c r="D811" t="e">
        <f>RigheOfferte[[#This Row],[sub_cliente]]</f>
        <v>#VALUE!</v>
      </c>
      <c r="E811" t="e">
        <f>RigheOfferte[[#This Row],[cod.Art.]]</f>
        <v>#VALUE!</v>
      </c>
      <c r="F811" t="e">
        <f>RigheOfferte[[#This Row],[Descrizione]]</f>
        <v>#VALUE!</v>
      </c>
      <c r="G811" t="e">
        <f>RigheOfferte[[#This Row],[Q.ta'']]</f>
        <v>#VALUE!</v>
      </c>
      <c r="H811" t="e">
        <f>RigheOfferte[[#This Row],[Lavorazione]]</f>
        <v>#VALUE!</v>
      </c>
      <c r="I811" t="e">
        <f>RigheOfferte[[#This Row],[Colore]]</f>
        <v>#VALUE!</v>
      </c>
      <c r="J811" t="e">
        <f>RigheOfferte[[#This Row],[Velocità]]</f>
        <v>#VALUE!</v>
      </c>
      <c r="K811" t="e">
        <f>RigheOfferte[[#This Row],[Superf.pz Mq]]</f>
        <v>#VALUE!</v>
      </c>
      <c r="L811" t="e">
        <f>RigheOfferte[[#This Row],[passo]]</f>
        <v>#VALUE!</v>
      </c>
      <c r="M811" t="e">
        <f>RigheOfferte[[#This Row],[nr.pezzi Telaio]]</f>
        <v>#VALUE!</v>
      </c>
      <c r="N811" t="e">
        <f>RigheOfferte[[#This Row],[nr.pezzi ora-unita]]</f>
        <v>#VALUE!</v>
      </c>
      <c r="O811" t="e">
        <f>Tabella1[[#This Row],[superificie]]*Resa</f>
        <v>#VALUE!</v>
      </c>
      <c r="P811" t="e">
        <f>Tabella1[[#This Row],[KgPezzo]]*Tabella1[[#This Row],[q.ta offerta]]</f>
        <v>#VALUE!</v>
      </c>
      <c r="Q811" t="e">
        <f>RigheOfferte[[#This Row],[QtaProtez]]</f>
        <v>#VALUE!</v>
      </c>
      <c r="R811" t="e">
        <f>RigheOfferte[[#This Row],[Tipo Protezione]]</f>
        <v>#VALUE!</v>
      </c>
    </row>
    <row r="812" spans="1:18">
      <c r="A812" t="e">
        <f>RigheOfferte[[#This Row],[Nprev]]</f>
        <v>#VALUE!</v>
      </c>
      <c r="B812" t="e">
        <f>RigheOfferte[[#This Row],[Nriga]]</f>
        <v>#VALUE!</v>
      </c>
      <c r="C812" t="e">
        <f>RigheOfferte[[#This Row],[Cliente]]</f>
        <v>#VALUE!</v>
      </c>
      <c r="D812" t="e">
        <f>RigheOfferte[[#This Row],[sub_cliente]]</f>
        <v>#VALUE!</v>
      </c>
      <c r="E812" t="e">
        <f>RigheOfferte[[#This Row],[cod.Art.]]</f>
        <v>#VALUE!</v>
      </c>
      <c r="F812" t="e">
        <f>RigheOfferte[[#This Row],[Descrizione]]</f>
        <v>#VALUE!</v>
      </c>
      <c r="G812" t="e">
        <f>RigheOfferte[[#This Row],[Q.ta'']]</f>
        <v>#VALUE!</v>
      </c>
      <c r="H812" t="e">
        <f>RigheOfferte[[#This Row],[Lavorazione]]</f>
        <v>#VALUE!</v>
      </c>
      <c r="I812" t="e">
        <f>RigheOfferte[[#This Row],[Colore]]</f>
        <v>#VALUE!</v>
      </c>
      <c r="J812" t="e">
        <f>RigheOfferte[[#This Row],[Velocità]]</f>
        <v>#VALUE!</v>
      </c>
      <c r="K812" t="e">
        <f>RigheOfferte[[#This Row],[Superf.pz Mq]]</f>
        <v>#VALUE!</v>
      </c>
      <c r="L812" t="e">
        <f>RigheOfferte[[#This Row],[passo]]</f>
        <v>#VALUE!</v>
      </c>
      <c r="M812" t="e">
        <f>RigheOfferte[[#This Row],[nr.pezzi Telaio]]</f>
        <v>#VALUE!</v>
      </c>
      <c r="N812" t="e">
        <f>RigheOfferte[[#This Row],[nr.pezzi ora-unita]]</f>
        <v>#VALUE!</v>
      </c>
      <c r="O812" t="e">
        <f>Tabella1[[#This Row],[superificie]]*Resa</f>
        <v>#VALUE!</v>
      </c>
      <c r="P812" t="e">
        <f>Tabella1[[#This Row],[KgPezzo]]*Tabella1[[#This Row],[q.ta offerta]]</f>
        <v>#VALUE!</v>
      </c>
      <c r="Q812" t="e">
        <f>RigheOfferte[[#This Row],[QtaProtez]]</f>
        <v>#VALUE!</v>
      </c>
      <c r="R812" t="e">
        <f>RigheOfferte[[#This Row],[Tipo Protezione]]</f>
        <v>#VALUE!</v>
      </c>
    </row>
    <row r="813" spans="1:18">
      <c r="A813" t="e">
        <f>RigheOfferte[[#This Row],[Nprev]]</f>
        <v>#VALUE!</v>
      </c>
      <c r="B813" t="e">
        <f>RigheOfferte[[#This Row],[Nriga]]</f>
        <v>#VALUE!</v>
      </c>
      <c r="C813" t="e">
        <f>RigheOfferte[[#This Row],[Cliente]]</f>
        <v>#VALUE!</v>
      </c>
      <c r="D813" t="e">
        <f>RigheOfferte[[#This Row],[sub_cliente]]</f>
        <v>#VALUE!</v>
      </c>
      <c r="E813" t="e">
        <f>RigheOfferte[[#This Row],[cod.Art.]]</f>
        <v>#VALUE!</v>
      </c>
      <c r="F813" t="e">
        <f>RigheOfferte[[#This Row],[Descrizione]]</f>
        <v>#VALUE!</v>
      </c>
      <c r="G813" t="e">
        <f>RigheOfferte[[#This Row],[Q.ta'']]</f>
        <v>#VALUE!</v>
      </c>
      <c r="H813" t="e">
        <f>RigheOfferte[[#This Row],[Lavorazione]]</f>
        <v>#VALUE!</v>
      </c>
      <c r="I813" t="e">
        <f>RigheOfferte[[#This Row],[Colore]]</f>
        <v>#VALUE!</v>
      </c>
      <c r="J813" t="e">
        <f>RigheOfferte[[#This Row],[Velocità]]</f>
        <v>#VALUE!</v>
      </c>
      <c r="K813" t="e">
        <f>RigheOfferte[[#This Row],[Superf.pz Mq]]</f>
        <v>#VALUE!</v>
      </c>
      <c r="L813" t="e">
        <f>RigheOfferte[[#This Row],[passo]]</f>
        <v>#VALUE!</v>
      </c>
      <c r="M813" t="e">
        <f>RigheOfferte[[#This Row],[nr.pezzi Telaio]]</f>
        <v>#VALUE!</v>
      </c>
      <c r="N813" t="e">
        <f>RigheOfferte[[#This Row],[nr.pezzi ora-unita]]</f>
        <v>#VALUE!</v>
      </c>
      <c r="O813" t="e">
        <f>Tabella1[[#This Row],[superificie]]*Resa</f>
        <v>#VALUE!</v>
      </c>
      <c r="P813" t="e">
        <f>Tabella1[[#This Row],[KgPezzo]]*Tabella1[[#This Row],[q.ta offerta]]</f>
        <v>#VALUE!</v>
      </c>
      <c r="Q813" t="e">
        <f>RigheOfferte[[#This Row],[QtaProtez]]</f>
        <v>#VALUE!</v>
      </c>
      <c r="R813" t="e">
        <f>RigheOfferte[[#This Row],[Tipo Protezione]]</f>
        <v>#VALUE!</v>
      </c>
    </row>
    <row r="814" spans="1:18">
      <c r="A814" t="e">
        <f>RigheOfferte[[#This Row],[Nprev]]</f>
        <v>#VALUE!</v>
      </c>
      <c r="B814" t="e">
        <f>RigheOfferte[[#This Row],[Nriga]]</f>
        <v>#VALUE!</v>
      </c>
      <c r="C814" t="e">
        <f>RigheOfferte[[#This Row],[Cliente]]</f>
        <v>#VALUE!</v>
      </c>
      <c r="D814" t="e">
        <f>RigheOfferte[[#This Row],[sub_cliente]]</f>
        <v>#VALUE!</v>
      </c>
      <c r="E814" t="e">
        <f>RigheOfferte[[#This Row],[cod.Art.]]</f>
        <v>#VALUE!</v>
      </c>
      <c r="F814" t="e">
        <f>RigheOfferte[[#This Row],[Descrizione]]</f>
        <v>#VALUE!</v>
      </c>
      <c r="G814" t="e">
        <f>RigheOfferte[[#This Row],[Q.ta'']]</f>
        <v>#VALUE!</v>
      </c>
      <c r="H814" t="e">
        <f>RigheOfferte[[#This Row],[Lavorazione]]</f>
        <v>#VALUE!</v>
      </c>
      <c r="I814" t="e">
        <f>RigheOfferte[[#This Row],[Colore]]</f>
        <v>#VALUE!</v>
      </c>
      <c r="J814" t="e">
        <f>RigheOfferte[[#This Row],[Velocità]]</f>
        <v>#VALUE!</v>
      </c>
      <c r="K814" t="e">
        <f>RigheOfferte[[#This Row],[Superf.pz Mq]]</f>
        <v>#VALUE!</v>
      </c>
      <c r="L814" t="e">
        <f>RigheOfferte[[#This Row],[passo]]</f>
        <v>#VALUE!</v>
      </c>
      <c r="M814" t="e">
        <f>RigheOfferte[[#This Row],[nr.pezzi Telaio]]</f>
        <v>#VALUE!</v>
      </c>
      <c r="N814" t="e">
        <f>RigheOfferte[[#This Row],[nr.pezzi ora-unita]]</f>
        <v>#VALUE!</v>
      </c>
      <c r="O814" t="e">
        <f>Tabella1[[#This Row],[superificie]]*Resa</f>
        <v>#VALUE!</v>
      </c>
      <c r="P814" t="e">
        <f>Tabella1[[#This Row],[KgPezzo]]*Tabella1[[#This Row],[q.ta offerta]]</f>
        <v>#VALUE!</v>
      </c>
      <c r="Q814" t="e">
        <f>RigheOfferte[[#This Row],[QtaProtez]]</f>
        <v>#VALUE!</v>
      </c>
      <c r="R814" t="e">
        <f>RigheOfferte[[#This Row],[Tipo Protezione]]</f>
        <v>#VALUE!</v>
      </c>
    </row>
    <row r="815" spans="1:18">
      <c r="A815" t="e">
        <f>RigheOfferte[[#This Row],[Nprev]]</f>
        <v>#VALUE!</v>
      </c>
      <c r="B815" t="e">
        <f>RigheOfferte[[#This Row],[Nriga]]</f>
        <v>#VALUE!</v>
      </c>
      <c r="C815" t="e">
        <f>RigheOfferte[[#This Row],[Cliente]]</f>
        <v>#VALUE!</v>
      </c>
      <c r="D815" t="e">
        <f>RigheOfferte[[#This Row],[sub_cliente]]</f>
        <v>#VALUE!</v>
      </c>
      <c r="E815" t="e">
        <f>RigheOfferte[[#This Row],[cod.Art.]]</f>
        <v>#VALUE!</v>
      </c>
      <c r="F815" t="e">
        <f>RigheOfferte[[#This Row],[Descrizione]]</f>
        <v>#VALUE!</v>
      </c>
      <c r="G815" t="e">
        <f>RigheOfferte[[#This Row],[Q.ta'']]</f>
        <v>#VALUE!</v>
      </c>
      <c r="H815" t="e">
        <f>RigheOfferte[[#This Row],[Lavorazione]]</f>
        <v>#VALUE!</v>
      </c>
      <c r="I815" t="e">
        <f>RigheOfferte[[#This Row],[Colore]]</f>
        <v>#VALUE!</v>
      </c>
      <c r="J815" t="e">
        <f>RigheOfferte[[#This Row],[Velocità]]</f>
        <v>#VALUE!</v>
      </c>
      <c r="K815" t="e">
        <f>RigheOfferte[[#This Row],[Superf.pz Mq]]</f>
        <v>#VALUE!</v>
      </c>
      <c r="L815" t="e">
        <f>RigheOfferte[[#This Row],[passo]]</f>
        <v>#VALUE!</v>
      </c>
      <c r="M815" t="e">
        <f>RigheOfferte[[#This Row],[nr.pezzi Telaio]]</f>
        <v>#VALUE!</v>
      </c>
      <c r="N815" t="e">
        <f>RigheOfferte[[#This Row],[nr.pezzi ora-unita]]</f>
        <v>#VALUE!</v>
      </c>
      <c r="O815" t="e">
        <f>Tabella1[[#This Row],[superificie]]*Resa</f>
        <v>#VALUE!</v>
      </c>
      <c r="P815" t="e">
        <f>Tabella1[[#This Row],[KgPezzo]]*Tabella1[[#This Row],[q.ta offerta]]</f>
        <v>#VALUE!</v>
      </c>
      <c r="Q815" t="e">
        <f>RigheOfferte[[#This Row],[QtaProtez]]</f>
        <v>#VALUE!</v>
      </c>
      <c r="R815" t="e">
        <f>RigheOfferte[[#This Row],[Tipo Protezione]]</f>
        <v>#VALUE!</v>
      </c>
    </row>
    <row r="816" spans="1:18">
      <c r="A816" t="e">
        <f>RigheOfferte[[#This Row],[Nprev]]</f>
        <v>#VALUE!</v>
      </c>
      <c r="B816" t="e">
        <f>RigheOfferte[[#This Row],[Nriga]]</f>
        <v>#VALUE!</v>
      </c>
      <c r="C816" t="e">
        <f>RigheOfferte[[#This Row],[Cliente]]</f>
        <v>#VALUE!</v>
      </c>
      <c r="D816" t="e">
        <f>RigheOfferte[[#This Row],[sub_cliente]]</f>
        <v>#VALUE!</v>
      </c>
      <c r="E816" t="e">
        <f>RigheOfferte[[#This Row],[cod.Art.]]</f>
        <v>#VALUE!</v>
      </c>
      <c r="F816" t="e">
        <f>RigheOfferte[[#This Row],[Descrizione]]</f>
        <v>#VALUE!</v>
      </c>
      <c r="G816" t="e">
        <f>RigheOfferte[[#This Row],[Q.ta'']]</f>
        <v>#VALUE!</v>
      </c>
      <c r="H816" t="e">
        <f>RigheOfferte[[#This Row],[Lavorazione]]</f>
        <v>#VALUE!</v>
      </c>
      <c r="I816" t="e">
        <f>RigheOfferte[[#This Row],[Colore]]</f>
        <v>#VALUE!</v>
      </c>
      <c r="J816" t="e">
        <f>RigheOfferte[[#This Row],[Velocità]]</f>
        <v>#VALUE!</v>
      </c>
      <c r="K816" t="e">
        <f>RigheOfferte[[#This Row],[Superf.pz Mq]]</f>
        <v>#VALUE!</v>
      </c>
      <c r="L816" t="e">
        <f>RigheOfferte[[#This Row],[passo]]</f>
        <v>#VALUE!</v>
      </c>
      <c r="M816" t="e">
        <f>RigheOfferte[[#This Row],[nr.pezzi Telaio]]</f>
        <v>#VALUE!</v>
      </c>
      <c r="N816" t="e">
        <f>RigheOfferte[[#This Row],[nr.pezzi ora-unita]]</f>
        <v>#VALUE!</v>
      </c>
      <c r="O816" t="e">
        <f>Tabella1[[#This Row],[superificie]]*Resa</f>
        <v>#VALUE!</v>
      </c>
      <c r="P816" t="e">
        <f>Tabella1[[#This Row],[KgPezzo]]*Tabella1[[#This Row],[q.ta offerta]]</f>
        <v>#VALUE!</v>
      </c>
      <c r="Q816" t="e">
        <f>RigheOfferte[[#This Row],[QtaProtez]]</f>
        <v>#VALUE!</v>
      </c>
      <c r="R816" t="e">
        <f>RigheOfferte[[#This Row],[Tipo Protezione]]</f>
        <v>#VALUE!</v>
      </c>
    </row>
    <row r="817" spans="1:18">
      <c r="A817" t="e">
        <f>RigheOfferte[[#This Row],[Nprev]]</f>
        <v>#VALUE!</v>
      </c>
      <c r="B817" t="e">
        <f>RigheOfferte[[#This Row],[Nriga]]</f>
        <v>#VALUE!</v>
      </c>
      <c r="C817" t="e">
        <f>RigheOfferte[[#This Row],[Cliente]]</f>
        <v>#VALUE!</v>
      </c>
      <c r="D817" t="e">
        <f>RigheOfferte[[#This Row],[sub_cliente]]</f>
        <v>#VALUE!</v>
      </c>
      <c r="E817" t="e">
        <f>RigheOfferte[[#This Row],[cod.Art.]]</f>
        <v>#VALUE!</v>
      </c>
      <c r="F817" t="e">
        <f>RigheOfferte[[#This Row],[Descrizione]]</f>
        <v>#VALUE!</v>
      </c>
      <c r="G817" t="e">
        <f>RigheOfferte[[#This Row],[Q.ta'']]</f>
        <v>#VALUE!</v>
      </c>
      <c r="H817" t="e">
        <f>RigheOfferte[[#This Row],[Lavorazione]]</f>
        <v>#VALUE!</v>
      </c>
      <c r="I817" t="e">
        <f>RigheOfferte[[#This Row],[Colore]]</f>
        <v>#VALUE!</v>
      </c>
      <c r="J817" t="e">
        <f>RigheOfferte[[#This Row],[Velocità]]</f>
        <v>#VALUE!</v>
      </c>
      <c r="K817" t="e">
        <f>RigheOfferte[[#This Row],[Superf.pz Mq]]</f>
        <v>#VALUE!</v>
      </c>
      <c r="L817" t="e">
        <f>RigheOfferte[[#This Row],[passo]]</f>
        <v>#VALUE!</v>
      </c>
      <c r="M817" t="e">
        <f>RigheOfferte[[#This Row],[nr.pezzi Telaio]]</f>
        <v>#VALUE!</v>
      </c>
      <c r="N817" t="e">
        <f>RigheOfferte[[#This Row],[nr.pezzi ora-unita]]</f>
        <v>#VALUE!</v>
      </c>
      <c r="O817" t="e">
        <f>Tabella1[[#This Row],[superificie]]*Resa</f>
        <v>#VALUE!</v>
      </c>
      <c r="P817" t="e">
        <f>Tabella1[[#This Row],[KgPezzo]]*Tabella1[[#This Row],[q.ta offerta]]</f>
        <v>#VALUE!</v>
      </c>
      <c r="Q817" t="e">
        <f>RigheOfferte[[#This Row],[QtaProtez]]</f>
        <v>#VALUE!</v>
      </c>
      <c r="R817" t="e">
        <f>RigheOfferte[[#This Row],[Tipo Protezione]]</f>
        <v>#VALUE!</v>
      </c>
    </row>
    <row r="818" spans="1:18">
      <c r="A818" t="e">
        <f>RigheOfferte[[#This Row],[Nprev]]</f>
        <v>#VALUE!</v>
      </c>
      <c r="B818" t="e">
        <f>RigheOfferte[[#This Row],[Nriga]]</f>
        <v>#VALUE!</v>
      </c>
      <c r="C818" t="e">
        <f>RigheOfferte[[#This Row],[Cliente]]</f>
        <v>#VALUE!</v>
      </c>
      <c r="D818" t="e">
        <f>RigheOfferte[[#This Row],[sub_cliente]]</f>
        <v>#VALUE!</v>
      </c>
      <c r="E818" t="e">
        <f>RigheOfferte[[#This Row],[cod.Art.]]</f>
        <v>#VALUE!</v>
      </c>
      <c r="F818" t="e">
        <f>RigheOfferte[[#This Row],[Descrizione]]</f>
        <v>#VALUE!</v>
      </c>
      <c r="G818" t="e">
        <f>RigheOfferte[[#This Row],[Q.ta'']]</f>
        <v>#VALUE!</v>
      </c>
      <c r="H818" t="e">
        <f>RigheOfferte[[#This Row],[Lavorazione]]</f>
        <v>#VALUE!</v>
      </c>
      <c r="I818" t="e">
        <f>RigheOfferte[[#This Row],[Colore]]</f>
        <v>#VALUE!</v>
      </c>
      <c r="J818" t="e">
        <f>RigheOfferte[[#This Row],[Velocità]]</f>
        <v>#VALUE!</v>
      </c>
      <c r="K818" t="e">
        <f>RigheOfferte[[#This Row],[Superf.pz Mq]]</f>
        <v>#VALUE!</v>
      </c>
      <c r="L818" t="e">
        <f>RigheOfferte[[#This Row],[passo]]</f>
        <v>#VALUE!</v>
      </c>
      <c r="M818" t="e">
        <f>RigheOfferte[[#This Row],[nr.pezzi Telaio]]</f>
        <v>#VALUE!</v>
      </c>
      <c r="N818" t="e">
        <f>RigheOfferte[[#This Row],[nr.pezzi ora-unita]]</f>
        <v>#VALUE!</v>
      </c>
      <c r="O818" t="e">
        <f>Tabella1[[#This Row],[superificie]]*Resa</f>
        <v>#VALUE!</v>
      </c>
      <c r="P818" t="e">
        <f>Tabella1[[#This Row],[KgPezzo]]*Tabella1[[#This Row],[q.ta offerta]]</f>
        <v>#VALUE!</v>
      </c>
      <c r="Q818" t="e">
        <f>RigheOfferte[[#This Row],[QtaProtez]]</f>
        <v>#VALUE!</v>
      </c>
      <c r="R818" t="e">
        <f>RigheOfferte[[#This Row],[Tipo Protezione]]</f>
        <v>#VALUE!</v>
      </c>
    </row>
    <row r="819" spans="1:18">
      <c r="A819" t="e">
        <f>RigheOfferte[[#This Row],[Nprev]]</f>
        <v>#VALUE!</v>
      </c>
      <c r="B819" t="e">
        <f>RigheOfferte[[#This Row],[Nriga]]</f>
        <v>#VALUE!</v>
      </c>
      <c r="C819" t="e">
        <f>RigheOfferte[[#This Row],[Cliente]]</f>
        <v>#VALUE!</v>
      </c>
      <c r="D819" t="e">
        <f>RigheOfferte[[#This Row],[sub_cliente]]</f>
        <v>#VALUE!</v>
      </c>
      <c r="E819" t="e">
        <f>RigheOfferte[[#This Row],[cod.Art.]]</f>
        <v>#VALUE!</v>
      </c>
      <c r="F819" t="e">
        <f>RigheOfferte[[#This Row],[Descrizione]]</f>
        <v>#VALUE!</v>
      </c>
      <c r="G819" t="e">
        <f>RigheOfferte[[#This Row],[Q.ta'']]</f>
        <v>#VALUE!</v>
      </c>
      <c r="H819" t="e">
        <f>RigheOfferte[[#This Row],[Lavorazione]]</f>
        <v>#VALUE!</v>
      </c>
      <c r="I819" t="e">
        <f>RigheOfferte[[#This Row],[Colore]]</f>
        <v>#VALUE!</v>
      </c>
      <c r="J819" t="e">
        <f>RigheOfferte[[#This Row],[Velocità]]</f>
        <v>#VALUE!</v>
      </c>
      <c r="K819" t="e">
        <f>RigheOfferte[[#This Row],[Superf.pz Mq]]</f>
        <v>#VALUE!</v>
      </c>
      <c r="L819" t="e">
        <f>RigheOfferte[[#This Row],[passo]]</f>
        <v>#VALUE!</v>
      </c>
      <c r="M819" t="e">
        <f>RigheOfferte[[#This Row],[nr.pezzi Telaio]]</f>
        <v>#VALUE!</v>
      </c>
      <c r="N819" t="e">
        <f>RigheOfferte[[#This Row],[nr.pezzi ora-unita]]</f>
        <v>#VALUE!</v>
      </c>
      <c r="O819" t="e">
        <f>Tabella1[[#This Row],[superificie]]*Resa</f>
        <v>#VALUE!</v>
      </c>
      <c r="P819" t="e">
        <f>Tabella1[[#This Row],[KgPezzo]]*Tabella1[[#This Row],[q.ta offerta]]</f>
        <v>#VALUE!</v>
      </c>
      <c r="Q819" t="e">
        <f>RigheOfferte[[#This Row],[QtaProtez]]</f>
        <v>#VALUE!</v>
      </c>
      <c r="R819" t="e">
        <f>RigheOfferte[[#This Row],[Tipo Protezione]]</f>
        <v>#VALUE!</v>
      </c>
    </row>
    <row r="820" spans="1:18">
      <c r="A820" t="e">
        <f>RigheOfferte[[#This Row],[Nprev]]</f>
        <v>#VALUE!</v>
      </c>
      <c r="B820" t="e">
        <f>RigheOfferte[[#This Row],[Nriga]]</f>
        <v>#VALUE!</v>
      </c>
      <c r="C820" t="e">
        <f>RigheOfferte[[#This Row],[Cliente]]</f>
        <v>#VALUE!</v>
      </c>
      <c r="D820" t="e">
        <f>RigheOfferte[[#This Row],[sub_cliente]]</f>
        <v>#VALUE!</v>
      </c>
      <c r="E820" t="e">
        <f>RigheOfferte[[#This Row],[cod.Art.]]</f>
        <v>#VALUE!</v>
      </c>
      <c r="F820" t="e">
        <f>RigheOfferte[[#This Row],[Descrizione]]</f>
        <v>#VALUE!</v>
      </c>
      <c r="G820" t="e">
        <f>RigheOfferte[[#This Row],[Q.ta'']]</f>
        <v>#VALUE!</v>
      </c>
      <c r="H820" t="e">
        <f>RigheOfferte[[#This Row],[Lavorazione]]</f>
        <v>#VALUE!</v>
      </c>
      <c r="I820" t="e">
        <f>RigheOfferte[[#This Row],[Colore]]</f>
        <v>#VALUE!</v>
      </c>
      <c r="J820" t="e">
        <f>RigheOfferte[[#This Row],[Velocità]]</f>
        <v>#VALUE!</v>
      </c>
      <c r="K820" t="e">
        <f>RigheOfferte[[#This Row],[Superf.pz Mq]]</f>
        <v>#VALUE!</v>
      </c>
      <c r="L820" t="e">
        <f>RigheOfferte[[#This Row],[passo]]</f>
        <v>#VALUE!</v>
      </c>
      <c r="M820" t="e">
        <f>RigheOfferte[[#This Row],[nr.pezzi Telaio]]</f>
        <v>#VALUE!</v>
      </c>
      <c r="N820" t="e">
        <f>RigheOfferte[[#This Row],[nr.pezzi ora-unita]]</f>
        <v>#VALUE!</v>
      </c>
      <c r="O820" t="e">
        <f>Tabella1[[#This Row],[superificie]]*Resa</f>
        <v>#VALUE!</v>
      </c>
      <c r="P820" t="e">
        <f>Tabella1[[#This Row],[KgPezzo]]*Tabella1[[#This Row],[q.ta offerta]]</f>
        <v>#VALUE!</v>
      </c>
      <c r="Q820" t="e">
        <f>RigheOfferte[[#This Row],[QtaProtez]]</f>
        <v>#VALUE!</v>
      </c>
      <c r="R820" t="e">
        <f>RigheOfferte[[#This Row],[Tipo Protezione]]</f>
        <v>#VALUE!</v>
      </c>
    </row>
    <row r="821" spans="1:18">
      <c r="A821" t="e">
        <f>RigheOfferte[[#This Row],[Nprev]]</f>
        <v>#VALUE!</v>
      </c>
      <c r="B821" t="e">
        <f>RigheOfferte[[#This Row],[Nriga]]</f>
        <v>#VALUE!</v>
      </c>
      <c r="C821" t="e">
        <f>RigheOfferte[[#This Row],[Cliente]]</f>
        <v>#VALUE!</v>
      </c>
      <c r="D821" t="e">
        <f>RigheOfferte[[#This Row],[sub_cliente]]</f>
        <v>#VALUE!</v>
      </c>
      <c r="E821" t="e">
        <f>RigheOfferte[[#This Row],[cod.Art.]]</f>
        <v>#VALUE!</v>
      </c>
      <c r="F821" t="e">
        <f>RigheOfferte[[#This Row],[Descrizione]]</f>
        <v>#VALUE!</v>
      </c>
      <c r="G821" t="e">
        <f>RigheOfferte[[#This Row],[Q.ta'']]</f>
        <v>#VALUE!</v>
      </c>
      <c r="H821" t="e">
        <f>RigheOfferte[[#This Row],[Lavorazione]]</f>
        <v>#VALUE!</v>
      </c>
      <c r="I821" t="e">
        <f>RigheOfferte[[#This Row],[Colore]]</f>
        <v>#VALUE!</v>
      </c>
      <c r="J821" t="e">
        <f>RigheOfferte[[#This Row],[Velocità]]</f>
        <v>#VALUE!</v>
      </c>
      <c r="K821" t="e">
        <f>RigheOfferte[[#This Row],[Superf.pz Mq]]</f>
        <v>#VALUE!</v>
      </c>
      <c r="L821" t="e">
        <f>RigheOfferte[[#This Row],[passo]]</f>
        <v>#VALUE!</v>
      </c>
      <c r="M821" t="e">
        <f>RigheOfferte[[#This Row],[nr.pezzi Telaio]]</f>
        <v>#VALUE!</v>
      </c>
      <c r="N821" t="e">
        <f>RigheOfferte[[#This Row],[nr.pezzi ora-unita]]</f>
        <v>#VALUE!</v>
      </c>
      <c r="O821" t="e">
        <f>Tabella1[[#This Row],[superificie]]*Resa</f>
        <v>#VALUE!</v>
      </c>
      <c r="P821" t="e">
        <f>Tabella1[[#This Row],[KgPezzo]]*Tabella1[[#This Row],[q.ta offerta]]</f>
        <v>#VALUE!</v>
      </c>
      <c r="Q821" t="e">
        <f>RigheOfferte[[#This Row],[QtaProtez]]</f>
        <v>#VALUE!</v>
      </c>
      <c r="R821" t="e">
        <f>RigheOfferte[[#This Row],[Tipo Protezione]]</f>
        <v>#VALUE!</v>
      </c>
    </row>
    <row r="822" spans="1:18">
      <c r="A822" t="e">
        <f>RigheOfferte[[#This Row],[Nprev]]</f>
        <v>#VALUE!</v>
      </c>
      <c r="B822" t="e">
        <f>RigheOfferte[[#This Row],[Nriga]]</f>
        <v>#VALUE!</v>
      </c>
      <c r="C822" t="e">
        <f>RigheOfferte[[#This Row],[Cliente]]</f>
        <v>#VALUE!</v>
      </c>
      <c r="D822" t="e">
        <f>RigheOfferte[[#This Row],[sub_cliente]]</f>
        <v>#VALUE!</v>
      </c>
      <c r="E822" t="e">
        <f>RigheOfferte[[#This Row],[cod.Art.]]</f>
        <v>#VALUE!</v>
      </c>
      <c r="F822" t="e">
        <f>RigheOfferte[[#This Row],[Descrizione]]</f>
        <v>#VALUE!</v>
      </c>
      <c r="G822" t="e">
        <f>RigheOfferte[[#This Row],[Q.ta'']]</f>
        <v>#VALUE!</v>
      </c>
      <c r="H822" t="e">
        <f>RigheOfferte[[#This Row],[Lavorazione]]</f>
        <v>#VALUE!</v>
      </c>
      <c r="I822" t="e">
        <f>RigheOfferte[[#This Row],[Colore]]</f>
        <v>#VALUE!</v>
      </c>
      <c r="J822" t="e">
        <f>RigheOfferte[[#This Row],[Velocità]]</f>
        <v>#VALUE!</v>
      </c>
      <c r="K822" t="e">
        <f>RigheOfferte[[#This Row],[Superf.pz Mq]]</f>
        <v>#VALUE!</v>
      </c>
      <c r="L822" t="e">
        <f>RigheOfferte[[#This Row],[passo]]</f>
        <v>#VALUE!</v>
      </c>
      <c r="M822" t="e">
        <f>RigheOfferte[[#This Row],[nr.pezzi Telaio]]</f>
        <v>#VALUE!</v>
      </c>
      <c r="N822" t="e">
        <f>RigheOfferte[[#This Row],[nr.pezzi ora-unita]]</f>
        <v>#VALUE!</v>
      </c>
      <c r="O822" t="e">
        <f>Tabella1[[#This Row],[superificie]]*Resa</f>
        <v>#VALUE!</v>
      </c>
      <c r="P822" t="e">
        <f>Tabella1[[#This Row],[KgPezzo]]*Tabella1[[#This Row],[q.ta offerta]]</f>
        <v>#VALUE!</v>
      </c>
      <c r="Q822" t="e">
        <f>RigheOfferte[[#This Row],[QtaProtez]]</f>
        <v>#VALUE!</v>
      </c>
      <c r="R822" t="e">
        <f>RigheOfferte[[#This Row],[Tipo Protezione]]</f>
        <v>#VALUE!</v>
      </c>
    </row>
    <row r="823" spans="1:18">
      <c r="A823" t="e">
        <f>RigheOfferte[[#This Row],[Nprev]]</f>
        <v>#VALUE!</v>
      </c>
      <c r="B823" t="e">
        <f>RigheOfferte[[#This Row],[Nriga]]</f>
        <v>#VALUE!</v>
      </c>
      <c r="C823" t="e">
        <f>RigheOfferte[[#This Row],[Cliente]]</f>
        <v>#VALUE!</v>
      </c>
      <c r="D823" t="e">
        <f>RigheOfferte[[#This Row],[sub_cliente]]</f>
        <v>#VALUE!</v>
      </c>
      <c r="E823" t="e">
        <f>RigheOfferte[[#This Row],[cod.Art.]]</f>
        <v>#VALUE!</v>
      </c>
      <c r="F823" t="e">
        <f>RigheOfferte[[#This Row],[Descrizione]]</f>
        <v>#VALUE!</v>
      </c>
      <c r="G823" t="e">
        <f>RigheOfferte[[#This Row],[Q.ta'']]</f>
        <v>#VALUE!</v>
      </c>
      <c r="H823" t="e">
        <f>RigheOfferte[[#This Row],[Lavorazione]]</f>
        <v>#VALUE!</v>
      </c>
      <c r="I823" t="e">
        <f>RigheOfferte[[#This Row],[Colore]]</f>
        <v>#VALUE!</v>
      </c>
      <c r="J823" t="e">
        <f>RigheOfferte[[#This Row],[Velocità]]</f>
        <v>#VALUE!</v>
      </c>
      <c r="K823" t="e">
        <f>RigheOfferte[[#This Row],[Superf.pz Mq]]</f>
        <v>#VALUE!</v>
      </c>
      <c r="L823" t="e">
        <f>RigheOfferte[[#This Row],[passo]]</f>
        <v>#VALUE!</v>
      </c>
      <c r="M823" t="e">
        <f>RigheOfferte[[#This Row],[nr.pezzi Telaio]]</f>
        <v>#VALUE!</v>
      </c>
      <c r="N823" t="e">
        <f>RigheOfferte[[#This Row],[nr.pezzi ora-unita]]</f>
        <v>#VALUE!</v>
      </c>
      <c r="O823" t="e">
        <f>Tabella1[[#This Row],[superificie]]*Resa</f>
        <v>#VALUE!</v>
      </c>
      <c r="P823" t="e">
        <f>Tabella1[[#This Row],[KgPezzo]]*Tabella1[[#This Row],[q.ta offerta]]</f>
        <v>#VALUE!</v>
      </c>
      <c r="Q823" t="e">
        <f>RigheOfferte[[#This Row],[QtaProtez]]</f>
        <v>#VALUE!</v>
      </c>
      <c r="R823" t="e">
        <f>RigheOfferte[[#This Row],[Tipo Protezione]]</f>
        <v>#VALUE!</v>
      </c>
    </row>
    <row r="824" spans="1:18">
      <c r="A824" t="e">
        <f>RigheOfferte[[#This Row],[Nprev]]</f>
        <v>#VALUE!</v>
      </c>
      <c r="B824" t="e">
        <f>RigheOfferte[[#This Row],[Nriga]]</f>
        <v>#VALUE!</v>
      </c>
      <c r="C824" t="e">
        <f>RigheOfferte[[#This Row],[Cliente]]</f>
        <v>#VALUE!</v>
      </c>
      <c r="D824" t="e">
        <f>RigheOfferte[[#This Row],[sub_cliente]]</f>
        <v>#VALUE!</v>
      </c>
      <c r="E824" t="e">
        <f>RigheOfferte[[#This Row],[cod.Art.]]</f>
        <v>#VALUE!</v>
      </c>
      <c r="F824" t="e">
        <f>RigheOfferte[[#This Row],[Descrizione]]</f>
        <v>#VALUE!</v>
      </c>
      <c r="G824" t="e">
        <f>RigheOfferte[[#This Row],[Q.ta'']]</f>
        <v>#VALUE!</v>
      </c>
      <c r="H824" t="e">
        <f>RigheOfferte[[#This Row],[Lavorazione]]</f>
        <v>#VALUE!</v>
      </c>
      <c r="I824" t="e">
        <f>RigheOfferte[[#This Row],[Colore]]</f>
        <v>#VALUE!</v>
      </c>
      <c r="J824" t="e">
        <f>RigheOfferte[[#This Row],[Velocità]]</f>
        <v>#VALUE!</v>
      </c>
      <c r="K824" t="e">
        <f>RigheOfferte[[#This Row],[Superf.pz Mq]]</f>
        <v>#VALUE!</v>
      </c>
      <c r="L824" t="e">
        <f>RigheOfferte[[#This Row],[passo]]</f>
        <v>#VALUE!</v>
      </c>
      <c r="M824" t="e">
        <f>RigheOfferte[[#This Row],[nr.pezzi Telaio]]</f>
        <v>#VALUE!</v>
      </c>
      <c r="N824" t="e">
        <f>RigheOfferte[[#This Row],[nr.pezzi ora-unita]]</f>
        <v>#VALUE!</v>
      </c>
      <c r="O824" t="e">
        <f>Tabella1[[#This Row],[superificie]]*Resa</f>
        <v>#VALUE!</v>
      </c>
      <c r="P824" t="e">
        <f>Tabella1[[#This Row],[KgPezzo]]*Tabella1[[#This Row],[q.ta offerta]]</f>
        <v>#VALUE!</v>
      </c>
      <c r="Q824" t="e">
        <f>RigheOfferte[[#This Row],[QtaProtez]]</f>
        <v>#VALUE!</v>
      </c>
      <c r="R824" t="e">
        <f>RigheOfferte[[#This Row],[Tipo Protezione]]</f>
        <v>#VALUE!</v>
      </c>
    </row>
    <row r="825" spans="1:18">
      <c r="A825" t="e">
        <f>RigheOfferte[[#This Row],[Nprev]]</f>
        <v>#VALUE!</v>
      </c>
      <c r="B825" t="e">
        <f>RigheOfferte[[#This Row],[Nriga]]</f>
        <v>#VALUE!</v>
      </c>
      <c r="C825" t="e">
        <f>RigheOfferte[[#This Row],[Cliente]]</f>
        <v>#VALUE!</v>
      </c>
      <c r="D825" t="e">
        <f>RigheOfferte[[#This Row],[sub_cliente]]</f>
        <v>#VALUE!</v>
      </c>
      <c r="E825" t="e">
        <f>RigheOfferte[[#This Row],[cod.Art.]]</f>
        <v>#VALUE!</v>
      </c>
      <c r="F825" t="e">
        <f>RigheOfferte[[#This Row],[Descrizione]]</f>
        <v>#VALUE!</v>
      </c>
      <c r="G825" t="e">
        <f>RigheOfferte[[#This Row],[Q.ta'']]</f>
        <v>#VALUE!</v>
      </c>
      <c r="H825" t="e">
        <f>RigheOfferte[[#This Row],[Lavorazione]]</f>
        <v>#VALUE!</v>
      </c>
      <c r="I825" t="e">
        <f>RigheOfferte[[#This Row],[Colore]]</f>
        <v>#VALUE!</v>
      </c>
      <c r="J825" t="e">
        <f>RigheOfferte[[#This Row],[Velocità]]</f>
        <v>#VALUE!</v>
      </c>
      <c r="K825" t="e">
        <f>RigheOfferte[[#This Row],[Superf.pz Mq]]</f>
        <v>#VALUE!</v>
      </c>
      <c r="L825" t="e">
        <f>RigheOfferte[[#This Row],[passo]]</f>
        <v>#VALUE!</v>
      </c>
      <c r="M825" t="e">
        <f>RigheOfferte[[#This Row],[nr.pezzi Telaio]]</f>
        <v>#VALUE!</v>
      </c>
      <c r="N825" t="e">
        <f>RigheOfferte[[#This Row],[nr.pezzi ora-unita]]</f>
        <v>#VALUE!</v>
      </c>
      <c r="O825" t="e">
        <f>Tabella1[[#This Row],[superificie]]*Resa</f>
        <v>#VALUE!</v>
      </c>
      <c r="P825" t="e">
        <f>Tabella1[[#This Row],[KgPezzo]]*Tabella1[[#This Row],[q.ta offerta]]</f>
        <v>#VALUE!</v>
      </c>
      <c r="Q825" t="e">
        <f>RigheOfferte[[#This Row],[QtaProtez]]</f>
        <v>#VALUE!</v>
      </c>
      <c r="R825" t="e">
        <f>RigheOfferte[[#This Row],[Tipo Protezione]]</f>
        <v>#VALUE!</v>
      </c>
    </row>
    <row r="826" spans="1:18">
      <c r="A826" t="e">
        <f>RigheOfferte[[#This Row],[Nprev]]</f>
        <v>#VALUE!</v>
      </c>
      <c r="B826" t="e">
        <f>RigheOfferte[[#This Row],[Nriga]]</f>
        <v>#VALUE!</v>
      </c>
      <c r="C826" t="e">
        <f>RigheOfferte[[#This Row],[Cliente]]</f>
        <v>#VALUE!</v>
      </c>
      <c r="D826" t="e">
        <f>RigheOfferte[[#This Row],[sub_cliente]]</f>
        <v>#VALUE!</v>
      </c>
      <c r="E826" t="e">
        <f>RigheOfferte[[#This Row],[cod.Art.]]</f>
        <v>#VALUE!</v>
      </c>
      <c r="F826" t="e">
        <f>RigheOfferte[[#This Row],[Descrizione]]</f>
        <v>#VALUE!</v>
      </c>
      <c r="G826" t="e">
        <f>RigheOfferte[[#This Row],[Q.ta'']]</f>
        <v>#VALUE!</v>
      </c>
      <c r="H826" t="e">
        <f>RigheOfferte[[#This Row],[Lavorazione]]</f>
        <v>#VALUE!</v>
      </c>
      <c r="I826" t="e">
        <f>RigheOfferte[[#This Row],[Colore]]</f>
        <v>#VALUE!</v>
      </c>
      <c r="J826" t="e">
        <f>RigheOfferte[[#This Row],[Velocità]]</f>
        <v>#VALUE!</v>
      </c>
      <c r="K826" t="e">
        <f>RigheOfferte[[#This Row],[Superf.pz Mq]]</f>
        <v>#VALUE!</v>
      </c>
      <c r="L826" t="e">
        <f>RigheOfferte[[#This Row],[passo]]</f>
        <v>#VALUE!</v>
      </c>
      <c r="M826" t="e">
        <f>RigheOfferte[[#This Row],[nr.pezzi Telaio]]</f>
        <v>#VALUE!</v>
      </c>
      <c r="N826" t="e">
        <f>RigheOfferte[[#This Row],[nr.pezzi ora-unita]]</f>
        <v>#VALUE!</v>
      </c>
      <c r="O826" t="e">
        <f>Tabella1[[#This Row],[superificie]]*Resa</f>
        <v>#VALUE!</v>
      </c>
      <c r="P826" t="e">
        <f>Tabella1[[#This Row],[KgPezzo]]*Tabella1[[#This Row],[q.ta offerta]]</f>
        <v>#VALUE!</v>
      </c>
      <c r="Q826" t="e">
        <f>RigheOfferte[[#This Row],[QtaProtez]]</f>
        <v>#VALUE!</v>
      </c>
      <c r="R826" t="e">
        <f>RigheOfferte[[#This Row],[Tipo Protezione]]</f>
        <v>#VALUE!</v>
      </c>
    </row>
    <row r="827" spans="1:18">
      <c r="A827" t="e">
        <f>RigheOfferte[[#This Row],[Nprev]]</f>
        <v>#VALUE!</v>
      </c>
      <c r="B827" t="e">
        <f>RigheOfferte[[#This Row],[Nriga]]</f>
        <v>#VALUE!</v>
      </c>
      <c r="C827" t="e">
        <f>RigheOfferte[[#This Row],[Cliente]]</f>
        <v>#VALUE!</v>
      </c>
      <c r="D827" t="e">
        <f>RigheOfferte[[#This Row],[sub_cliente]]</f>
        <v>#VALUE!</v>
      </c>
      <c r="E827" t="e">
        <f>RigheOfferte[[#This Row],[cod.Art.]]</f>
        <v>#VALUE!</v>
      </c>
      <c r="F827" t="e">
        <f>RigheOfferte[[#This Row],[Descrizione]]</f>
        <v>#VALUE!</v>
      </c>
      <c r="G827" t="e">
        <f>RigheOfferte[[#This Row],[Q.ta'']]</f>
        <v>#VALUE!</v>
      </c>
      <c r="H827" t="e">
        <f>RigheOfferte[[#This Row],[Lavorazione]]</f>
        <v>#VALUE!</v>
      </c>
      <c r="I827" t="e">
        <f>RigheOfferte[[#This Row],[Colore]]</f>
        <v>#VALUE!</v>
      </c>
      <c r="J827" t="e">
        <f>RigheOfferte[[#This Row],[Velocità]]</f>
        <v>#VALUE!</v>
      </c>
      <c r="K827" t="e">
        <f>RigheOfferte[[#This Row],[Superf.pz Mq]]</f>
        <v>#VALUE!</v>
      </c>
      <c r="L827" t="e">
        <f>RigheOfferte[[#This Row],[passo]]</f>
        <v>#VALUE!</v>
      </c>
      <c r="M827" t="e">
        <f>RigheOfferte[[#This Row],[nr.pezzi Telaio]]</f>
        <v>#VALUE!</v>
      </c>
      <c r="N827" t="e">
        <f>RigheOfferte[[#This Row],[nr.pezzi ora-unita]]</f>
        <v>#VALUE!</v>
      </c>
      <c r="O827" t="e">
        <f>Tabella1[[#This Row],[superificie]]*Resa</f>
        <v>#VALUE!</v>
      </c>
      <c r="P827" t="e">
        <f>Tabella1[[#This Row],[KgPezzo]]*Tabella1[[#This Row],[q.ta offerta]]</f>
        <v>#VALUE!</v>
      </c>
      <c r="Q827" t="e">
        <f>RigheOfferte[[#This Row],[QtaProtez]]</f>
        <v>#VALUE!</v>
      </c>
      <c r="R827" t="e">
        <f>RigheOfferte[[#This Row],[Tipo Protezione]]</f>
        <v>#VALUE!</v>
      </c>
    </row>
    <row r="828" spans="1:18">
      <c r="A828" t="e">
        <f>RigheOfferte[[#This Row],[Nprev]]</f>
        <v>#VALUE!</v>
      </c>
      <c r="B828" t="e">
        <f>RigheOfferte[[#This Row],[Nriga]]</f>
        <v>#VALUE!</v>
      </c>
      <c r="C828" t="e">
        <f>RigheOfferte[[#This Row],[Cliente]]</f>
        <v>#VALUE!</v>
      </c>
      <c r="D828" t="e">
        <f>RigheOfferte[[#This Row],[sub_cliente]]</f>
        <v>#VALUE!</v>
      </c>
      <c r="E828" t="e">
        <f>RigheOfferte[[#This Row],[cod.Art.]]</f>
        <v>#VALUE!</v>
      </c>
      <c r="F828" t="e">
        <f>RigheOfferte[[#This Row],[Descrizione]]</f>
        <v>#VALUE!</v>
      </c>
      <c r="G828" t="e">
        <f>RigheOfferte[[#This Row],[Q.ta'']]</f>
        <v>#VALUE!</v>
      </c>
      <c r="H828" t="e">
        <f>RigheOfferte[[#This Row],[Lavorazione]]</f>
        <v>#VALUE!</v>
      </c>
      <c r="I828" t="e">
        <f>RigheOfferte[[#This Row],[Colore]]</f>
        <v>#VALUE!</v>
      </c>
      <c r="J828" t="e">
        <f>RigheOfferte[[#This Row],[Velocità]]</f>
        <v>#VALUE!</v>
      </c>
      <c r="K828" t="e">
        <f>RigheOfferte[[#This Row],[Superf.pz Mq]]</f>
        <v>#VALUE!</v>
      </c>
      <c r="L828" t="e">
        <f>RigheOfferte[[#This Row],[passo]]</f>
        <v>#VALUE!</v>
      </c>
      <c r="M828" t="e">
        <f>RigheOfferte[[#This Row],[nr.pezzi Telaio]]</f>
        <v>#VALUE!</v>
      </c>
      <c r="N828" t="e">
        <f>RigheOfferte[[#This Row],[nr.pezzi ora-unita]]</f>
        <v>#VALUE!</v>
      </c>
      <c r="O828" t="e">
        <f>Tabella1[[#This Row],[superificie]]*Resa</f>
        <v>#VALUE!</v>
      </c>
      <c r="P828" t="e">
        <f>Tabella1[[#This Row],[KgPezzo]]*Tabella1[[#This Row],[q.ta offerta]]</f>
        <v>#VALUE!</v>
      </c>
      <c r="Q828" t="e">
        <f>RigheOfferte[[#This Row],[QtaProtez]]</f>
        <v>#VALUE!</v>
      </c>
      <c r="R828" t="e">
        <f>RigheOfferte[[#This Row],[Tipo Protezione]]</f>
        <v>#VALUE!</v>
      </c>
    </row>
    <row r="829" spans="1:18">
      <c r="A829" t="e">
        <f>RigheOfferte[[#This Row],[Nprev]]</f>
        <v>#VALUE!</v>
      </c>
      <c r="B829" t="e">
        <f>RigheOfferte[[#This Row],[Nriga]]</f>
        <v>#VALUE!</v>
      </c>
      <c r="C829" t="e">
        <f>RigheOfferte[[#This Row],[Cliente]]</f>
        <v>#VALUE!</v>
      </c>
      <c r="D829" t="e">
        <f>RigheOfferte[[#This Row],[sub_cliente]]</f>
        <v>#VALUE!</v>
      </c>
      <c r="E829" t="e">
        <f>RigheOfferte[[#This Row],[cod.Art.]]</f>
        <v>#VALUE!</v>
      </c>
      <c r="F829" t="e">
        <f>RigheOfferte[[#This Row],[Descrizione]]</f>
        <v>#VALUE!</v>
      </c>
      <c r="G829" t="e">
        <f>RigheOfferte[[#This Row],[Q.ta'']]</f>
        <v>#VALUE!</v>
      </c>
      <c r="H829" t="e">
        <f>RigheOfferte[[#This Row],[Lavorazione]]</f>
        <v>#VALUE!</v>
      </c>
      <c r="I829" t="e">
        <f>RigheOfferte[[#This Row],[Colore]]</f>
        <v>#VALUE!</v>
      </c>
      <c r="J829" t="e">
        <f>RigheOfferte[[#This Row],[Velocità]]</f>
        <v>#VALUE!</v>
      </c>
      <c r="K829" t="e">
        <f>RigheOfferte[[#This Row],[Superf.pz Mq]]</f>
        <v>#VALUE!</v>
      </c>
      <c r="L829" t="e">
        <f>RigheOfferte[[#This Row],[passo]]</f>
        <v>#VALUE!</v>
      </c>
      <c r="M829" t="e">
        <f>RigheOfferte[[#This Row],[nr.pezzi Telaio]]</f>
        <v>#VALUE!</v>
      </c>
      <c r="N829" t="e">
        <f>RigheOfferte[[#This Row],[nr.pezzi ora-unita]]</f>
        <v>#VALUE!</v>
      </c>
      <c r="O829" t="e">
        <f>Tabella1[[#This Row],[superificie]]*Resa</f>
        <v>#VALUE!</v>
      </c>
      <c r="P829" t="e">
        <f>Tabella1[[#This Row],[KgPezzo]]*Tabella1[[#This Row],[q.ta offerta]]</f>
        <v>#VALUE!</v>
      </c>
      <c r="Q829" t="e">
        <f>RigheOfferte[[#This Row],[QtaProtez]]</f>
        <v>#VALUE!</v>
      </c>
      <c r="R829" t="e">
        <f>RigheOfferte[[#This Row],[Tipo Protezione]]</f>
        <v>#VALUE!</v>
      </c>
    </row>
    <row r="830" spans="1:18">
      <c r="A830" t="e">
        <f>RigheOfferte[[#This Row],[Nprev]]</f>
        <v>#VALUE!</v>
      </c>
      <c r="B830" t="e">
        <f>RigheOfferte[[#This Row],[Nriga]]</f>
        <v>#VALUE!</v>
      </c>
      <c r="C830" t="e">
        <f>RigheOfferte[[#This Row],[Cliente]]</f>
        <v>#VALUE!</v>
      </c>
      <c r="D830" t="e">
        <f>RigheOfferte[[#This Row],[sub_cliente]]</f>
        <v>#VALUE!</v>
      </c>
      <c r="E830" t="e">
        <f>RigheOfferte[[#This Row],[cod.Art.]]</f>
        <v>#VALUE!</v>
      </c>
      <c r="F830" t="e">
        <f>RigheOfferte[[#This Row],[Descrizione]]</f>
        <v>#VALUE!</v>
      </c>
      <c r="G830" t="e">
        <f>RigheOfferte[[#This Row],[Q.ta'']]</f>
        <v>#VALUE!</v>
      </c>
      <c r="H830" t="e">
        <f>RigheOfferte[[#This Row],[Lavorazione]]</f>
        <v>#VALUE!</v>
      </c>
      <c r="I830" t="e">
        <f>RigheOfferte[[#This Row],[Colore]]</f>
        <v>#VALUE!</v>
      </c>
      <c r="J830" t="e">
        <f>RigheOfferte[[#This Row],[Velocità]]</f>
        <v>#VALUE!</v>
      </c>
      <c r="K830" t="e">
        <f>RigheOfferte[[#This Row],[Superf.pz Mq]]</f>
        <v>#VALUE!</v>
      </c>
      <c r="L830" t="e">
        <f>RigheOfferte[[#This Row],[passo]]</f>
        <v>#VALUE!</v>
      </c>
      <c r="M830" t="e">
        <f>RigheOfferte[[#This Row],[nr.pezzi Telaio]]</f>
        <v>#VALUE!</v>
      </c>
      <c r="N830" t="e">
        <f>RigheOfferte[[#This Row],[nr.pezzi ora-unita]]</f>
        <v>#VALUE!</v>
      </c>
      <c r="O830" t="e">
        <f>Tabella1[[#This Row],[superificie]]*Resa</f>
        <v>#VALUE!</v>
      </c>
      <c r="P830" t="e">
        <f>Tabella1[[#This Row],[KgPezzo]]*Tabella1[[#This Row],[q.ta offerta]]</f>
        <v>#VALUE!</v>
      </c>
      <c r="Q830" t="e">
        <f>RigheOfferte[[#This Row],[QtaProtez]]</f>
        <v>#VALUE!</v>
      </c>
      <c r="R830" t="e">
        <f>RigheOfferte[[#This Row],[Tipo Protezione]]</f>
        <v>#VALUE!</v>
      </c>
    </row>
    <row r="831" spans="1:18">
      <c r="A831" t="e">
        <f>RigheOfferte[[#This Row],[Nprev]]</f>
        <v>#VALUE!</v>
      </c>
      <c r="B831" t="e">
        <f>RigheOfferte[[#This Row],[Nriga]]</f>
        <v>#VALUE!</v>
      </c>
      <c r="C831" t="e">
        <f>RigheOfferte[[#This Row],[Cliente]]</f>
        <v>#VALUE!</v>
      </c>
      <c r="D831" t="e">
        <f>RigheOfferte[[#This Row],[sub_cliente]]</f>
        <v>#VALUE!</v>
      </c>
      <c r="E831" t="e">
        <f>RigheOfferte[[#This Row],[cod.Art.]]</f>
        <v>#VALUE!</v>
      </c>
      <c r="F831" t="e">
        <f>RigheOfferte[[#This Row],[Descrizione]]</f>
        <v>#VALUE!</v>
      </c>
      <c r="G831" t="e">
        <f>RigheOfferte[[#This Row],[Q.ta'']]</f>
        <v>#VALUE!</v>
      </c>
      <c r="H831" t="e">
        <f>RigheOfferte[[#This Row],[Lavorazione]]</f>
        <v>#VALUE!</v>
      </c>
      <c r="I831" t="e">
        <f>RigheOfferte[[#This Row],[Colore]]</f>
        <v>#VALUE!</v>
      </c>
      <c r="J831" t="e">
        <f>RigheOfferte[[#This Row],[Velocità]]</f>
        <v>#VALUE!</v>
      </c>
      <c r="K831" t="e">
        <f>RigheOfferte[[#This Row],[Superf.pz Mq]]</f>
        <v>#VALUE!</v>
      </c>
      <c r="L831" t="e">
        <f>RigheOfferte[[#This Row],[passo]]</f>
        <v>#VALUE!</v>
      </c>
      <c r="M831" t="e">
        <f>RigheOfferte[[#This Row],[nr.pezzi Telaio]]</f>
        <v>#VALUE!</v>
      </c>
      <c r="N831" t="e">
        <f>RigheOfferte[[#This Row],[nr.pezzi ora-unita]]</f>
        <v>#VALUE!</v>
      </c>
      <c r="O831" t="e">
        <f>Tabella1[[#This Row],[superificie]]*Resa</f>
        <v>#VALUE!</v>
      </c>
      <c r="P831" t="e">
        <f>Tabella1[[#This Row],[KgPezzo]]*Tabella1[[#This Row],[q.ta offerta]]</f>
        <v>#VALUE!</v>
      </c>
      <c r="Q831" t="e">
        <f>RigheOfferte[[#This Row],[QtaProtez]]</f>
        <v>#VALUE!</v>
      </c>
      <c r="R831" t="e">
        <f>RigheOfferte[[#This Row],[Tipo Protezione]]</f>
        <v>#VALUE!</v>
      </c>
    </row>
    <row r="832" spans="1:18">
      <c r="A832" t="e">
        <f>RigheOfferte[[#This Row],[Nprev]]</f>
        <v>#VALUE!</v>
      </c>
      <c r="B832" t="e">
        <f>RigheOfferte[[#This Row],[Nriga]]</f>
        <v>#VALUE!</v>
      </c>
      <c r="C832" t="e">
        <f>RigheOfferte[[#This Row],[Cliente]]</f>
        <v>#VALUE!</v>
      </c>
      <c r="D832" t="e">
        <f>RigheOfferte[[#This Row],[sub_cliente]]</f>
        <v>#VALUE!</v>
      </c>
      <c r="E832" t="e">
        <f>RigheOfferte[[#This Row],[cod.Art.]]</f>
        <v>#VALUE!</v>
      </c>
      <c r="F832" t="e">
        <f>RigheOfferte[[#This Row],[Descrizione]]</f>
        <v>#VALUE!</v>
      </c>
      <c r="G832" t="e">
        <f>RigheOfferte[[#This Row],[Q.ta'']]</f>
        <v>#VALUE!</v>
      </c>
      <c r="H832" t="e">
        <f>RigheOfferte[[#This Row],[Lavorazione]]</f>
        <v>#VALUE!</v>
      </c>
      <c r="I832" t="e">
        <f>RigheOfferte[[#This Row],[Colore]]</f>
        <v>#VALUE!</v>
      </c>
      <c r="J832" t="e">
        <f>RigheOfferte[[#This Row],[Velocità]]</f>
        <v>#VALUE!</v>
      </c>
      <c r="K832" t="e">
        <f>RigheOfferte[[#This Row],[Superf.pz Mq]]</f>
        <v>#VALUE!</v>
      </c>
      <c r="L832" t="e">
        <f>RigheOfferte[[#This Row],[passo]]</f>
        <v>#VALUE!</v>
      </c>
      <c r="M832" t="e">
        <f>RigheOfferte[[#This Row],[nr.pezzi Telaio]]</f>
        <v>#VALUE!</v>
      </c>
      <c r="N832" t="e">
        <f>RigheOfferte[[#This Row],[nr.pezzi ora-unita]]</f>
        <v>#VALUE!</v>
      </c>
      <c r="O832" t="e">
        <f>Tabella1[[#This Row],[superificie]]*Resa</f>
        <v>#VALUE!</v>
      </c>
      <c r="P832" t="e">
        <f>Tabella1[[#This Row],[KgPezzo]]*Tabella1[[#This Row],[q.ta offerta]]</f>
        <v>#VALUE!</v>
      </c>
      <c r="Q832" t="e">
        <f>RigheOfferte[[#This Row],[QtaProtez]]</f>
        <v>#VALUE!</v>
      </c>
      <c r="R832" t="e">
        <f>RigheOfferte[[#This Row],[Tipo Protezione]]</f>
        <v>#VALUE!</v>
      </c>
    </row>
    <row r="833" spans="1:18">
      <c r="A833" t="e">
        <f>RigheOfferte[[#This Row],[Nprev]]</f>
        <v>#VALUE!</v>
      </c>
      <c r="B833" t="e">
        <f>RigheOfferte[[#This Row],[Nriga]]</f>
        <v>#VALUE!</v>
      </c>
      <c r="C833" t="e">
        <f>RigheOfferte[[#This Row],[Cliente]]</f>
        <v>#VALUE!</v>
      </c>
      <c r="D833" t="e">
        <f>RigheOfferte[[#This Row],[sub_cliente]]</f>
        <v>#VALUE!</v>
      </c>
      <c r="E833" t="e">
        <f>RigheOfferte[[#This Row],[cod.Art.]]</f>
        <v>#VALUE!</v>
      </c>
      <c r="F833" t="e">
        <f>RigheOfferte[[#This Row],[Descrizione]]</f>
        <v>#VALUE!</v>
      </c>
      <c r="G833" t="e">
        <f>RigheOfferte[[#This Row],[Q.ta'']]</f>
        <v>#VALUE!</v>
      </c>
      <c r="H833" t="e">
        <f>RigheOfferte[[#This Row],[Lavorazione]]</f>
        <v>#VALUE!</v>
      </c>
      <c r="I833" t="e">
        <f>RigheOfferte[[#This Row],[Colore]]</f>
        <v>#VALUE!</v>
      </c>
      <c r="J833" t="e">
        <f>RigheOfferte[[#This Row],[Velocità]]</f>
        <v>#VALUE!</v>
      </c>
      <c r="K833" t="e">
        <f>RigheOfferte[[#This Row],[Superf.pz Mq]]</f>
        <v>#VALUE!</v>
      </c>
      <c r="L833" t="e">
        <f>RigheOfferte[[#This Row],[passo]]</f>
        <v>#VALUE!</v>
      </c>
      <c r="M833" t="e">
        <f>RigheOfferte[[#This Row],[nr.pezzi Telaio]]</f>
        <v>#VALUE!</v>
      </c>
      <c r="N833" t="e">
        <f>RigheOfferte[[#This Row],[nr.pezzi ora-unita]]</f>
        <v>#VALUE!</v>
      </c>
      <c r="O833" t="e">
        <f>Tabella1[[#This Row],[superificie]]*Resa</f>
        <v>#VALUE!</v>
      </c>
      <c r="P833" t="e">
        <f>Tabella1[[#This Row],[KgPezzo]]*Tabella1[[#This Row],[q.ta offerta]]</f>
        <v>#VALUE!</v>
      </c>
      <c r="Q833" t="e">
        <f>RigheOfferte[[#This Row],[QtaProtez]]</f>
        <v>#VALUE!</v>
      </c>
      <c r="R833" t="e">
        <f>RigheOfferte[[#This Row],[Tipo Protezione]]</f>
        <v>#VALUE!</v>
      </c>
    </row>
    <row r="834" spans="1:18">
      <c r="A834" t="e">
        <f>RigheOfferte[[#This Row],[Nprev]]</f>
        <v>#VALUE!</v>
      </c>
      <c r="B834" t="e">
        <f>RigheOfferte[[#This Row],[Nriga]]</f>
        <v>#VALUE!</v>
      </c>
      <c r="C834" t="e">
        <f>RigheOfferte[[#This Row],[Cliente]]</f>
        <v>#VALUE!</v>
      </c>
      <c r="D834" t="e">
        <f>RigheOfferte[[#This Row],[sub_cliente]]</f>
        <v>#VALUE!</v>
      </c>
      <c r="E834" t="e">
        <f>RigheOfferte[[#This Row],[cod.Art.]]</f>
        <v>#VALUE!</v>
      </c>
      <c r="F834" t="e">
        <f>RigheOfferte[[#This Row],[Descrizione]]</f>
        <v>#VALUE!</v>
      </c>
      <c r="G834" t="e">
        <f>RigheOfferte[[#This Row],[Q.ta'']]</f>
        <v>#VALUE!</v>
      </c>
      <c r="H834" t="e">
        <f>RigheOfferte[[#This Row],[Lavorazione]]</f>
        <v>#VALUE!</v>
      </c>
      <c r="I834" t="e">
        <f>RigheOfferte[[#This Row],[Colore]]</f>
        <v>#VALUE!</v>
      </c>
      <c r="J834" t="e">
        <f>RigheOfferte[[#This Row],[Velocità]]</f>
        <v>#VALUE!</v>
      </c>
      <c r="K834" t="e">
        <f>RigheOfferte[[#This Row],[Superf.pz Mq]]</f>
        <v>#VALUE!</v>
      </c>
      <c r="L834" t="e">
        <f>RigheOfferte[[#This Row],[passo]]</f>
        <v>#VALUE!</v>
      </c>
      <c r="M834" t="e">
        <f>RigheOfferte[[#This Row],[nr.pezzi Telaio]]</f>
        <v>#VALUE!</v>
      </c>
      <c r="N834" t="e">
        <f>RigheOfferte[[#This Row],[nr.pezzi ora-unita]]</f>
        <v>#VALUE!</v>
      </c>
      <c r="O834" t="e">
        <f>Tabella1[[#This Row],[superificie]]*Resa</f>
        <v>#VALUE!</v>
      </c>
      <c r="P834" t="e">
        <f>Tabella1[[#This Row],[KgPezzo]]*Tabella1[[#This Row],[q.ta offerta]]</f>
        <v>#VALUE!</v>
      </c>
      <c r="Q834" t="e">
        <f>RigheOfferte[[#This Row],[QtaProtez]]</f>
        <v>#VALUE!</v>
      </c>
      <c r="R834" t="e">
        <f>RigheOfferte[[#This Row],[Tipo Protezione]]</f>
        <v>#VALUE!</v>
      </c>
    </row>
    <row r="835" spans="1:18">
      <c r="A835" t="e">
        <f>RigheOfferte[[#This Row],[Nprev]]</f>
        <v>#VALUE!</v>
      </c>
      <c r="B835" t="e">
        <f>RigheOfferte[[#This Row],[Nriga]]</f>
        <v>#VALUE!</v>
      </c>
      <c r="C835" t="e">
        <f>RigheOfferte[[#This Row],[Cliente]]</f>
        <v>#VALUE!</v>
      </c>
      <c r="D835" t="e">
        <f>RigheOfferte[[#This Row],[sub_cliente]]</f>
        <v>#VALUE!</v>
      </c>
      <c r="E835" t="e">
        <f>RigheOfferte[[#This Row],[cod.Art.]]</f>
        <v>#VALUE!</v>
      </c>
      <c r="F835" t="e">
        <f>RigheOfferte[[#This Row],[Descrizione]]</f>
        <v>#VALUE!</v>
      </c>
      <c r="G835" t="e">
        <f>RigheOfferte[[#This Row],[Q.ta'']]</f>
        <v>#VALUE!</v>
      </c>
      <c r="H835" t="e">
        <f>RigheOfferte[[#This Row],[Lavorazione]]</f>
        <v>#VALUE!</v>
      </c>
      <c r="I835" t="e">
        <f>RigheOfferte[[#This Row],[Colore]]</f>
        <v>#VALUE!</v>
      </c>
      <c r="J835" t="e">
        <f>RigheOfferte[[#This Row],[Velocità]]</f>
        <v>#VALUE!</v>
      </c>
      <c r="K835" t="e">
        <f>RigheOfferte[[#This Row],[Superf.pz Mq]]</f>
        <v>#VALUE!</v>
      </c>
      <c r="L835" t="e">
        <f>RigheOfferte[[#This Row],[passo]]</f>
        <v>#VALUE!</v>
      </c>
      <c r="M835" t="e">
        <f>RigheOfferte[[#This Row],[nr.pezzi Telaio]]</f>
        <v>#VALUE!</v>
      </c>
      <c r="N835" t="e">
        <f>RigheOfferte[[#This Row],[nr.pezzi ora-unita]]</f>
        <v>#VALUE!</v>
      </c>
      <c r="O835" t="e">
        <f>Tabella1[[#This Row],[superificie]]*Resa</f>
        <v>#VALUE!</v>
      </c>
      <c r="P835" t="e">
        <f>Tabella1[[#This Row],[KgPezzo]]*Tabella1[[#This Row],[q.ta offerta]]</f>
        <v>#VALUE!</v>
      </c>
      <c r="Q835" t="e">
        <f>RigheOfferte[[#This Row],[QtaProtez]]</f>
        <v>#VALUE!</v>
      </c>
      <c r="R835" t="e">
        <f>RigheOfferte[[#This Row],[Tipo Protezione]]</f>
        <v>#VALUE!</v>
      </c>
    </row>
    <row r="836" spans="1:18">
      <c r="A836" t="e">
        <f>RigheOfferte[[#This Row],[Nprev]]</f>
        <v>#VALUE!</v>
      </c>
      <c r="B836" t="e">
        <f>RigheOfferte[[#This Row],[Nriga]]</f>
        <v>#VALUE!</v>
      </c>
      <c r="C836" t="e">
        <f>RigheOfferte[[#This Row],[Cliente]]</f>
        <v>#VALUE!</v>
      </c>
      <c r="D836" t="e">
        <f>RigheOfferte[[#This Row],[sub_cliente]]</f>
        <v>#VALUE!</v>
      </c>
      <c r="E836" t="e">
        <f>RigheOfferte[[#This Row],[cod.Art.]]</f>
        <v>#VALUE!</v>
      </c>
      <c r="F836" t="e">
        <f>RigheOfferte[[#This Row],[Descrizione]]</f>
        <v>#VALUE!</v>
      </c>
      <c r="G836" t="e">
        <f>RigheOfferte[[#This Row],[Q.ta'']]</f>
        <v>#VALUE!</v>
      </c>
      <c r="H836" t="e">
        <f>RigheOfferte[[#This Row],[Lavorazione]]</f>
        <v>#VALUE!</v>
      </c>
      <c r="I836" t="e">
        <f>RigheOfferte[[#This Row],[Colore]]</f>
        <v>#VALUE!</v>
      </c>
      <c r="J836" t="e">
        <f>RigheOfferte[[#This Row],[Velocità]]</f>
        <v>#VALUE!</v>
      </c>
      <c r="K836" t="e">
        <f>RigheOfferte[[#This Row],[Superf.pz Mq]]</f>
        <v>#VALUE!</v>
      </c>
      <c r="L836" t="e">
        <f>RigheOfferte[[#This Row],[passo]]</f>
        <v>#VALUE!</v>
      </c>
      <c r="M836" t="e">
        <f>RigheOfferte[[#This Row],[nr.pezzi Telaio]]</f>
        <v>#VALUE!</v>
      </c>
      <c r="N836" t="e">
        <f>RigheOfferte[[#This Row],[nr.pezzi ora-unita]]</f>
        <v>#VALUE!</v>
      </c>
      <c r="O836" t="e">
        <f>Tabella1[[#This Row],[superificie]]*Resa</f>
        <v>#VALUE!</v>
      </c>
      <c r="P836" t="e">
        <f>Tabella1[[#This Row],[KgPezzo]]*Tabella1[[#This Row],[q.ta offerta]]</f>
        <v>#VALUE!</v>
      </c>
      <c r="Q836" t="e">
        <f>RigheOfferte[[#This Row],[QtaProtez]]</f>
        <v>#VALUE!</v>
      </c>
      <c r="R836" t="e">
        <f>RigheOfferte[[#This Row],[Tipo Protezione]]</f>
        <v>#VALUE!</v>
      </c>
    </row>
    <row r="837" spans="1:18">
      <c r="A837" t="e">
        <f>RigheOfferte[[#This Row],[Nprev]]</f>
        <v>#VALUE!</v>
      </c>
      <c r="B837" t="e">
        <f>RigheOfferte[[#This Row],[Nriga]]</f>
        <v>#VALUE!</v>
      </c>
      <c r="C837" t="e">
        <f>RigheOfferte[[#This Row],[Cliente]]</f>
        <v>#VALUE!</v>
      </c>
      <c r="D837" t="e">
        <f>RigheOfferte[[#This Row],[sub_cliente]]</f>
        <v>#VALUE!</v>
      </c>
      <c r="E837" t="e">
        <f>RigheOfferte[[#This Row],[cod.Art.]]</f>
        <v>#VALUE!</v>
      </c>
      <c r="F837" t="e">
        <f>RigheOfferte[[#This Row],[Descrizione]]</f>
        <v>#VALUE!</v>
      </c>
      <c r="G837" t="e">
        <f>RigheOfferte[[#This Row],[Q.ta'']]</f>
        <v>#VALUE!</v>
      </c>
      <c r="H837" t="e">
        <f>RigheOfferte[[#This Row],[Lavorazione]]</f>
        <v>#VALUE!</v>
      </c>
      <c r="I837" t="e">
        <f>RigheOfferte[[#This Row],[Colore]]</f>
        <v>#VALUE!</v>
      </c>
      <c r="J837" t="e">
        <f>RigheOfferte[[#This Row],[Velocità]]</f>
        <v>#VALUE!</v>
      </c>
      <c r="K837" t="e">
        <f>RigheOfferte[[#This Row],[Superf.pz Mq]]</f>
        <v>#VALUE!</v>
      </c>
      <c r="L837" t="e">
        <f>RigheOfferte[[#This Row],[passo]]</f>
        <v>#VALUE!</v>
      </c>
      <c r="M837" t="e">
        <f>RigheOfferte[[#This Row],[nr.pezzi Telaio]]</f>
        <v>#VALUE!</v>
      </c>
      <c r="N837" t="e">
        <f>RigheOfferte[[#This Row],[nr.pezzi ora-unita]]</f>
        <v>#VALUE!</v>
      </c>
      <c r="O837" t="e">
        <f>Tabella1[[#This Row],[superificie]]*Resa</f>
        <v>#VALUE!</v>
      </c>
      <c r="P837" t="e">
        <f>Tabella1[[#This Row],[KgPezzo]]*Tabella1[[#This Row],[q.ta offerta]]</f>
        <v>#VALUE!</v>
      </c>
      <c r="Q837" t="e">
        <f>RigheOfferte[[#This Row],[QtaProtez]]</f>
        <v>#VALUE!</v>
      </c>
      <c r="R837" t="e">
        <f>RigheOfferte[[#This Row],[Tipo Protezione]]</f>
        <v>#VALUE!</v>
      </c>
    </row>
    <row r="838" spans="1:18">
      <c r="A838" t="e">
        <f>RigheOfferte[[#This Row],[Nprev]]</f>
        <v>#VALUE!</v>
      </c>
      <c r="B838" t="e">
        <f>RigheOfferte[[#This Row],[Nriga]]</f>
        <v>#VALUE!</v>
      </c>
      <c r="C838" t="e">
        <f>RigheOfferte[[#This Row],[Cliente]]</f>
        <v>#VALUE!</v>
      </c>
      <c r="D838" t="e">
        <f>RigheOfferte[[#This Row],[sub_cliente]]</f>
        <v>#VALUE!</v>
      </c>
      <c r="E838" t="e">
        <f>RigheOfferte[[#This Row],[cod.Art.]]</f>
        <v>#VALUE!</v>
      </c>
      <c r="F838" t="e">
        <f>RigheOfferte[[#This Row],[Descrizione]]</f>
        <v>#VALUE!</v>
      </c>
      <c r="G838" t="e">
        <f>RigheOfferte[[#This Row],[Q.ta'']]</f>
        <v>#VALUE!</v>
      </c>
      <c r="H838" t="e">
        <f>RigheOfferte[[#This Row],[Lavorazione]]</f>
        <v>#VALUE!</v>
      </c>
      <c r="I838" t="e">
        <f>RigheOfferte[[#This Row],[Colore]]</f>
        <v>#VALUE!</v>
      </c>
      <c r="J838" t="e">
        <f>RigheOfferte[[#This Row],[Velocità]]</f>
        <v>#VALUE!</v>
      </c>
      <c r="K838" t="e">
        <f>RigheOfferte[[#This Row],[Superf.pz Mq]]</f>
        <v>#VALUE!</v>
      </c>
      <c r="L838" t="e">
        <f>RigheOfferte[[#This Row],[passo]]</f>
        <v>#VALUE!</v>
      </c>
      <c r="M838" t="e">
        <f>RigheOfferte[[#This Row],[nr.pezzi Telaio]]</f>
        <v>#VALUE!</v>
      </c>
      <c r="N838" t="e">
        <f>RigheOfferte[[#This Row],[nr.pezzi ora-unita]]</f>
        <v>#VALUE!</v>
      </c>
      <c r="O838" t="e">
        <f>Tabella1[[#This Row],[superificie]]*Resa</f>
        <v>#VALUE!</v>
      </c>
      <c r="P838" t="e">
        <f>Tabella1[[#This Row],[KgPezzo]]*Tabella1[[#This Row],[q.ta offerta]]</f>
        <v>#VALUE!</v>
      </c>
      <c r="Q838" t="e">
        <f>RigheOfferte[[#This Row],[QtaProtez]]</f>
        <v>#VALUE!</v>
      </c>
      <c r="R838" t="e">
        <f>RigheOfferte[[#This Row],[Tipo Protezione]]</f>
        <v>#VALUE!</v>
      </c>
    </row>
    <row r="839" spans="1:18">
      <c r="A839" t="e">
        <f>RigheOfferte[[#This Row],[Nprev]]</f>
        <v>#VALUE!</v>
      </c>
      <c r="B839" t="e">
        <f>RigheOfferte[[#This Row],[Nriga]]</f>
        <v>#VALUE!</v>
      </c>
      <c r="C839" t="e">
        <f>RigheOfferte[[#This Row],[Cliente]]</f>
        <v>#VALUE!</v>
      </c>
      <c r="D839" t="e">
        <f>RigheOfferte[[#This Row],[sub_cliente]]</f>
        <v>#VALUE!</v>
      </c>
      <c r="E839" t="e">
        <f>RigheOfferte[[#This Row],[cod.Art.]]</f>
        <v>#VALUE!</v>
      </c>
      <c r="F839" t="e">
        <f>RigheOfferte[[#This Row],[Descrizione]]</f>
        <v>#VALUE!</v>
      </c>
      <c r="G839" t="e">
        <f>RigheOfferte[[#This Row],[Q.ta'']]</f>
        <v>#VALUE!</v>
      </c>
      <c r="H839" t="e">
        <f>RigheOfferte[[#This Row],[Lavorazione]]</f>
        <v>#VALUE!</v>
      </c>
      <c r="I839" t="e">
        <f>RigheOfferte[[#This Row],[Colore]]</f>
        <v>#VALUE!</v>
      </c>
      <c r="J839" t="e">
        <f>RigheOfferte[[#This Row],[Velocità]]</f>
        <v>#VALUE!</v>
      </c>
      <c r="K839" t="e">
        <f>RigheOfferte[[#This Row],[Superf.pz Mq]]</f>
        <v>#VALUE!</v>
      </c>
      <c r="L839" t="e">
        <f>RigheOfferte[[#This Row],[passo]]</f>
        <v>#VALUE!</v>
      </c>
      <c r="M839" t="e">
        <f>RigheOfferte[[#This Row],[nr.pezzi Telaio]]</f>
        <v>#VALUE!</v>
      </c>
      <c r="N839" t="e">
        <f>RigheOfferte[[#This Row],[nr.pezzi ora-unita]]</f>
        <v>#VALUE!</v>
      </c>
      <c r="O839" t="e">
        <f>Tabella1[[#This Row],[superificie]]*Resa</f>
        <v>#VALUE!</v>
      </c>
      <c r="P839" t="e">
        <f>Tabella1[[#This Row],[KgPezzo]]*Tabella1[[#This Row],[q.ta offerta]]</f>
        <v>#VALUE!</v>
      </c>
      <c r="Q839" t="e">
        <f>RigheOfferte[[#This Row],[QtaProtez]]</f>
        <v>#VALUE!</v>
      </c>
      <c r="R839" t="e">
        <f>RigheOfferte[[#This Row],[Tipo Protezione]]</f>
        <v>#VALUE!</v>
      </c>
    </row>
    <row r="840" spans="1:18">
      <c r="A840" t="e">
        <f>RigheOfferte[[#This Row],[Nprev]]</f>
        <v>#VALUE!</v>
      </c>
      <c r="B840" t="e">
        <f>RigheOfferte[[#This Row],[Nriga]]</f>
        <v>#VALUE!</v>
      </c>
      <c r="C840" t="e">
        <f>RigheOfferte[[#This Row],[Cliente]]</f>
        <v>#VALUE!</v>
      </c>
      <c r="D840" t="e">
        <f>RigheOfferte[[#This Row],[sub_cliente]]</f>
        <v>#VALUE!</v>
      </c>
      <c r="E840" t="e">
        <f>RigheOfferte[[#This Row],[cod.Art.]]</f>
        <v>#VALUE!</v>
      </c>
      <c r="F840" t="e">
        <f>RigheOfferte[[#This Row],[Descrizione]]</f>
        <v>#VALUE!</v>
      </c>
      <c r="G840" t="e">
        <f>RigheOfferte[[#This Row],[Q.ta'']]</f>
        <v>#VALUE!</v>
      </c>
      <c r="H840" t="e">
        <f>RigheOfferte[[#This Row],[Lavorazione]]</f>
        <v>#VALUE!</v>
      </c>
      <c r="I840" t="e">
        <f>RigheOfferte[[#This Row],[Colore]]</f>
        <v>#VALUE!</v>
      </c>
      <c r="J840" t="e">
        <f>RigheOfferte[[#This Row],[Velocità]]</f>
        <v>#VALUE!</v>
      </c>
      <c r="K840" t="e">
        <f>RigheOfferte[[#This Row],[Superf.pz Mq]]</f>
        <v>#VALUE!</v>
      </c>
      <c r="L840" t="e">
        <f>RigheOfferte[[#This Row],[passo]]</f>
        <v>#VALUE!</v>
      </c>
      <c r="M840" t="e">
        <f>RigheOfferte[[#This Row],[nr.pezzi Telaio]]</f>
        <v>#VALUE!</v>
      </c>
      <c r="N840" t="e">
        <f>RigheOfferte[[#This Row],[nr.pezzi ora-unita]]</f>
        <v>#VALUE!</v>
      </c>
      <c r="O840" t="e">
        <f>Tabella1[[#This Row],[superificie]]*Resa</f>
        <v>#VALUE!</v>
      </c>
      <c r="P840" t="e">
        <f>Tabella1[[#This Row],[KgPezzo]]*Tabella1[[#This Row],[q.ta offerta]]</f>
        <v>#VALUE!</v>
      </c>
      <c r="Q840" t="e">
        <f>RigheOfferte[[#This Row],[QtaProtez]]</f>
        <v>#VALUE!</v>
      </c>
      <c r="R840" t="e">
        <f>RigheOfferte[[#This Row],[Tipo Protezione]]</f>
        <v>#VALUE!</v>
      </c>
    </row>
    <row r="841" spans="1:18">
      <c r="A841" t="e">
        <f>RigheOfferte[[#This Row],[Nprev]]</f>
        <v>#VALUE!</v>
      </c>
      <c r="B841" t="e">
        <f>RigheOfferte[[#This Row],[Nriga]]</f>
        <v>#VALUE!</v>
      </c>
      <c r="C841" t="e">
        <f>RigheOfferte[[#This Row],[Cliente]]</f>
        <v>#VALUE!</v>
      </c>
      <c r="D841" t="e">
        <f>RigheOfferte[[#This Row],[sub_cliente]]</f>
        <v>#VALUE!</v>
      </c>
      <c r="E841" t="e">
        <f>RigheOfferte[[#This Row],[cod.Art.]]</f>
        <v>#VALUE!</v>
      </c>
      <c r="F841" t="e">
        <f>RigheOfferte[[#This Row],[Descrizione]]</f>
        <v>#VALUE!</v>
      </c>
      <c r="G841" t="e">
        <f>RigheOfferte[[#This Row],[Q.ta'']]</f>
        <v>#VALUE!</v>
      </c>
      <c r="H841" t="e">
        <f>RigheOfferte[[#This Row],[Lavorazione]]</f>
        <v>#VALUE!</v>
      </c>
      <c r="I841" t="e">
        <f>RigheOfferte[[#This Row],[Colore]]</f>
        <v>#VALUE!</v>
      </c>
      <c r="J841" t="e">
        <f>RigheOfferte[[#This Row],[Velocità]]</f>
        <v>#VALUE!</v>
      </c>
      <c r="K841" t="e">
        <f>RigheOfferte[[#This Row],[Superf.pz Mq]]</f>
        <v>#VALUE!</v>
      </c>
      <c r="L841" t="e">
        <f>RigheOfferte[[#This Row],[passo]]</f>
        <v>#VALUE!</v>
      </c>
      <c r="M841" t="e">
        <f>RigheOfferte[[#This Row],[nr.pezzi Telaio]]</f>
        <v>#VALUE!</v>
      </c>
      <c r="N841" t="e">
        <f>RigheOfferte[[#This Row],[nr.pezzi ora-unita]]</f>
        <v>#VALUE!</v>
      </c>
      <c r="O841" t="e">
        <f>Tabella1[[#This Row],[superificie]]*Resa</f>
        <v>#VALUE!</v>
      </c>
      <c r="P841" t="e">
        <f>Tabella1[[#This Row],[KgPezzo]]*Tabella1[[#This Row],[q.ta offerta]]</f>
        <v>#VALUE!</v>
      </c>
      <c r="Q841" t="e">
        <f>RigheOfferte[[#This Row],[QtaProtez]]</f>
        <v>#VALUE!</v>
      </c>
      <c r="R841" t="e">
        <f>RigheOfferte[[#This Row],[Tipo Protezione]]</f>
        <v>#VALUE!</v>
      </c>
    </row>
    <row r="842" spans="1:18">
      <c r="A842" t="e">
        <f>RigheOfferte[[#This Row],[Nprev]]</f>
        <v>#VALUE!</v>
      </c>
      <c r="B842" t="e">
        <f>RigheOfferte[[#This Row],[Nriga]]</f>
        <v>#VALUE!</v>
      </c>
      <c r="C842" t="e">
        <f>RigheOfferte[[#This Row],[Cliente]]</f>
        <v>#VALUE!</v>
      </c>
      <c r="D842" t="e">
        <f>RigheOfferte[[#This Row],[sub_cliente]]</f>
        <v>#VALUE!</v>
      </c>
      <c r="E842" t="e">
        <f>RigheOfferte[[#This Row],[cod.Art.]]</f>
        <v>#VALUE!</v>
      </c>
      <c r="F842" t="e">
        <f>RigheOfferte[[#This Row],[Descrizione]]</f>
        <v>#VALUE!</v>
      </c>
      <c r="G842" t="e">
        <f>RigheOfferte[[#This Row],[Q.ta'']]</f>
        <v>#VALUE!</v>
      </c>
      <c r="H842" t="e">
        <f>RigheOfferte[[#This Row],[Lavorazione]]</f>
        <v>#VALUE!</v>
      </c>
      <c r="I842" t="e">
        <f>RigheOfferte[[#This Row],[Colore]]</f>
        <v>#VALUE!</v>
      </c>
      <c r="J842" t="e">
        <f>RigheOfferte[[#This Row],[Velocità]]</f>
        <v>#VALUE!</v>
      </c>
      <c r="K842" t="e">
        <f>RigheOfferte[[#This Row],[Superf.pz Mq]]</f>
        <v>#VALUE!</v>
      </c>
      <c r="L842" t="e">
        <f>RigheOfferte[[#This Row],[passo]]</f>
        <v>#VALUE!</v>
      </c>
      <c r="M842" t="e">
        <f>RigheOfferte[[#This Row],[nr.pezzi Telaio]]</f>
        <v>#VALUE!</v>
      </c>
      <c r="N842" t="e">
        <f>RigheOfferte[[#This Row],[nr.pezzi ora-unita]]</f>
        <v>#VALUE!</v>
      </c>
      <c r="O842" t="e">
        <f>Tabella1[[#This Row],[superificie]]*Resa</f>
        <v>#VALUE!</v>
      </c>
      <c r="P842" t="e">
        <f>Tabella1[[#This Row],[KgPezzo]]*Tabella1[[#This Row],[q.ta offerta]]</f>
        <v>#VALUE!</v>
      </c>
      <c r="Q842" t="e">
        <f>RigheOfferte[[#This Row],[QtaProtez]]</f>
        <v>#VALUE!</v>
      </c>
      <c r="R842" t="e">
        <f>RigheOfferte[[#This Row],[Tipo Protezione]]</f>
        <v>#VALUE!</v>
      </c>
    </row>
    <row r="843" spans="1:18">
      <c r="A843" t="e">
        <f>RigheOfferte[[#This Row],[Nprev]]</f>
        <v>#VALUE!</v>
      </c>
      <c r="B843" t="e">
        <f>RigheOfferte[[#This Row],[Nriga]]</f>
        <v>#VALUE!</v>
      </c>
      <c r="C843" t="e">
        <f>RigheOfferte[[#This Row],[Cliente]]</f>
        <v>#VALUE!</v>
      </c>
      <c r="D843" t="e">
        <f>RigheOfferte[[#This Row],[sub_cliente]]</f>
        <v>#VALUE!</v>
      </c>
      <c r="E843" t="e">
        <f>RigheOfferte[[#This Row],[cod.Art.]]</f>
        <v>#VALUE!</v>
      </c>
      <c r="F843" t="e">
        <f>RigheOfferte[[#This Row],[Descrizione]]</f>
        <v>#VALUE!</v>
      </c>
      <c r="G843" t="e">
        <f>RigheOfferte[[#This Row],[Q.ta'']]</f>
        <v>#VALUE!</v>
      </c>
      <c r="H843" t="e">
        <f>RigheOfferte[[#This Row],[Lavorazione]]</f>
        <v>#VALUE!</v>
      </c>
      <c r="I843" t="e">
        <f>RigheOfferte[[#This Row],[Colore]]</f>
        <v>#VALUE!</v>
      </c>
      <c r="J843" t="e">
        <f>RigheOfferte[[#This Row],[Velocità]]</f>
        <v>#VALUE!</v>
      </c>
      <c r="K843" t="e">
        <f>RigheOfferte[[#This Row],[Superf.pz Mq]]</f>
        <v>#VALUE!</v>
      </c>
      <c r="L843" t="e">
        <f>RigheOfferte[[#This Row],[passo]]</f>
        <v>#VALUE!</v>
      </c>
      <c r="M843" t="e">
        <f>RigheOfferte[[#This Row],[nr.pezzi Telaio]]</f>
        <v>#VALUE!</v>
      </c>
      <c r="N843" t="e">
        <f>RigheOfferte[[#This Row],[nr.pezzi ora-unita]]</f>
        <v>#VALUE!</v>
      </c>
      <c r="O843" t="e">
        <f>Tabella1[[#This Row],[superificie]]*Resa</f>
        <v>#VALUE!</v>
      </c>
      <c r="P843" t="e">
        <f>Tabella1[[#This Row],[KgPezzo]]*Tabella1[[#This Row],[q.ta offerta]]</f>
        <v>#VALUE!</v>
      </c>
      <c r="Q843" t="e">
        <f>RigheOfferte[[#This Row],[QtaProtez]]</f>
        <v>#VALUE!</v>
      </c>
      <c r="R843" t="e">
        <f>RigheOfferte[[#This Row],[Tipo Protezione]]</f>
        <v>#VALUE!</v>
      </c>
    </row>
    <row r="844" spans="1:18">
      <c r="A844" t="e">
        <f>RigheOfferte[[#This Row],[Nprev]]</f>
        <v>#VALUE!</v>
      </c>
      <c r="B844" t="e">
        <f>RigheOfferte[[#This Row],[Nriga]]</f>
        <v>#VALUE!</v>
      </c>
      <c r="C844" t="e">
        <f>RigheOfferte[[#This Row],[Cliente]]</f>
        <v>#VALUE!</v>
      </c>
      <c r="D844" t="e">
        <f>RigheOfferte[[#This Row],[sub_cliente]]</f>
        <v>#VALUE!</v>
      </c>
      <c r="E844" t="e">
        <f>RigheOfferte[[#This Row],[cod.Art.]]</f>
        <v>#VALUE!</v>
      </c>
      <c r="F844" t="e">
        <f>RigheOfferte[[#This Row],[Descrizione]]</f>
        <v>#VALUE!</v>
      </c>
      <c r="G844" t="e">
        <f>RigheOfferte[[#This Row],[Q.ta'']]</f>
        <v>#VALUE!</v>
      </c>
      <c r="H844" t="e">
        <f>RigheOfferte[[#This Row],[Lavorazione]]</f>
        <v>#VALUE!</v>
      </c>
      <c r="I844" t="e">
        <f>RigheOfferte[[#This Row],[Colore]]</f>
        <v>#VALUE!</v>
      </c>
      <c r="J844" t="e">
        <f>RigheOfferte[[#This Row],[Velocità]]</f>
        <v>#VALUE!</v>
      </c>
      <c r="K844" t="e">
        <f>RigheOfferte[[#This Row],[Superf.pz Mq]]</f>
        <v>#VALUE!</v>
      </c>
      <c r="L844" t="e">
        <f>RigheOfferte[[#This Row],[passo]]</f>
        <v>#VALUE!</v>
      </c>
      <c r="M844" t="e">
        <f>RigheOfferte[[#This Row],[nr.pezzi Telaio]]</f>
        <v>#VALUE!</v>
      </c>
      <c r="N844" t="e">
        <f>RigheOfferte[[#This Row],[nr.pezzi ora-unita]]</f>
        <v>#VALUE!</v>
      </c>
      <c r="O844" t="e">
        <f>Tabella1[[#This Row],[superificie]]*Resa</f>
        <v>#VALUE!</v>
      </c>
      <c r="P844" t="e">
        <f>Tabella1[[#This Row],[KgPezzo]]*Tabella1[[#This Row],[q.ta offerta]]</f>
        <v>#VALUE!</v>
      </c>
      <c r="Q844" t="e">
        <f>RigheOfferte[[#This Row],[QtaProtez]]</f>
        <v>#VALUE!</v>
      </c>
      <c r="R844" t="e">
        <f>RigheOfferte[[#This Row],[Tipo Protezione]]</f>
        <v>#VALUE!</v>
      </c>
    </row>
    <row r="845" spans="1:18">
      <c r="A845" t="e">
        <f>RigheOfferte[[#This Row],[Nprev]]</f>
        <v>#VALUE!</v>
      </c>
      <c r="B845" t="e">
        <f>RigheOfferte[[#This Row],[Nriga]]</f>
        <v>#VALUE!</v>
      </c>
      <c r="C845" t="e">
        <f>RigheOfferte[[#This Row],[Cliente]]</f>
        <v>#VALUE!</v>
      </c>
      <c r="D845" t="e">
        <f>RigheOfferte[[#This Row],[sub_cliente]]</f>
        <v>#VALUE!</v>
      </c>
      <c r="E845" t="e">
        <f>RigheOfferte[[#This Row],[cod.Art.]]</f>
        <v>#VALUE!</v>
      </c>
      <c r="F845" t="e">
        <f>RigheOfferte[[#This Row],[Descrizione]]</f>
        <v>#VALUE!</v>
      </c>
      <c r="G845" t="e">
        <f>RigheOfferte[[#This Row],[Q.ta'']]</f>
        <v>#VALUE!</v>
      </c>
      <c r="H845" t="e">
        <f>RigheOfferte[[#This Row],[Lavorazione]]</f>
        <v>#VALUE!</v>
      </c>
      <c r="I845" t="e">
        <f>RigheOfferte[[#This Row],[Colore]]</f>
        <v>#VALUE!</v>
      </c>
      <c r="J845" t="e">
        <f>RigheOfferte[[#This Row],[Velocità]]</f>
        <v>#VALUE!</v>
      </c>
      <c r="K845" t="e">
        <f>RigheOfferte[[#This Row],[Superf.pz Mq]]</f>
        <v>#VALUE!</v>
      </c>
      <c r="L845" t="e">
        <f>RigheOfferte[[#This Row],[passo]]</f>
        <v>#VALUE!</v>
      </c>
      <c r="M845" t="e">
        <f>RigheOfferte[[#This Row],[nr.pezzi Telaio]]</f>
        <v>#VALUE!</v>
      </c>
      <c r="N845" t="e">
        <f>RigheOfferte[[#This Row],[nr.pezzi ora-unita]]</f>
        <v>#VALUE!</v>
      </c>
      <c r="O845" t="e">
        <f>Tabella1[[#This Row],[superificie]]*Resa</f>
        <v>#VALUE!</v>
      </c>
      <c r="P845" t="e">
        <f>Tabella1[[#This Row],[KgPezzo]]*Tabella1[[#This Row],[q.ta offerta]]</f>
        <v>#VALUE!</v>
      </c>
      <c r="Q845" t="e">
        <f>RigheOfferte[[#This Row],[QtaProtez]]</f>
        <v>#VALUE!</v>
      </c>
      <c r="R845" t="e">
        <f>RigheOfferte[[#This Row],[Tipo Protezione]]</f>
        <v>#VALUE!</v>
      </c>
    </row>
    <row r="846" spans="1:18">
      <c r="A846" t="e">
        <f>RigheOfferte[[#This Row],[Nprev]]</f>
        <v>#VALUE!</v>
      </c>
      <c r="B846" t="e">
        <f>RigheOfferte[[#This Row],[Nriga]]</f>
        <v>#VALUE!</v>
      </c>
      <c r="C846" t="e">
        <f>RigheOfferte[[#This Row],[Cliente]]</f>
        <v>#VALUE!</v>
      </c>
      <c r="D846" t="e">
        <f>RigheOfferte[[#This Row],[sub_cliente]]</f>
        <v>#VALUE!</v>
      </c>
      <c r="E846" t="e">
        <f>RigheOfferte[[#This Row],[cod.Art.]]</f>
        <v>#VALUE!</v>
      </c>
      <c r="F846" t="e">
        <f>RigheOfferte[[#This Row],[Descrizione]]</f>
        <v>#VALUE!</v>
      </c>
      <c r="G846" t="e">
        <f>RigheOfferte[[#This Row],[Q.ta'']]</f>
        <v>#VALUE!</v>
      </c>
      <c r="H846" t="e">
        <f>RigheOfferte[[#This Row],[Lavorazione]]</f>
        <v>#VALUE!</v>
      </c>
      <c r="I846" t="e">
        <f>RigheOfferte[[#This Row],[Colore]]</f>
        <v>#VALUE!</v>
      </c>
      <c r="J846" t="e">
        <f>RigheOfferte[[#This Row],[Velocità]]</f>
        <v>#VALUE!</v>
      </c>
      <c r="K846" t="e">
        <f>RigheOfferte[[#This Row],[Superf.pz Mq]]</f>
        <v>#VALUE!</v>
      </c>
      <c r="L846" t="e">
        <f>RigheOfferte[[#This Row],[passo]]</f>
        <v>#VALUE!</v>
      </c>
      <c r="M846" t="e">
        <f>RigheOfferte[[#This Row],[nr.pezzi Telaio]]</f>
        <v>#VALUE!</v>
      </c>
      <c r="N846" t="e">
        <f>RigheOfferte[[#This Row],[nr.pezzi ora-unita]]</f>
        <v>#VALUE!</v>
      </c>
      <c r="O846" t="e">
        <f>Tabella1[[#This Row],[superificie]]*Resa</f>
        <v>#VALUE!</v>
      </c>
      <c r="P846" t="e">
        <f>Tabella1[[#This Row],[KgPezzo]]*Tabella1[[#This Row],[q.ta offerta]]</f>
        <v>#VALUE!</v>
      </c>
      <c r="Q846" t="e">
        <f>RigheOfferte[[#This Row],[QtaProtez]]</f>
        <v>#VALUE!</v>
      </c>
      <c r="R846" t="e">
        <f>RigheOfferte[[#This Row],[Tipo Protezione]]</f>
        <v>#VALUE!</v>
      </c>
    </row>
    <row r="847" spans="1:18">
      <c r="A847" t="e">
        <f>RigheOfferte[[#This Row],[Nprev]]</f>
        <v>#VALUE!</v>
      </c>
      <c r="B847" t="e">
        <f>RigheOfferte[[#This Row],[Nriga]]</f>
        <v>#VALUE!</v>
      </c>
      <c r="C847" t="e">
        <f>RigheOfferte[[#This Row],[Cliente]]</f>
        <v>#VALUE!</v>
      </c>
      <c r="D847" t="e">
        <f>RigheOfferte[[#This Row],[sub_cliente]]</f>
        <v>#VALUE!</v>
      </c>
      <c r="E847" t="e">
        <f>RigheOfferte[[#This Row],[cod.Art.]]</f>
        <v>#VALUE!</v>
      </c>
      <c r="F847" t="e">
        <f>RigheOfferte[[#This Row],[Descrizione]]</f>
        <v>#VALUE!</v>
      </c>
      <c r="G847" t="e">
        <f>RigheOfferte[[#This Row],[Q.ta'']]</f>
        <v>#VALUE!</v>
      </c>
      <c r="H847" t="e">
        <f>RigheOfferte[[#This Row],[Lavorazione]]</f>
        <v>#VALUE!</v>
      </c>
      <c r="I847" t="e">
        <f>RigheOfferte[[#This Row],[Colore]]</f>
        <v>#VALUE!</v>
      </c>
      <c r="J847" t="e">
        <f>RigheOfferte[[#This Row],[Velocità]]</f>
        <v>#VALUE!</v>
      </c>
      <c r="K847" t="e">
        <f>RigheOfferte[[#This Row],[Superf.pz Mq]]</f>
        <v>#VALUE!</v>
      </c>
      <c r="L847" t="e">
        <f>RigheOfferte[[#This Row],[passo]]</f>
        <v>#VALUE!</v>
      </c>
      <c r="M847" t="e">
        <f>RigheOfferte[[#This Row],[nr.pezzi Telaio]]</f>
        <v>#VALUE!</v>
      </c>
      <c r="N847" t="e">
        <f>RigheOfferte[[#This Row],[nr.pezzi ora-unita]]</f>
        <v>#VALUE!</v>
      </c>
      <c r="O847" t="e">
        <f>Tabella1[[#This Row],[superificie]]*Resa</f>
        <v>#VALUE!</v>
      </c>
      <c r="P847" t="e">
        <f>Tabella1[[#This Row],[KgPezzo]]*Tabella1[[#This Row],[q.ta offerta]]</f>
        <v>#VALUE!</v>
      </c>
      <c r="Q847" t="e">
        <f>RigheOfferte[[#This Row],[QtaProtez]]</f>
        <v>#VALUE!</v>
      </c>
      <c r="R847" t="e">
        <f>RigheOfferte[[#This Row],[Tipo Protezione]]</f>
        <v>#VALUE!</v>
      </c>
    </row>
    <row r="848" spans="1:18">
      <c r="A848" t="e">
        <f>RigheOfferte[[#This Row],[Nprev]]</f>
        <v>#VALUE!</v>
      </c>
      <c r="B848" t="e">
        <f>RigheOfferte[[#This Row],[Nriga]]</f>
        <v>#VALUE!</v>
      </c>
      <c r="C848" t="e">
        <f>RigheOfferte[[#This Row],[Cliente]]</f>
        <v>#VALUE!</v>
      </c>
      <c r="D848" t="e">
        <f>RigheOfferte[[#This Row],[sub_cliente]]</f>
        <v>#VALUE!</v>
      </c>
      <c r="E848" t="e">
        <f>RigheOfferte[[#This Row],[cod.Art.]]</f>
        <v>#VALUE!</v>
      </c>
      <c r="F848" t="e">
        <f>RigheOfferte[[#This Row],[Descrizione]]</f>
        <v>#VALUE!</v>
      </c>
      <c r="G848" t="e">
        <f>RigheOfferte[[#This Row],[Q.ta'']]</f>
        <v>#VALUE!</v>
      </c>
      <c r="H848" t="e">
        <f>RigheOfferte[[#This Row],[Lavorazione]]</f>
        <v>#VALUE!</v>
      </c>
      <c r="I848" t="e">
        <f>RigheOfferte[[#This Row],[Colore]]</f>
        <v>#VALUE!</v>
      </c>
      <c r="J848" t="e">
        <f>RigheOfferte[[#This Row],[Velocità]]</f>
        <v>#VALUE!</v>
      </c>
      <c r="K848" t="e">
        <f>RigheOfferte[[#This Row],[Superf.pz Mq]]</f>
        <v>#VALUE!</v>
      </c>
      <c r="L848" t="e">
        <f>RigheOfferte[[#This Row],[passo]]</f>
        <v>#VALUE!</v>
      </c>
      <c r="M848" t="e">
        <f>RigheOfferte[[#This Row],[nr.pezzi Telaio]]</f>
        <v>#VALUE!</v>
      </c>
      <c r="N848" t="e">
        <f>RigheOfferte[[#This Row],[nr.pezzi ora-unita]]</f>
        <v>#VALUE!</v>
      </c>
      <c r="O848" t="e">
        <f>Tabella1[[#This Row],[superificie]]*Resa</f>
        <v>#VALUE!</v>
      </c>
      <c r="P848" t="e">
        <f>Tabella1[[#This Row],[KgPezzo]]*Tabella1[[#This Row],[q.ta offerta]]</f>
        <v>#VALUE!</v>
      </c>
      <c r="Q848" t="e">
        <f>RigheOfferte[[#This Row],[QtaProtez]]</f>
        <v>#VALUE!</v>
      </c>
      <c r="R848" t="e">
        <f>RigheOfferte[[#This Row],[Tipo Protezione]]</f>
        <v>#VALUE!</v>
      </c>
    </row>
    <row r="849" spans="1:18">
      <c r="A849" t="e">
        <f>RigheOfferte[[#This Row],[Nprev]]</f>
        <v>#VALUE!</v>
      </c>
      <c r="B849" t="e">
        <f>RigheOfferte[[#This Row],[Nriga]]</f>
        <v>#VALUE!</v>
      </c>
      <c r="C849" t="e">
        <f>RigheOfferte[[#This Row],[Cliente]]</f>
        <v>#VALUE!</v>
      </c>
      <c r="D849" t="e">
        <f>RigheOfferte[[#This Row],[sub_cliente]]</f>
        <v>#VALUE!</v>
      </c>
      <c r="E849" t="e">
        <f>RigheOfferte[[#This Row],[cod.Art.]]</f>
        <v>#VALUE!</v>
      </c>
      <c r="F849" t="e">
        <f>RigheOfferte[[#This Row],[Descrizione]]</f>
        <v>#VALUE!</v>
      </c>
      <c r="G849" t="e">
        <f>RigheOfferte[[#This Row],[Q.ta'']]</f>
        <v>#VALUE!</v>
      </c>
      <c r="H849" t="e">
        <f>RigheOfferte[[#This Row],[Lavorazione]]</f>
        <v>#VALUE!</v>
      </c>
      <c r="I849" t="e">
        <f>RigheOfferte[[#This Row],[Colore]]</f>
        <v>#VALUE!</v>
      </c>
      <c r="J849" t="e">
        <f>RigheOfferte[[#This Row],[Velocità]]</f>
        <v>#VALUE!</v>
      </c>
      <c r="K849" t="e">
        <f>RigheOfferte[[#This Row],[Superf.pz Mq]]</f>
        <v>#VALUE!</v>
      </c>
      <c r="L849" t="e">
        <f>RigheOfferte[[#This Row],[passo]]</f>
        <v>#VALUE!</v>
      </c>
      <c r="M849" t="e">
        <f>RigheOfferte[[#This Row],[nr.pezzi Telaio]]</f>
        <v>#VALUE!</v>
      </c>
      <c r="N849" t="e">
        <f>RigheOfferte[[#This Row],[nr.pezzi ora-unita]]</f>
        <v>#VALUE!</v>
      </c>
      <c r="O849" t="e">
        <f>Tabella1[[#This Row],[superificie]]*Resa</f>
        <v>#VALUE!</v>
      </c>
      <c r="P849" t="e">
        <f>Tabella1[[#This Row],[KgPezzo]]*Tabella1[[#This Row],[q.ta offerta]]</f>
        <v>#VALUE!</v>
      </c>
      <c r="Q849" t="e">
        <f>RigheOfferte[[#This Row],[QtaProtez]]</f>
        <v>#VALUE!</v>
      </c>
      <c r="R849" t="e">
        <f>RigheOfferte[[#This Row],[Tipo Protezione]]</f>
        <v>#VALUE!</v>
      </c>
    </row>
    <row r="850" spans="1:18">
      <c r="A850" t="e">
        <f>RigheOfferte[[#This Row],[Nprev]]</f>
        <v>#VALUE!</v>
      </c>
      <c r="B850" t="e">
        <f>RigheOfferte[[#This Row],[Nriga]]</f>
        <v>#VALUE!</v>
      </c>
      <c r="C850" t="e">
        <f>RigheOfferte[[#This Row],[Cliente]]</f>
        <v>#VALUE!</v>
      </c>
      <c r="D850" t="e">
        <f>RigheOfferte[[#This Row],[sub_cliente]]</f>
        <v>#VALUE!</v>
      </c>
      <c r="E850" t="e">
        <f>RigheOfferte[[#This Row],[cod.Art.]]</f>
        <v>#VALUE!</v>
      </c>
      <c r="F850" t="e">
        <f>RigheOfferte[[#This Row],[Descrizione]]</f>
        <v>#VALUE!</v>
      </c>
      <c r="G850" t="e">
        <f>RigheOfferte[[#This Row],[Q.ta'']]</f>
        <v>#VALUE!</v>
      </c>
      <c r="H850" t="e">
        <f>RigheOfferte[[#This Row],[Lavorazione]]</f>
        <v>#VALUE!</v>
      </c>
      <c r="I850" t="e">
        <f>RigheOfferte[[#This Row],[Colore]]</f>
        <v>#VALUE!</v>
      </c>
      <c r="J850" t="e">
        <f>RigheOfferte[[#This Row],[Velocità]]</f>
        <v>#VALUE!</v>
      </c>
      <c r="K850" t="e">
        <f>RigheOfferte[[#This Row],[Superf.pz Mq]]</f>
        <v>#VALUE!</v>
      </c>
      <c r="L850" t="e">
        <f>RigheOfferte[[#This Row],[passo]]</f>
        <v>#VALUE!</v>
      </c>
      <c r="M850" t="e">
        <f>RigheOfferte[[#This Row],[nr.pezzi Telaio]]</f>
        <v>#VALUE!</v>
      </c>
      <c r="N850" t="e">
        <f>RigheOfferte[[#This Row],[nr.pezzi ora-unita]]</f>
        <v>#VALUE!</v>
      </c>
      <c r="O850" t="e">
        <f>Tabella1[[#This Row],[superificie]]*Resa</f>
        <v>#VALUE!</v>
      </c>
      <c r="P850" t="e">
        <f>Tabella1[[#This Row],[KgPezzo]]*Tabella1[[#This Row],[q.ta offerta]]</f>
        <v>#VALUE!</v>
      </c>
      <c r="Q850" t="e">
        <f>RigheOfferte[[#This Row],[QtaProtez]]</f>
        <v>#VALUE!</v>
      </c>
      <c r="R850" t="e">
        <f>RigheOfferte[[#This Row],[Tipo Protezione]]</f>
        <v>#VALUE!</v>
      </c>
    </row>
    <row r="851" spans="1:18">
      <c r="A851" t="e">
        <f>RigheOfferte[[#This Row],[Nprev]]</f>
        <v>#VALUE!</v>
      </c>
      <c r="B851" t="e">
        <f>RigheOfferte[[#This Row],[Nriga]]</f>
        <v>#VALUE!</v>
      </c>
      <c r="C851" t="e">
        <f>RigheOfferte[[#This Row],[Cliente]]</f>
        <v>#VALUE!</v>
      </c>
      <c r="D851" t="e">
        <f>RigheOfferte[[#This Row],[sub_cliente]]</f>
        <v>#VALUE!</v>
      </c>
      <c r="E851" t="e">
        <f>RigheOfferte[[#This Row],[cod.Art.]]</f>
        <v>#VALUE!</v>
      </c>
      <c r="F851" t="e">
        <f>RigheOfferte[[#This Row],[Descrizione]]</f>
        <v>#VALUE!</v>
      </c>
      <c r="G851" t="e">
        <f>RigheOfferte[[#This Row],[Q.ta'']]</f>
        <v>#VALUE!</v>
      </c>
      <c r="H851" t="e">
        <f>RigheOfferte[[#This Row],[Lavorazione]]</f>
        <v>#VALUE!</v>
      </c>
      <c r="I851" t="e">
        <f>RigheOfferte[[#This Row],[Colore]]</f>
        <v>#VALUE!</v>
      </c>
      <c r="J851" t="e">
        <f>RigheOfferte[[#This Row],[Velocità]]</f>
        <v>#VALUE!</v>
      </c>
      <c r="K851" t="e">
        <f>RigheOfferte[[#This Row],[Superf.pz Mq]]</f>
        <v>#VALUE!</v>
      </c>
      <c r="L851" t="e">
        <f>RigheOfferte[[#This Row],[passo]]</f>
        <v>#VALUE!</v>
      </c>
      <c r="M851" t="e">
        <f>RigheOfferte[[#This Row],[nr.pezzi Telaio]]</f>
        <v>#VALUE!</v>
      </c>
      <c r="N851" t="e">
        <f>RigheOfferte[[#This Row],[nr.pezzi ora-unita]]</f>
        <v>#VALUE!</v>
      </c>
      <c r="O851" t="e">
        <f>Tabella1[[#This Row],[superificie]]*Resa</f>
        <v>#VALUE!</v>
      </c>
      <c r="P851" t="e">
        <f>Tabella1[[#This Row],[KgPezzo]]*Tabella1[[#This Row],[q.ta offerta]]</f>
        <v>#VALUE!</v>
      </c>
      <c r="Q851" t="e">
        <f>RigheOfferte[[#This Row],[QtaProtez]]</f>
        <v>#VALUE!</v>
      </c>
      <c r="R851" t="e">
        <f>RigheOfferte[[#This Row],[Tipo Protezione]]</f>
        <v>#VALUE!</v>
      </c>
    </row>
    <row r="852" spans="1:18">
      <c r="A852" t="e">
        <f>RigheOfferte[[#This Row],[Nprev]]</f>
        <v>#VALUE!</v>
      </c>
      <c r="B852" t="e">
        <f>RigheOfferte[[#This Row],[Nriga]]</f>
        <v>#VALUE!</v>
      </c>
      <c r="C852" t="e">
        <f>RigheOfferte[[#This Row],[Cliente]]</f>
        <v>#VALUE!</v>
      </c>
      <c r="D852" t="e">
        <f>RigheOfferte[[#This Row],[sub_cliente]]</f>
        <v>#VALUE!</v>
      </c>
      <c r="E852" t="e">
        <f>RigheOfferte[[#This Row],[cod.Art.]]</f>
        <v>#VALUE!</v>
      </c>
      <c r="F852" t="e">
        <f>RigheOfferte[[#This Row],[Descrizione]]</f>
        <v>#VALUE!</v>
      </c>
      <c r="G852" t="e">
        <f>RigheOfferte[[#This Row],[Q.ta'']]</f>
        <v>#VALUE!</v>
      </c>
      <c r="H852" t="e">
        <f>RigheOfferte[[#This Row],[Lavorazione]]</f>
        <v>#VALUE!</v>
      </c>
      <c r="I852" t="e">
        <f>RigheOfferte[[#This Row],[Colore]]</f>
        <v>#VALUE!</v>
      </c>
      <c r="J852" t="e">
        <f>RigheOfferte[[#This Row],[Velocità]]</f>
        <v>#VALUE!</v>
      </c>
      <c r="K852" t="e">
        <f>RigheOfferte[[#This Row],[Superf.pz Mq]]</f>
        <v>#VALUE!</v>
      </c>
      <c r="L852" t="e">
        <f>RigheOfferte[[#This Row],[passo]]</f>
        <v>#VALUE!</v>
      </c>
      <c r="M852" t="e">
        <f>RigheOfferte[[#This Row],[nr.pezzi Telaio]]</f>
        <v>#VALUE!</v>
      </c>
      <c r="N852" t="e">
        <f>RigheOfferte[[#This Row],[nr.pezzi ora-unita]]</f>
        <v>#VALUE!</v>
      </c>
      <c r="O852" t="e">
        <f>Tabella1[[#This Row],[superificie]]*Resa</f>
        <v>#VALUE!</v>
      </c>
      <c r="P852" t="e">
        <f>Tabella1[[#This Row],[KgPezzo]]*Tabella1[[#This Row],[q.ta offerta]]</f>
        <v>#VALUE!</v>
      </c>
      <c r="Q852" t="e">
        <f>RigheOfferte[[#This Row],[QtaProtez]]</f>
        <v>#VALUE!</v>
      </c>
      <c r="R852" t="e">
        <f>RigheOfferte[[#This Row],[Tipo Protezione]]</f>
        <v>#VALUE!</v>
      </c>
    </row>
    <row r="853" spans="1:18">
      <c r="A853" t="e">
        <f>RigheOfferte[[#This Row],[Nprev]]</f>
        <v>#VALUE!</v>
      </c>
      <c r="B853" t="e">
        <f>RigheOfferte[[#This Row],[Nriga]]</f>
        <v>#VALUE!</v>
      </c>
      <c r="C853" t="e">
        <f>RigheOfferte[[#This Row],[Cliente]]</f>
        <v>#VALUE!</v>
      </c>
      <c r="D853" t="e">
        <f>RigheOfferte[[#This Row],[sub_cliente]]</f>
        <v>#VALUE!</v>
      </c>
      <c r="E853" t="e">
        <f>RigheOfferte[[#This Row],[cod.Art.]]</f>
        <v>#VALUE!</v>
      </c>
      <c r="F853" t="e">
        <f>RigheOfferte[[#This Row],[Descrizione]]</f>
        <v>#VALUE!</v>
      </c>
      <c r="G853" t="e">
        <f>RigheOfferte[[#This Row],[Q.ta'']]</f>
        <v>#VALUE!</v>
      </c>
      <c r="H853" t="e">
        <f>RigheOfferte[[#This Row],[Lavorazione]]</f>
        <v>#VALUE!</v>
      </c>
      <c r="I853" t="e">
        <f>RigheOfferte[[#This Row],[Colore]]</f>
        <v>#VALUE!</v>
      </c>
      <c r="J853" t="e">
        <f>RigheOfferte[[#This Row],[Velocità]]</f>
        <v>#VALUE!</v>
      </c>
      <c r="K853" t="e">
        <f>RigheOfferte[[#This Row],[Superf.pz Mq]]</f>
        <v>#VALUE!</v>
      </c>
      <c r="L853" t="e">
        <f>RigheOfferte[[#This Row],[passo]]</f>
        <v>#VALUE!</v>
      </c>
      <c r="M853" t="e">
        <f>RigheOfferte[[#This Row],[nr.pezzi Telaio]]</f>
        <v>#VALUE!</v>
      </c>
      <c r="N853" t="e">
        <f>RigheOfferte[[#This Row],[nr.pezzi ora-unita]]</f>
        <v>#VALUE!</v>
      </c>
      <c r="O853" t="e">
        <f>Tabella1[[#This Row],[superificie]]*Resa</f>
        <v>#VALUE!</v>
      </c>
      <c r="P853" t="e">
        <f>Tabella1[[#This Row],[KgPezzo]]*Tabella1[[#This Row],[q.ta offerta]]</f>
        <v>#VALUE!</v>
      </c>
      <c r="Q853" t="e">
        <f>RigheOfferte[[#This Row],[QtaProtez]]</f>
        <v>#VALUE!</v>
      </c>
      <c r="R853" t="e">
        <f>RigheOfferte[[#This Row],[Tipo Protezione]]</f>
        <v>#VALUE!</v>
      </c>
    </row>
    <row r="854" spans="1:18">
      <c r="A854" t="e">
        <f>RigheOfferte[[#This Row],[Nprev]]</f>
        <v>#VALUE!</v>
      </c>
      <c r="B854" t="e">
        <f>RigheOfferte[[#This Row],[Nriga]]</f>
        <v>#VALUE!</v>
      </c>
      <c r="C854" t="e">
        <f>RigheOfferte[[#This Row],[Cliente]]</f>
        <v>#VALUE!</v>
      </c>
      <c r="D854" t="e">
        <f>RigheOfferte[[#This Row],[sub_cliente]]</f>
        <v>#VALUE!</v>
      </c>
      <c r="E854" t="e">
        <f>RigheOfferte[[#This Row],[cod.Art.]]</f>
        <v>#VALUE!</v>
      </c>
      <c r="F854" t="e">
        <f>RigheOfferte[[#This Row],[Descrizione]]</f>
        <v>#VALUE!</v>
      </c>
      <c r="G854" t="e">
        <f>RigheOfferte[[#This Row],[Q.ta'']]</f>
        <v>#VALUE!</v>
      </c>
      <c r="H854" t="e">
        <f>RigheOfferte[[#This Row],[Lavorazione]]</f>
        <v>#VALUE!</v>
      </c>
      <c r="I854" t="e">
        <f>RigheOfferte[[#This Row],[Colore]]</f>
        <v>#VALUE!</v>
      </c>
      <c r="J854" t="e">
        <f>RigheOfferte[[#This Row],[Velocità]]</f>
        <v>#VALUE!</v>
      </c>
      <c r="K854" t="e">
        <f>RigheOfferte[[#This Row],[Superf.pz Mq]]</f>
        <v>#VALUE!</v>
      </c>
      <c r="L854" t="e">
        <f>RigheOfferte[[#This Row],[passo]]</f>
        <v>#VALUE!</v>
      </c>
      <c r="M854" t="e">
        <f>RigheOfferte[[#This Row],[nr.pezzi Telaio]]</f>
        <v>#VALUE!</v>
      </c>
      <c r="N854" t="e">
        <f>RigheOfferte[[#This Row],[nr.pezzi ora-unita]]</f>
        <v>#VALUE!</v>
      </c>
      <c r="O854" t="e">
        <f>Tabella1[[#This Row],[superificie]]*Resa</f>
        <v>#VALUE!</v>
      </c>
      <c r="P854" t="e">
        <f>Tabella1[[#This Row],[KgPezzo]]*Tabella1[[#This Row],[q.ta offerta]]</f>
        <v>#VALUE!</v>
      </c>
      <c r="Q854" t="e">
        <f>RigheOfferte[[#This Row],[QtaProtez]]</f>
        <v>#VALUE!</v>
      </c>
      <c r="R854" t="e">
        <f>RigheOfferte[[#This Row],[Tipo Protezione]]</f>
        <v>#VALUE!</v>
      </c>
    </row>
    <row r="855" spans="1:18">
      <c r="A855" t="e">
        <f>RigheOfferte[[#This Row],[Nprev]]</f>
        <v>#VALUE!</v>
      </c>
      <c r="B855" t="e">
        <f>RigheOfferte[[#This Row],[Nriga]]</f>
        <v>#VALUE!</v>
      </c>
      <c r="C855" t="e">
        <f>RigheOfferte[[#This Row],[Cliente]]</f>
        <v>#VALUE!</v>
      </c>
      <c r="D855" t="e">
        <f>RigheOfferte[[#This Row],[sub_cliente]]</f>
        <v>#VALUE!</v>
      </c>
      <c r="E855" t="e">
        <f>RigheOfferte[[#This Row],[cod.Art.]]</f>
        <v>#VALUE!</v>
      </c>
      <c r="F855" t="e">
        <f>RigheOfferte[[#This Row],[Descrizione]]</f>
        <v>#VALUE!</v>
      </c>
      <c r="G855" t="e">
        <f>RigheOfferte[[#This Row],[Q.ta'']]</f>
        <v>#VALUE!</v>
      </c>
      <c r="H855" t="e">
        <f>RigheOfferte[[#This Row],[Lavorazione]]</f>
        <v>#VALUE!</v>
      </c>
      <c r="I855" t="e">
        <f>RigheOfferte[[#This Row],[Colore]]</f>
        <v>#VALUE!</v>
      </c>
      <c r="J855" t="e">
        <f>RigheOfferte[[#This Row],[Velocità]]</f>
        <v>#VALUE!</v>
      </c>
      <c r="K855" t="e">
        <f>RigheOfferte[[#This Row],[Superf.pz Mq]]</f>
        <v>#VALUE!</v>
      </c>
      <c r="L855" t="e">
        <f>RigheOfferte[[#This Row],[passo]]</f>
        <v>#VALUE!</v>
      </c>
      <c r="M855" t="e">
        <f>RigheOfferte[[#This Row],[nr.pezzi Telaio]]</f>
        <v>#VALUE!</v>
      </c>
      <c r="N855" t="e">
        <f>RigheOfferte[[#This Row],[nr.pezzi ora-unita]]</f>
        <v>#VALUE!</v>
      </c>
      <c r="O855" t="e">
        <f>Tabella1[[#This Row],[superificie]]*Resa</f>
        <v>#VALUE!</v>
      </c>
      <c r="P855" t="e">
        <f>Tabella1[[#This Row],[KgPezzo]]*Tabella1[[#This Row],[q.ta offerta]]</f>
        <v>#VALUE!</v>
      </c>
      <c r="Q855" t="e">
        <f>RigheOfferte[[#This Row],[QtaProtez]]</f>
        <v>#VALUE!</v>
      </c>
      <c r="R855" t="e">
        <f>RigheOfferte[[#This Row],[Tipo Protezione]]</f>
        <v>#VALUE!</v>
      </c>
    </row>
    <row r="856" spans="1:18">
      <c r="A856" t="e">
        <f>RigheOfferte[[#This Row],[Nprev]]</f>
        <v>#VALUE!</v>
      </c>
      <c r="B856" t="e">
        <f>RigheOfferte[[#This Row],[Nriga]]</f>
        <v>#VALUE!</v>
      </c>
      <c r="C856" t="e">
        <f>RigheOfferte[[#This Row],[Cliente]]</f>
        <v>#VALUE!</v>
      </c>
      <c r="D856" t="e">
        <f>RigheOfferte[[#This Row],[sub_cliente]]</f>
        <v>#VALUE!</v>
      </c>
      <c r="E856" t="e">
        <f>RigheOfferte[[#This Row],[cod.Art.]]</f>
        <v>#VALUE!</v>
      </c>
      <c r="F856" t="e">
        <f>RigheOfferte[[#This Row],[Descrizione]]</f>
        <v>#VALUE!</v>
      </c>
      <c r="G856" t="e">
        <f>RigheOfferte[[#This Row],[Q.ta'']]</f>
        <v>#VALUE!</v>
      </c>
      <c r="H856" t="e">
        <f>RigheOfferte[[#This Row],[Lavorazione]]</f>
        <v>#VALUE!</v>
      </c>
      <c r="I856" t="e">
        <f>RigheOfferte[[#This Row],[Colore]]</f>
        <v>#VALUE!</v>
      </c>
      <c r="J856" t="e">
        <f>RigheOfferte[[#This Row],[Velocità]]</f>
        <v>#VALUE!</v>
      </c>
      <c r="K856" t="e">
        <f>RigheOfferte[[#This Row],[Superf.pz Mq]]</f>
        <v>#VALUE!</v>
      </c>
      <c r="L856" t="e">
        <f>RigheOfferte[[#This Row],[passo]]</f>
        <v>#VALUE!</v>
      </c>
      <c r="M856" t="e">
        <f>RigheOfferte[[#This Row],[nr.pezzi Telaio]]</f>
        <v>#VALUE!</v>
      </c>
      <c r="N856" t="e">
        <f>RigheOfferte[[#This Row],[nr.pezzi ora-unita]]</f>
        <v>#VALUE!</v>
      </c>
      <c r="O856" t="e">
        <f>Tabella1[[#This Row],[superificie]]*Resa</f>
        <v>#VALUE!</v>
      </c>
      <c r="P856" t="e">
        <f>Tabella1[[#This Row],[KgPezzo]]*Tabella1[[#This Row],[q.ta offerta]]</f>
        <v>#VALUE!</v>
      </c>
      <c r="Q856" t="e">
        <f>RigheOfferte[[#This Row],[QtaProtez]]</f>
        <v>#VALUE!</v>
      </c>
      <c r="R856" t="e">
        <f>RigheOfferte[[#This Row],[Tipo Protezione]]</f>
        <v>#VALUE!</v>
      </c>
    </row>
    <row r="857" spans="1:18">
      <c r="A857" t="e">
        <f>RigheOfferte[[#This Row],[Nprev]]</f>
        <v>#VALUE!</v>
      </c>
      <c r="B857" t="e">
        <f>RigheOfferte[[#This Row],[Nriga]]</f>
        <v>#VALUE!</v>
      </c>
      <c r="C857" t="e">
        <f>RigheOfferte[[#This Row],[Cliente]]</f>
        <v>#VALUE!</v>
      </c>
      <c r="D857" t="e">
        <f>RigheOfferte[[#This Row],[sub_cliente]]</f>
        <v>#VALUE!</v>
      </c>
      <c r="E857" t="e">
        <f>RigheOfferte[[#This Row],[cod.Art.]]</f>
        <v>#VALUE!</v>
      </c>
      <c r="F857" t="e">
        <f>RigheOfferte[[#This Row],[Descrizione]]</f>
        <v>#VALUE!</v>
      </c>
      <c r="G857" t="e">
        <f>RigheOfferte[[#This Row],[Q.ta'']]</f>
        <v>#VALUE!</v>
      </c>
      <c r="H857" t="e">
        <f>RigheOfferte[[#This Row],[Lavorazione]]</f>
        <v>#VALUE!</v>
      </c>
      <c r="I857" t="e">
        <f>RigheOfferte[[#This Row],[Colore]]</f>
        <v>#VALUE!</v>
      </c>
      <c r="J857" t="e">
        <f>RigheOfferte[[#This Row],[Velocità]]</f>
        <v>#VALUE!</v>
      </c>
      <c r="K857" t="e">
        <f>RigheOfferte[[#This Row],[Superf.pz Mq]]</f>
        <v>#VALUE!</v>
      </c>
      <c r="L857" t="e">
        <f>RigheOfferte[[#This Row],[passo]]</f>
        <v>#VALUE!</v>
      </c>
      <c r="M857" t="e">
        <f>RigheOfferte[[#This Row],[nr.pezzi Telaio]]</f>
        <v>#VALUE!</v>
      </c>
      <c r="N857" t="e">
        <f>RigheOfferte[[#This Row],[nr.pezzi ora-unita]]</f>
        <v>#VALUE!</v>
      </c>
      <c r="O857" t="e">
        <f>Tabella1[[#This Row],[superificie]]*Resa</f>
        <v>#VALUE!</v>
      </c>
      <c r="P857" t="e">
        <f>Tabella1[[#This Row],[KgPezzo]]*Tabella1[[#This Row],[q.ta offerta]]</f>
        <v>#VALUE!</v>
      </c>
      <c r="Q857" t="e">
        <f>RigheOfferte[[#This Row],[QtaProtez]]</f>
        <v>#VALUE!</v>
      </c>
      <c r="R857" t="e">
        <f>RigheOfferte[[#This Row],[Tipo Protezione]]</f>
        <v>#VALUE!</v>
      </c>
    </row>
    <row r="858" spans="1:18">
      <c r="A858" t="e">
        <f>RigheOfferte[[#This Row],[Nprev]]</f>
        <v>#VALUE!</v>
      </c>
      <c r="B858" t="e">
        <f>RigheOfferte[[#This Row],[Nriga]]</f>
        <v>#VALUE!</v>
      </c>
      <c r="C858" t="e">
        <f>RigheOfferte[[#This Row],[Cliente]]</f>
        <v>#VALUE!</v>
      </c>
      <c r="D858" t="e">
        <f>RigheOfferte[[#This Row],[sub_cliente]]</f>
        <v>#VALUE!</v>
      </c>
      <c r="E858" t="e">
        <f>RigheOfferte[[#This Row],[cod.Art.]]</f>
        <v>#VALUE!</v>
      </c>
      <c r="F858" t="e">
        <f>RigheOfferte[[#This Row],[Descrizione]]</f>
        <v>#VALUE!</v>
      </c>
      <c r="G858" t="e">
        <f>RigheOfferte[[#This Row],[Q.ta'']]</f>
        <v>#VALUE!</v>
      </c>
      <c r="H858" t="e">
        <f>RigheOfferte[[#This Row],[Lavorazione]]</f>
        <v>#VALUE!</v>
      </c>
      <c r="I858" t="e">
        <f>RigheOfferte[[#This Row],[Colore]]</f>
        <v>#VALUE!</v>
      </c>
      <c r="J858" t="e">
        <f>RigheOfferte[[#This Row],[Velocità]]</f>
        <v>#VALUE!</v>
      </c>
      <c r="K858" t="e">
        <f>RigheOfferte[[#This Row],[Superf.pz Mq]]</f>
        <v>#VALUE!</v>
      </c>
      <c r="L858" t="e">
        <f>RigheOfferte[[#This Row],[passo]]</f>
        <v>#VALUE!</v>
      </c>
      <c r="M858" t="e">
        <f>RigheOfferte[[#This Row],[nr.pezzi Telaio]]</f>
        <v>#VALUE!</v>
      </c>
      <c r="N858" t="e">
        <f>RigheOfferte[[#This Row],[nr.pezzi ora-unita]]</f>
        <v>#VALUE!</v>
      </c>
      <c r="O858" t="e">
        <f>Tabella1[[#This Row],[superificie]]*Resa</f>
        <v>#VALUE!</v>
      </c>
      <c r="P858" t="e">
        <f>Tabella1[[#This Row],[KgPezzo]]*Tabella1[[#This Row],[q.ta offerta]]</f>
        <v>#VALUE!</v>
      </c>
      <c r="Q858" t="e">
        <f>RigheOfferte[[#This Row],[QtaProtez]]</f>
        <v>#VALUE!</v>
      </c>
      <c r="R858" t="e">
        <f>RigheOfferte[[#This Row],[Tipo Protezione]]</f>
        <v>#VALUE!</v>
      </c>
    </row>
    <row r="859" spans="1:18">
      <c r="A859" t="e">
        <f>RigheOfferte[[#This Row],[Nprev]]</f>
        <v>#VALUE!</v>
      </c>
      <c r="B859" t="e">
        <f>RigheOfferte[[#This Row],[Nriga]]</f>
        <v>#VALUE!</v>
      </c>
      <c r="C859" t="e">
        <f>RigheOfferte[[#This Row],[Cliente]]</f>
        <v>#VALUE!</v>
      </c>
      <c r="D859" t="e">
        <f>RigheOfferte[[#This Row],[sub_cliente]]</f>
        <v>#VALUE!</v>
      </c>
      <c r="E859" t="e">
        <f>RigheOfferte[[#This Row],[cod.Art.]]</f>
        <v>#VALUE!</v>
      </c>
      <c r="F859" t="e">
        <f>RigheOfferte[[#This Row],[Descrizione]]</f>
        <v>#VALUE!</v>
      </c>
      <c r="G859" t="e">
        <f>RigheOfferte[[#This Row],[Q.ta'']]</f>
        <v>#VALUE!</v>
      </c>
      <c r="H859" t="e">
        <f>RigheOfferte[[#This Row],[Lavorazione]]</f>
        <v>#VALUE!</v>
      </c>
      <c r="I859" t="e">
        <f>RigheOfferte[[#This Row],[Colore]]</f>
        <v>#VALUE!</v>
      </c>
      <c r="J859" t="e">
        <f>RigheOfferte[[#This Row],[Velocità]]</f>
        <v>#VALUE!</v>
      </c>
      <c r="K859" t="e">
        <f>RigheOfferte[[#This Row],[Superf.pz Mq]]</f>
        <v>#VALUE!</v>
      </c>
      <c r="L859" t="e">
        <f>RigheOfferte[[#This Row],[passo]]</f>
        <v>#VALUE!</v>
      </c>
      <c r="M859" t="e">
        <f>RigheOfferte[[#This Row],[nr.pezzi Telaio]]</f>
        <v>#VALUE!</v>
      </c>
      <c r="N859" t="e">
        <f>RigheOfferte[[#This Row],[nr.pezzi ora-unita]]</f>
        <v>#VALUE!</v>
      </c>
      <c r="O859" t="e">
        <f>Tabella1[[#This Row],[superificie]]*Resa</f>
        <v>#VALUE!</v>
      </c>
      <c r="P859" t="e">
        <f>Tabella1[[#This Row],[KgPezzo]]*Tabella1[[#This Row],[q.ta offerta]]</f>
        <v>#VALUE!</v>
      </c>
      <c r="Q859" t="e">
        <f>RigheOfferte[[#This Row],[QtaProtez]]</f>
        <v>#VALUE!</v>
      </c>
      <c r="R859" t="e">
        <f>RigheOfferte[[#This Row],[Tipo Protezione]]</f>
        <v>#VALUE!</v>
      </c>
    </row>
    <row r="860" spans="1:18">
      <c r="A860" t="e">
        <f>RigheOfferte[[#This Row],[Nprev]]</f>
        <v>#VALUE!</v>
      </c>
      <c r="B860" t="e">
        <f>RigheOfferte[[#This Row],[Nriga]]</f>
        <v>#VALUE!</v>
      </c>
      <c r="C860" t="e">
        <f>RigheOfferte[[#This Row],[Cliente]]</f>
        <v>#VALUE!</v>
      </c>
      <c r="D860" t="e">
        <f>RigheOfferte[[#This Row],[sub_cliente]]</f>
        <v>#VALUE!</v>
      </c>
      <c r="E860" t="e">
        <f>RigheOfferte[[#This Row],[cod.Art.]]</f>
        <v>#VALUE!</v>
      </c>
      <c r="F860" t="e">
        <f>RigheOfferte[[#This Row],[Descrizione]]</f>
        <v>#VALUE!</v>
      </c>
      <c r="G860" t="e">
        <f>RigheOfferte[[#This Row],[Q.ta'']]</f>
        <v>#VALUE!</v>
      </c>
      <c r="H860" t="e">
        <f>RigheOfferte[[#This Row],[Lavorazione]]</f>
        <v>#VALUE!</v>
      </c>
      <c r="I860" t="e">
        <f>RigheOfferte[[#This Row],[Colore]]</f>
        <v>#VALUE!</v>
      </c>
      <c r="J860" t="e">
        <f>RigheOfferte[[#This Row],[Velocità]]</f>
        <v>#VALUE!</v>
      </c>
      <c r="K860" t="e">
        <f>RigheOfferte[[#This Row],[Superf.pz Mq]]</f>
        <v>#VALUE!</v>
      </c>
      <c r="L860" t="e">
        <f>RigheOfferte[[#This Row],[passo]]</f>
        <v>#VALUE!</v>
      </c>
      <c r="M860" t="e">
        <f>RigheOfferte[[#This Row],[nr.pezzi Telaio]]</f>
        <v>#VALUE!</v>
      </c>
      <c r="N860" t="e">
        <f>RigheOfferte[[#This Row],[nr.pezzi ora-unita]]</f>
        <v>#VALUE!</v>
      </c>
      <c r="O860" t="e">
        <f>Tabella1[[#This Row],[superificie]]*Resa</f>
        <v>#VALUE!</v>
      </c>
      <c r="P860" t="e">
        <f>Tabella1[[#This Row],[KgPezzo]]*Tabella1[[#This Row],[q.ta offerta]]</f>
        <v>#VALUE!</v>
      </c>
      <c r="Q860" t="e">
        <f>RigheOfferte[[#This Row],[QtaProtez]]</f>
        <v>#VALUE!</v>
      </c>
      <c r="R860" t="e">
        <f>RigheOfferte[[#This Row],[Tipo Protezione]]</f>
        <v>#VALUE!</v>
      </c>
    </row>
    <row r="861" spans="1:18">
      <c r="A861" t="e">
        <f>RigheOfferte[[#This Row],[Nprev]]</f>
        <v>#VALUE!</v>
      </c>
      <c r="B861" t="e">
        <f>RigheOfferte[[#This Row],[Nriga]]</f>
        <v>#VALUE!</v>
      </c>
      <c r="C861" t="e">
        <f>RigheOfferte[[#This Row],[Cliente]]</f>
        <v>#VALUE!</v>
      </c>
      <c r="D861" t="e">
        <f>RigheOfferte[[#This Row],[sub_cliente]]</f>
        <v>#VALUE!</v>
      </c>
      <c r="E861" t="e">
        <f>RigheOfferte[[#This Row],[cod.Art.]]</f>
        <v>#VALUE!</v>
      </c>
      <c r="F861" t="e">
        <f>RigheOfferte[[#This Row],[Descrizione]]</f>
        <v>#VALUE!</v>
      </c>
      <c r="G861" t="e">
        <f>RigheOfferte[[#This Row],[Q.ta'']]</f>
        <v>#VALUE!</v>
      </c>
      <c r="H861" t="e">
        <f>RigheOfferte[[#This Row],[Lavorazione]]</f>
        <v>#VALUE!</v>
      </c>
      <c r="I861" t="e">
        <f>RigheOfferte[[#This Row],[Colore]]</f>
        <v>#VALUE!</v>
      </c>
      <c r="J861" t="e">
        <f>RigheOfferte[[#This Row],[Velocità]]</f>
        <v>#VALUE!</v>
      </c>
      <c r="K861" t="e">
        <f>RigheOfferte[[#This Row],[Superf.pz Mq]]</f>
        <v>#VALUE!</v>
      </c>
      <c r="L861" t="e">
        <f>RigheOfferte[[#This Row],[passo]]</f>
        <v>#VALUE!</v>
      </c>
      <c r="M861" t="e">
        <f>RigheOfferte[[#This Row],[nr.pezzi Telaio]]</f>
        <v>#VALUE!</v>
      </c>
      <c r="N861" t="e">
        <f>RigheOfferte[[#This Row],[nr.pezzi ora-unita]]</f>
        <v>#VALUE!</v>
      </c>
      <c r="O861" t="e">
        <f>Tabella1[[#This Row],[superificie]]*Resa</f>
        <v>#VALUE!</v>
      </c>
      <c r="P861" t="e">
        <f>Tabella1[[#This Row],[KgPezzo]]*Tabella1[[#This Row],[q.ta offerta]]</f>
        <v>#VALUE!</v>
      </c>
      <c r="Q861" t="e">
        <f>RigheOfferte[[#This Row],[QtaProtez]]</f>
        <v>#VALUE!</v>
      </c>
      <c r="R861" t="e">
        <f>RigheOfferte[[#This Row],[Tipo Protezione]]</f>
        <v>#VALUE!</v>
      </c>
    </row>
    <row r="862" spans="1:18">
      <c r="A862" t="e">
        <f>RigheOfferte[[#This Row],[Nprev]]</f>
        <v>#VALUE!</v>
      </c>
      <c r="B862" t="e">
        <f>RigheOfferte[[#This Row],[Nriga]]</f>
        <v>#VALUE!</v>
      </c>
      <c r="C862" t="e">
        <f>RigheOfferte[[#This Row],[Cliente]]</f>
        <v>#VALUE!</v>
      </c>
      <c r="D862" t="e">
        <f>RigheOfferte[[#This Row],[sub_cliente]]</f>
        <v>#VALUE!</v>
      </c>
      <c r="E862" t="e">
        <f>RigheOfferte[[#This Row],[cod.Art.]]</f>
        <v>#VALUE!</v>
      </c>
      <c r="F862" t="e">
        <f>RigheOfferte[[#This Row],[Descrizione]]</f>
        <v>#VALUE!</v>
      </c>
      <c r="G862" t="e">
        <f>RigheOfferte[[#This Row],[Q.ta'']]</f>
        <v>#VALUE!</v>
      </c>
      <c r="H862" t="e">
        <f>RigheOfferte[[#This Row],[Lavorazione]]</f>
        <v>#VALUE!</v>
      </c>
      <c r="I862" t="e">
        <f>RigheOfferte[[#This Row],[Colore]]</f>
        <v>#VALUE!</v>
      </c>
      <c r="J862" t="e">
        <f>RigheOfferte[[#This Row],[Velocità]]</f>
        <v>#VALUE!</v>
      </c>
      <c r="K862" t="e">
        <f>RigheOfferte[[#This Row],[Superf.pz Mq]]</f>
        <v>#VALUE!</v>
      </c>
      <c r="L862" t="e">
        <f>RigheOfferte[[#This Row],[passo]]</f>
        <v>#VALUE!</v>
      </c>
      <c r="M862" t="e">
        <f>RigheOfferte[[#This Row],[nr.pezzi Telaio]]</f>
        <v>#VALUE!</v>
      </c>
      <c r="N862" t="e">
        <f>RigheOfferte[[#This Row],[nr.pezzi ora-unita]]</f>
        <v>#VALUE!</v>
      </c>
      <c r="O862" t="e">
        <f>Tabella1[[#This Row],[superificie]]*Resa</f>
        <v>#VALUE!</v>
      </c>
      <c r="P862" t="e">
        <f>Tabella1[[#This Row],[KgPezzo]]*Tabella1[[#This Row],[q.ta offerta]]</f>
        <v>#VALUE!</v>
      </c>
      <c r="Q862" t="e">
        <f>RigheOfferte[[#This Row],[QtaProtez]]</f>
        <v>#VALUE!</v>
      </c>
      <c r="R862" t="e">
        <f>RigheOfferte[[#This Row],[Tipo Protezione]]</f>
        <v>#VALUE!</v>
      </c>
    </row>
    <row r="863" spans="1:18">
      <c r="A863" t="e">
        <f>RigheOfferte[[#This Row],[Nprev]]</f>
        <v>#VALUE!</v>
      </c>
      <c r="B863" t="e">
        <f>RigheOfferte[[#This Row],[Nriga]]</f>
        <v>#VALUE!</v>
      </c>
      <c r="C863" t="e">
        <f>RigheOfferte[[#This Row],[Cliente]]</f>
        <v>#VALUE!</v>
      </c>
      <c r="D863" t="e">
        <f>RigheOfferte[[#This Row],[sub_cliente]]</f>
        <v>#VALUE!</v>
      </c>
      <c r="E863" t="e">
        <f>RigheOfferte[[#This Row],[cod.Art.]]</f>
        <v>#VALUE!</v>
      </c>
      <c r="F863" t="e">
        <f>RigheOfferte[[#This Row],[Descrizione]]</f>
        <v>#VALUE!</v>
      </c>
      <c r="G863" t="e">
        <f>RigheOfferte[[#This Row],[Q.ta'']]</f>
        <v>#VALUE!</v>
      </c>
      <c r="H863" t="e">
        <f>RigheOfferte[[#This Row],[Lavorazione]]</f>
        <v>#VALUE!</v>
      </c>
      <c r="I863" t="e">
        <f>RigheOfferte[[#This Row],[Colore]]</f>
        <v>#VALUE!</v>
      </c>
      <c r="J863" t="e">
        <f>RigheOfferte[[#This Row],[Velocità]]</f>
        <v>#VALUE!</v>
      </c>
      <c r="K863" t="e">
        <f>RigheOfferte[[#This Row],[Superf.pz Mq]]</f>
        <v>#VALUE!</v>
      </c>
      <c r="L863" t="e">
        <f>RigheOfferte[[#This Row],[passo]]</f>
        <v>#VALUE!</v>
      </c>
      <c r="M863" t="e">
        <f>RigheOfferte[[#This Row],[nr.pezzi Telaio]]</f>
        <v>#VALUE!</v>
      </c>
      <c r="N863" t="e">
        <f>RigheOfferte[[#This Row],[nr.pezzi ora-unita]]</f>
        <v>#VALUE!</v>
      </c>
      <c r="O863" t="e">
        <f>Tabella1[[#This Row],[superificie]]*Resa</f>
        <v>#VALUE!</v>
      </c>
      <c r="P863" t="e">
        <f>Tabella1[[#This Row],[KgPezzo]]*Tabella1[[#This Row],[q.ta offerta]]</f>
        <v>#VALUE!</v>
      </c>
      <c r="Q863" t="e">
        <f>RigheOfferte[[#This Row],[QtaProtez]]</f>
        <v>#VALUE!</v>
      </c>
      <c r="R863" t="e">
        <f>RigheOfferte[[#This Row],[Tipo Protezione]]</f>
        <v>#VALUE!</v>
      </c>
    </row>
    <row r="864" spans="1:18">
      <c r="A864" t="e">
        <f>RigheOfferte[[#This Row],[Nprev]]</f>
        <v>#VALUE!</v>
      </c>
      <c r="B864" t="e">
        <f>RigheOfferte[[#This Row],[Nriga]]</f>
        <v>#VALUE!</v>
      </c>
      <c r="C864" t="e">
        <f>RigheOfferte[[#This Row],[Cliente]]</f>
        <v>#VALUE!</v>
      </c>
      <c r="D864" t="e">
        <f>RigheOfferte[[#This Row],[sub_cliente]]</f>
        <v>#VALUE!</v>
      </c>
      <c r="E864" t="e">
        <f>RigheOfferte[[#This Row],[cod.Art.]]</f>
        <v>#VALUE!</v>
      </c>
      <c r="F864" t="e">
        <f>RigheOfferte[[#This Row],[Descrizione]]</f>
        <v>#VALUE!</v>
      </c>
      <c r="G864" t="e">
        <f>RigheOfferte[[#This Row],[Q.ta'']]</f>
        <v>#VALUE!</v>
      </c>
      <c r="H864" t="e">
        <f>RigheOfferte[[#This Row],[Lavorazione]]</f>
        <v>#VALUE!</v>
      </c>
      <c r="I864" t="e">
        <f>RigheOfferte[[#This Row],[Colore]]</f>
        <v>#VALUE!</v>
      </c>
      <c r="J864" t="e">
        <f>RigheOfferte[[#This Row],[Velocità]]</f>
        <v>#VALUE!</v>
      </c>
      <c r="K864" t="e">
        <f>RigheOfferte[[#This Row],[Superf.pz Mq]]</f>
        <v>#VALUE!</v>
      </c>
      <c r="L864" t="e">
        <f>RigheOfferte[[#This Row],[passo]]</f>
        <v>#VALUE!</v>
      </c>
      <c r="M864" t="e">
        <f>RigheOfferte[[#This Row],[nr.pezzi Telaio]]</f>
        <v>#VALUE!</v>
      </c>
      <c r="N864" t="e">
        <f>RigheOfferte[[#This Row],[nr.pezzi ora-unita]]</f>
        <v>#VALUE!</v>
      </c>
      <c r="O864" t="e">
        <f>Tabella1[[#This Row],[superificie]]*Resa</f>
        <v>#VALUE!</v>
      </c>
      <c r="P864" t="e">
        <f>Tabella1[[#This Row],[KgPezzo]]*Tabella1[[#This Row],[q.ta offerta]]</f>
        <v>#VALUE!</v>
      </c>
      <c r="Q864" t="e">
        <f>RigheOfferte[[#This Row],[QtaProtez]]</f>
        <v>#VALUE!</v>
      </c>
      <c r="R864" t="e">
        <f>RigheOfferte[[#This Row],[Tipo Protezione]]</f>
        <v>#VALUE!</v>
      </c>
    </row>
    <row r="865" spans="1:18">
      <c r="A865" t="e">
        <f>RigheOfferte[[#This Row],[Nprev]]</f>
        <v>#VALUE!</v>
      </c>
      <c r="B865" t="e">
        <f>RigheOfferte[[#This Row],[Nriga]]</f>
        <v>#VALUE!</v>
      </c>
      <c r="C865" t="e">
        <f>RigheOfferte[[#This Row],[Cliente]]</f>
        <v>#VALUE!</v>
      </c>
      <c r="D865" t="e">
        <f>RigheOfferte[[#This Row],[sub_cliente]]</f>
        <v>#VALUE!</v>
      </c>
      <c r="E865" t="e">
        <f>RigheOfferte[[#This Row],[cod.Art.]]</f>
        <v>#VALUE!</v>
      </c>
      <c r="F865" t="e">
        <f>RigheOfferte[[#This Row],[Descrizione]]</f>
        <v>#VALUE!</v>
      </c>
      <c r="G865" t="e">
        <f>RigheOfferte[[#This Row],[Q.ta'']]</f>
        <v>#VALUE!</v>
      </c>
      <c r="H865" t="e">
        <f>RigheOfferte[[#This Row],[Lavorazione]]</f>
        <v>#VALUE!</v>
      </c>
      <c r="I865" t="e">
        <f>RigheOfferte[[#This Row],[Colore]]</f>
        <v>#VALUE!</v>
      </c>
      <c r="J865" t="e">
        <f>RigheOfferte[[#This Row],[Velocità]]</f>
        <v>#VALUE!</v>
      </c>
      <c r="K865" t="e">
        <f>RigheOfferte[[#This Row],[Superf.pz Mq]]</f>
        <v>#VALUE!</v>
      </c>
      <c r="L865" t="e">
        <f>RigheOfferte[[#This Row],[passo]]</f>
        <v>#VALUE!</v>
      </c>
      <c r="M865" t="e">
        <f>RigheOfferte[[#This Row],[nr.pezzi Telaio]]</f>
        <v>#VALUE!</v>
      </c>
      <c r="N865" t="e">
        <f>RigheOfferte[[#This Row],[nr.pezzi ora-unita]]</f>
        <v>#VALUE!</v>
      </c>
      <c r="O865" t="e">
        <f>Tabella1[[#This Row],[superificie]]*Resa</f>
        <v>#VALUE!</v>
      </c>
      <c r="P865" t="e">
        <f>Tabella1[[#This Row],[KgPezzo]]*Tabella1[[#This Row],[q.ta offerta]]</f>
        <v>#VALUE!</v>
      </c>
      <c r="Q865" t="e">
        <f>RigheOfferte[[#This Row],[QtaProtez]]</f>
        <v>#VALUE!</v>
      </c>
      <c r="R865" t="e">
        <f>RigheOfferte[[#This Row],[Tipo Protezione]]</f>
        <v>#VALUE!</v>
      </c>
    </row>
    <row r="866" spans="1:18">
      <c r="A866" t="e">
        <f>RigheOfferte[[#This Row],[Nprev]]</f>
        <v>#VALUE!</v>
      </c>
      <c r="B866" t="e">
        <f>RigheOfferte[[#This Row],[Nriga]]</f>
        <v>#VALUE!</v>
      </c>
      <c r="C866" t="e">
        <f>RigheOfferte[[#This Row],[Cliente]]</f>
        <v>#VALUE!</v>
      </c>
      <c r="D866" t="e">
        <f>RigheOfferte[[#This Row],[sub_cliente]]</f>
        <v>#VALUE!</v>
      </c>
      <c r="E866" t="e">
        <f>RigheOfferte[[#This Row],[cod.Art.]]</f>
        <v>#VALUE!</v>
      </c>
      <c r="F866" t="e">
        <f>RigheOfferte[[#This Row],[Descrizione]]</f>
        <v>#VALUE!</v>
      </c>
      <c r="G866" t="e">
        <f>RigheOfferte[[#This Row],[Q.ta'']]</f>
        <v>#VALUE!</v>
      </c>
      <c r="H866" t="e">
        <f>RigheOfferte[[#This Row],[Lavorazione]]</f>
        <v>#VALUE!</v>
      </c>
      <c r="I866" t="e">
        <f>RigheOfferte[[#This Row],[Colore]]</f>
        <v>#VALUE!</v>
      </c>
      <c r="J866" t="e">
        <f>RigheOfferte[[#This Row],[Velocità]]</f>
        <v>#VALUE!</v>
      </c>
      <c r="K866" t="e">
        <f>RigheOfferte[[#This Row],[Superf.pz Mq]]</f>
        <v>#VALUE!</v>
      </c>
      <c r="L866" t="e">
        <f>RigheOfferte[[#This Row],[passo]]</f>
        <v>#VALUE!</v>
      </c>
      <c r="M866" t="e">
        <f>RigheOfferte[[#This Row],[nr.pezzi Telaio]]</f>
        <v>#VALUE!</v>
      </c>
      <c r="N866" t="e">
        <f>RigheOfferte[[#This Row],[nr.pezzi ora-unita]]</f>
        <v>#VALUE!</v>
      </c>
      <c r="O866" t="e">
        <f>Tabella1[[#This Row],[superificie]]*Resa</f>
        <v>#VALUE!</v>
      </c>
      <c r="P866" t="e">
        <f>Tabella1[[#This Row],[KgPezzo]]*Tabella1[[#This Row],[q.ta offerta]]</f>
        <v>#VALUE!</v>
      </c>
      <c r="Q866" t="e">
        <f>RigheOfferte[[#This Row],[QtaProtez]]</f>
        <v>#VALUE!</v>
      </c>
      <c r="R866" t="e">
        <f>RigheOfferte[[#This Row],[Tipo Protezione]]</f>
        <v>#VALUE!</v>
      </c>
    </row>
    <row r="867" spans="1:18">
      <c r="A867" t="e">
        <f>RigheOfferte[[#This Row],[Nprev]]</f>
        <v>#VALUE!</v>
      </c>
      <c r="B867" t="e">
        <f>RigheOfferte[[#This Row],[Nriga]]</f>
        <v>#VALUE!</v>
      </c>
      <c r="C867" t="e">
        <f>RigheOfferte[[#This Row],[Cliente]]</f>
        <v>#VALUE!</v>
      </c>
      <c r="D867" t="e">
        <f>RigheOfferte[[#This Row],[sub_cliente]]</f>
        <v>#VALUE!</v>
      </c>
      <c r="E867" t="e">
        <f>RigheOfferte[[#This Row],[cod.Art.]]</f>
        <v>#VALUE!</v>
      </c>
      <c r="F867" t="e">
        <f>RigheOfferte[[#This Row],[Descrizione]]</f>
        <v>#VALUE!</v>
      </c>
      <c r="G867" t="e">
        <f>RigheOfferte[[#This Row],[Q.ta'']]</f>
        <v>#VALUE!</v>
      </c>
      <c r="H867" t="e">
        <f>RigheOfferte[[#This Row],[Lavorazione]]</f>
        <v>#VALUE!</v>
      </c>
      <c r="I867" t="e">
        <f>RigheOfferte[[#This Row],[Colore]]</f>
        <v>#VALUE!</v>
      </c>
      <c r="J867" t="e">
        <f>RigheOfferte[[#This Row],[Velocità]]</f>
        <v>#VALUE!</v>
      </c>
      <c r="K867" t="e">
        <f>RigheOfferte[[#This Row],[Superf.pz Mq]]</f>
        <v>#VALUE!</v>
      </c>
      <c r="L867" t="e">
        <f>RigheOfferte[[#This Row],[passo]]</f>
        <v>#VALUE!</v>
      </c>
      <c r="M867" t="e">
        <f>RigheOfferte[[#This Row],[nr.pezzi Telaio]]</f>
        <v>#VALUE!</v>
      </c>
      <c r="N867" t="e">
        <f>RigheOfferte[[#This Row],[nr.pezzi ora-unita]]</f>
        <v>#VALUE!</v>
      </c>
      <c r="O867" t="e">
        <f>Tabella1[[#This Row],[superificie]]*Resa</f>
        <v>#VALUE!</v>
      </c>
      <c r="P867" t="e">
        <f>Tabella1[[#This Row],[KgPezzo]]*Tabella1[[#This Row],[q.ta offerta]]</f>
        <v>#VALUE!</v>
      </c>
      <c r="Q867" t="e">
        <f>RigheOfferte[[#This Row],[QtaProtez]]</f>
        <v>#VALUE!</v>
      </c>
      <c r="R867" t="e">
        <f>RigheOfferte[[#This Row],[Tipo Protezione]]</f>
        <v>#VALUE!</v>
      </c>
    </row>
    <row r="868" spans="1:18">
      <c r="A868" t="e">
        <f>RigheOfferte[[#This Row],[Nprev]]</f>
        <v>#VALUE!</v>
      </c>
      <c r="B868" t="e">
        <f>RigheOfferte[[#This Row],[Nriga]]</f>
        <v>#VALUE!</v>
      </c>
      <c r="C868" t="e">
        <f>RigheOfferte[[#This Row],[Cliente]]</f>
        <v>#VALUE!</v>
      </c>
      <c r="D868" t="e">
        <f>RigheOfferte[[#This Row],[sub_cliente]]</f>
        <v>#VALUE!</v>
      </c>
      <c r="E868" t="e">
        <f>RigheOfferte[[#This Row],[cod.Art.]]</f>
        <v>#VALUE!</v>
      </c>
      <c r="F868" t="e">
        <f>RigheOfferte[[#This Row],[Descrizione]]</f>
        <v>#VALUE!</v>
      </c>
      <c r="G868" t="e">
        <f>RigheOfferte[[#This Row],[Q.ta'']]</f>
        <v>#VALUE!</v>
      </c>
      <c r="H868" t="e">
        <f>RigheOfferte[[#This Row],[Lavorazione]]</f>
        <v>#VALUE!</v>
      </c>
      <c r="I868" t="e">
        <f>RigheOfferte[[#This Row],[Colore]]</f>
        <v>#VALUE!</v>
      </c>
      <c r="J868" t="e">
        <f>RigheOfferte[[#This Row],[Velocità]]</f>
        <v>#VALUE!</v>
      </c>
      <c r="K868" t="e">
        <f>RigheOfferte[[#This Row],[Superf.pz Mq]]</f>
        <v>#VALUE!</v>
      </c>
      <c r="L868" t="e">
        <f>RigheOfferte[[#This Row],[passo]]</f>
        <v>#VALUE!</v>
      </c>
      <c r="M868" t="e">
        <f>RigheOfferte[[#This Row],[nr.pezzi Telaio]]</f>
        <v>#VALUE!</v>
      </c>
      <c r="N868" t="e">
        <f>RigheOfferte[[#This Row],[nr.pezzi ora-unita]]</f>
        <v>#VALUE!</v>
      </c>
      <c r="O868" t="e">
        <f>Tabella1[[#This Row],[superificie]]*Resa</f>
        <v>#VALUE!</v>
      </c>
      <c r="P868" t="e">
        <f>Tabella1[[#This Row],[KgPezzo]]*Tabella1[[#This Row],[q.ta offerta]]</f>
        <v>#VALUE!</v>
      </c>
      <c r="Q868" t="e">
        <f>RigheOfferte[[#This Row],[QtaProtez]]</f>
        <v>#VALUE!</v>
      </c>
      <c r="R868" t="e">
        <f>RigheOfferte[[#This Row],[Tipo Protezione]]</f>
        <v>#VALUE!</v>
      </c>
    </row>
    <row r="869" spans="1:18">
      <c r="A869" t="e">
        <f>RigheOfferte[[#This Row],[Nprev]]</f>
        <v>#VALUE!</v>
      </c>
      <c r="B869" t="e">
        <f>RigheOfferte[[#This Row],[Nriga]]</f>
        <v>#VALUE!</v>
      </c>
      <c r="C869" t="e">
        <f>RigheOfferte[[#This Row],[Cliente]]</f>
        <v>#VALUE!</v>
      </c>
      <c r="D869" t="e">
        <f>RigheOfferte[[#This Row],[sub_cliente]]</f>
        <v>#VALUE!</v>
      </c>
      <c r="E869" t="e">
        <f>RigheOfferte[[#This Row],[cod.Art.]]</f>
        <v>#VALUE!</v>
      </c>
      <c r="F869" t="e">
        <f>RigheOfferte[[#This Row],[Descrizione]]</f>
        <v>#VALUE!</v>
      </c>
      <c r="G869" t="e">
        <f>RigheOfferte[[#This Row],[Q.ta'']]</f>
        <v>#VALUE!</v>
      </c>
      <c r="H869" t="e">
        <f>RigheOfferte[[#This Row],[Lavorazione]]</f>
        <v>#VALUE!</v>
      </c>
      <c r="I869" t="e">
        <f>RigheOfferte[[#This Row],[Colore]]</f>
        <v>#VALUE!</v>
      </c>
      <c r="J869" t="e">
        <f>RigheOfferte[[#This Row],[Velocità]]</f>
        <v>#VALUE!</v>
      </c>
      <c r="K869" t="e">
        <f>RigheOfferte[[#This Row],[Superf.pz Mq]]</f>
        <v>#VALUE!</v>
      </c>
      <c r="L869" t="e">
        <f>RigheOfferte[[#This Row],[passo]]</f>
        <v>#VALUE!</v>
      </c>
      <c r="M869" t="e">
        <f>RigheOfferte[[#This Row],[nr.pezzi Telaio]]</f>
        <v>#VALUE!</v>
      </c>
      <c r="N869" t="e">
        <f>RigheOfferte[[#This Row],[nr.pezzi ora-unita]]</f>
        <v>#VALUE!</v>
      </c>
      <c r="O869" t="e">
        <f>Tabella1[[#This Row],[superificie]]*Resa</f>
        <v>#VALUE!</v>
      </c>
      <c r="P869" t="e">
        <f>Tabella1[[#This Row],[KgPezzo]]*Tabella1[[#This Row],[q.ta offerta]]</f>
        <v>#VALUE!</v>
      </c>
      <c r="Q869" t="e">
        <f>RigheOfferte[[#This Row],[QtaProtez]]</f>
        <v>#VALUE!</v>
      </c>
      <c r="R869" t="e">
        <f>RigheOfferte[[#This Row],[Tipo Protezione]]</f>
        <v>#VALUE!</v>
      </c>
    </row>
    <row r="870" spans="1:18">
      <c r="A870" t="e">
        <f>RigheOfferte[[#This Row],[Nprev]]</f>
        <v>#VALUE!</v>
      </c>
      <c r="B870" t="e">
        <f>RigheOfferte[[#This Row],[Nriga]]</f>
        <v>#VALUE!</v>
      </c>
      <c r="C870" t="e">
        <f>RigheOfferte[[#This Row],[Cliente]]</f>
        <v>#VALUE!</v>
      </c>
      <c r="D870" t="e">
        <f>RigheOfferte[[#This Row],[sub_cliente]]</f>
        <v>#VALUE!</v>
      </c>
      <c r="E870" t="e">
        <f>RigheOfferte[[#This Row],[cod.Art.]]</f>
        <v>#VALUE!</v>
      </c>
      <c r="F870" t="e">
        <f>RigheOfferte[[#This Row],[Descrizione]]</f>
        <v>#VALUE!</v>
      </c>
      <c r="G870" t="e">
        <f>RigheOfferte[[#This Row],[Q.ta'']]</f>
        <v>#VALUE!</v>
      </c>
      <c r="H870" t="e">
        <f>RigheOfferte[[#This Row],[Lavorazione]]</f>
        <v>#VALUE!</v>
      </c>
      <c r="I870" t="e">
        <f>RigheOfferte[[#This Row],[Colore]]</f>
        <v>#VALUE!</v>
      </c>
      <c r="J870" t="e">
        <f>RigheOfferte[[#This Row],[Velocità]]</f>
        <v>#VALUE!</v>
      </c>
      <c r="K870" t="e">
        <f>RigheOfferte[[#This Row],[Superf.pz Mq]]</f>
        <v>#VALUE!</v>
      </c>
      <c r="L870" t="e">
        <f>RigheOfferte[[#This Row],[passo]]</f>
        <v>#VALUE!</v>
      </c>
      <c r="M870" t="e">
        <f>RigheOfferte[[#This Row],[nr.pezzi Telaio]]</f>
        <v>#VALUE!</v>
      </c>
      <c r="N870" t="e">
        <f>RigheOfferte[[#This Row],[nr.pezzi ora-unita]]</f>
        <v>#VALUE!</v>
      </c>
      <c r="O870" t="e">
        <f>Tabella1[[#This Row],[superificie]]*Resa</f>
        <v>#VALUE!</v>
      </c>
      <c r="P870" t="e">
        <f>Tabella1[[#This Row],[KgPezzo]]*Tabella1[[#This Row],[q.ta offerta]]</f>
        <v>#VALUE!</v>
      </c>
      <c r="Q870" t="e">
        <f>RigheOfferte[[#This Row],[QtaProtez]]</f>
        <v>#VALUE!</v>
      </c>
      <c r="R870" t="e">
        <f>RigheOfferte[[#This Row],[Tipo Protezione]]</f>
        <v>#VALUE!</v>
      </c>
    </row>
    <row r="871" spans="1:18">
      <c r="A871" t="e">
        <f>RigheOfferte[[#This Row],[Nprev]]</f>
        <v>#VALUE!</v>
      </c>
      <c r="B871" t="e">
        <f>RigheOfferte[[#This Row],[Nriga]]</f>
        <v>#VALUE!</v>
      </c>
      <c r="C871" t="e">
        <f>RigheOfferte[[#This Row],[Cliente]]</f>
        <v>#VALUE!</v>
      </c>
      <c r="D871" t="e">
        <f>RigheOfferte[[#This Row],[sub_cliente]]</f>
        <v>#VALUE!</v>
      </c>
      <c r="E871" t="e">
        <f>RigheOfferte[[#This Row],[cod.Art.]]</f>
        <v>#VALUE!</v>
      </c>
      <c r="F871" t="e">
        <f>RigheOfferte[[#This Row],[Descrizione]]</f>
        <v>#VALUE!</v>
      </c>
      <c r="G871" t="e">
        <f>RigheOfferte[[#This Row],[Q.ta'']]</f>
        <v>#VALUE!</v>
      </c>
      <c r="H871" t="e">
        <f>RigheOfferte[[#This Row],[Lavorazione]]</f>
        <v>#VALUE!</v>
      </c>
      <c r="I871" t="e">
        <f>RigheOfferte[[#This Row],[Colore]]</f>
        <v>#VALUE!</v>
      </c>
      <c r="J871" t="e">
        <f>RigheOfferte[[#This Row],[Velocità]]</f>
        <v>#VALUE!</v>
      </c>
      <c r="K871" t="e">
        <f>RigheOfferte[[#This Row],[Superf.pz Mq]]</f>
        <v>#VALUE!</v>
      </c>
      <c r="L871" t="e">
        <f>RigheOfferte[[#This Row],[passo]]</f>
        <v>#VALUE!</v>
      </c>
      <c r="M871" t="e">
        <f>RigheOfferte[[#This Row],[nr.pezzi Telaio]]</f>
        <v>#VALUE!</v>
      </c>
      <c r="N871" t="e">
        <f>RigheOfferte[[#This Row],[nr.pezzi ora-unita]]</f>
        <v>#VALUE!</v>
      </c>
      <c r="O871" t="e">
        <f>Tabella1[[#This Row],[superificie]]*Resa</f>
        <v>#VALUE!</v>
      </c>
      <c r="P871" t="e">
        <f>Tabella1[[#This Row],[KgPezzo]]*Tabella1[[#This Row],[q.ta offerta]]</f>
        <v>#VALUE!</v>
      </c>
      <c r="Q871" t="e">
        <f>RigheOfferte[[#This Row],[QtaProtez]]</f>
        <v>#VALUE!</v>
      </c>
      <c r="R871" t="e">
        <f>RigheOfferte[[#This Row],[Tipo Protezione]]</f>
        <v>#VALUE!</v>
      </c>
    </row>
    <row r="872" spans="1:18">
      <c r="A872" t="e">
        <f>RigheOfferte[[#This Row],[Nprev]]</f>
        <v>#VALUE!</v>
      </c>
      <c r="B872" t="e">
        <f>RigheOfferte[[#This Row],[Nriga]]</f>
        <v>#VALUE!</v>
      </c>
      <c r="C872" t="e">
        <f>RigheOfferte[[#This Row],[Cliente]]</f>
        <v>#VALUE!</v>
      </c>
      <c r="D872" t="e">
        <f>RigheOfferte[[#This Row],[sub_cliente]]</f>
        <v>#VALUE!</v>
      </c>
      <c r="E872" t="e">
        <f>RigheOfferte[[#This Row],[cod.Art.]]</f>
        <v>#VALUE!</v>
      </c>
      <c r="F872" t="e">
        <f>RigheOfferte[[#This Row],[Descrizione]]</f>
        <v>#VALUE!</v>
      </c>
      <c r="G872" t="e">
        <f>RigheOfferte[[#This Row],[Q.ta'']]</f>
        <v>#VALUE!</v>
      </c>
      <c r="H872" t="e">
        <f>RigheOfferte[[#This Row],[Lavorazione]]</f>
        <v>#VALUE!</v>
      </c>
      <c r="I872" t="e">
        <f>RigheOfferte[[#This Row],[Colore]]</f>
        <v>#VALUE!</v>
      </c>
      <c r="J872" t="e">
        <f>RigheOfferte[[#This Row],[Velocità]]</f>
        <v>#VALUE!</v>
      </c>
      <c r="K872" t="e">
        <f>RigheOfferte[[#This Row],[Superf.pz Mq]]</f>
        <v>#VALUE!</v>
      </c>
      <c r="L872" t="e">
        <f>RigheOfferte[[#This Row],[passo]]</f>
        <v>#VALUE!</v>
      </c>
      <c r="M872" t="e">
        <f>RigheOfferte[[#This Row],[nr.pezzi Telaio]]</f>
        <v>#VALUE!</v>
      </c>
      <c r="N872" t="e">
        <f>RigheOfferte[[#This Row],[nr.pezzi ora-unita]]</f>
        <v>#VALUE!</v>
      </c>
      <c r="O872" t="e">
        <f>Tabella1[[#This Row],[superificie]]*Resa</f>
        <v>#VALUE!</v>
      </c>
      <c r="P872" t="e">
        <f>Tabella1[[#This Row],[KgPezzo]]*Tabella1[[#This Row],[q.ta offerta]]</f>
        <v>#VALUE!</v>
      </c>
      <c r="Q872" t="e">
        <f>RigheOfferte[[#This Row],[QtaProtez]]</f>
        <v>#VALUE!</v>
      </c>
      <c r="R872" t="e">
        <f>RigheOfferte[[#This Row],[Tipo Protezione]]</f>
        <v>#VALUE!</v>
      </c>
    </row>
    <row r="873" spans="1:18">
      <c r="A873" t="e">
        <f>RigheOfferte[[#This Row],[Nprev]]</f>
        <v>#VALUE!</v>
      </c>
      <c r="B873" t="e">
        <f>RigheOfferte[[#This Row],[Nriga]]</f>
        <v>#VALUE!</v>
      </c>
      <c r="C873" t="e">
        <f>RigheOfferte[[#This Row],[Cliente]]</f>
        <v>#VALUE!</v>
      </c>
      <c r="D873" t="e">
        <f>RigheOfferte[[#This Row],[sub_cliente]]</f>
        <v>#VALUE!</v>
      </c>
      <c r="E873" t="e">
        <f>RigheOfferte[[#This Row],[cod.Art.]]</f>
        <v>#VALUE!</v>
      </c>
      <c r="F873" t="e">
        <f>RigheOfferte[[#This Row],[Descrizione]]</f>
        <v>#VALUE!</v>
      </c>
      <c r="G873" t="e">
        <f>RigheOfferte[[#This Row],[Q.ta'']]</f>
        <v>#VALUE!</v>
      </c>
      <c r="H873" t="e">
        <f>RigheOfferte[[#This Row],[Lavorazione]]</f>
        <v>#VALUE!</v>
      </c>
      <c r="I873" t="e">
        <f>RigheOfferte[[#This Row],[Colore]]</f>
        <v>#VALUE!</v>
      </c>
      <c r="J873" t="e">
        <f>RigheOfferte[[#This Row],[Velocità]]</f>
        <v>#VALUE!</v>
      </c>
      <c r="K873" t="e">
        <f>RigheOfferte[[#This Row],[Superf.pz Mq]]</f>
        <v>#VALUE!</v>
      </c>
      <c r="L873" t="e">
        <f>RigheOfferte[[#This Row],[passo]]</f>
        <v>#VALUE!</v>
      </c>
      <c r="M873" t="e">
        <f>RigheOfferte[[#This Row],[nr.pezzi Telaio]]</f>
        <v>#VALUE!</v>
      </c>
      <c r="N873" t="e">
        <f>RigheOfferte[[#This Row],[nr.pezzi ora-unita]]</f>
        <v>#VALUE!</v>
      </c>
      <c r="O873" t="e">
        <f>Tabella1[[#This Row],[superificie]]*Resa</f>
        <v>#VALUE!</v>
      </c>
      <c r="P873" t="e">
        <f>Tabella1[[#This Row],[KgPezzo]]*Tabella1[[#This Row],[q.ta offerta]]</f>
        <v>#VALUE!</v>
      </c>
      <c r="Q873" t="e">
        <f>RigheOfferte[[#This Row],[QtaProtez]]</f>
        <v>#VALUE!</v>
      </c>
      <c r="R873" t="e">
        <f>RigheOfferte[[#This Row],[Tipo Protezione]]</f>
        <v>#VALUE!</v>
      </c>
    </row>
    <row r="874" spans="1:18">
      <c r="A874" t="e">
        <f>RigheOfferte[[#This Row],[Nprev]]</f>
        <v>#VALUE!</v>
      </c>
      <c r="B874" t="e">
        <f>RigheOfferte[[#This Row],[Nriga]]</f>
        <v>#VALUE!</v>
      </c>
      <c r="C874" t="e">
        <f>RigheOfferte[[#This Row],[Cliente]]</f>
        <v>#VALUE!</v>
      </c>
      <c r="D874" t="e">
        <f>RigheOfferte[[#This Row],[sub_cliente]]</f>
        <v>#VALUE!</v>
      </c>
      <c r="E874" t="e">
        <f>RigheOfferte[[#This Row],[cod.Art.]]</f>
        <v>#VALUE!</v>
      </c>
      <c r="F874" t="e">
        <f>RigheOfferte[[#This Row],[Descrizione]]</f>
        <v>#VALUE!</v>
      </c>
      <c r="G874" t="e">
        <f>RigheOfferte[[#This Row],[Q.ta'']]</f>
        <v>#VALUE!</v>
      </c>
      <c r="H874" t="e">
        <f>RigheOfferte[[#This Row],[Lavorazione]]</f>
        <v>#VALUE!</v>
      </c>
      <c r="I874" t="e">
        <f>RigheOfferte[[#This Row],[Colore]]</f>
        <v>#VALUE!</v>
      </c>
      <c r="J874" t="e">
        <f>RigheOfferte[[#This Row],[Velocità]]</f>
        <v>#VALUE!</v>
      </c>
      <c r="K874" t="e">
        <f>RigheOfferte[[#This Row],[Superf.pz Mq]]</f>
        <v>#VALUE!</v>
      </c>
      <c r="L874" t="e">
        <f>RigheOfferte[[#This Row],[passo]]</f>
        <v>#VALUE!</v>
      </c>
      <c r="M874" t="e">
        <f>RigheOfferte[[#This Row],[nr.pezzi Telaio]]</f>
        <v>#VALUE!</v>
      </c>
      <c r="N874" t="e">
        <f>RigheOfferte[[#This Row],[nr.pezzi ora-unita]]</f>
        <v>#VALUE!</v>
      </c>
      <c r="O874" t="e">
        <f>Tabella1[[#This Row],[superificie]]*Resa</f>
        <v>#VALUE!</v>
      </c>
      <c r="P874" t="e">
        <f>Tabella1[[#This Row],[KgPezzo]]*Tabella1[[#This Row],[q.ta offerta]]</f>
        <v>#VALUE!</v>
      </c>
      <c r="Q874" t="e">
        <f>RigheOfferte[[#This Row],[QtaProtez]]</f>
        <v>#VALUE!</v>
      </c>
      <c r="R874" t="e">
        <f>RigheOfferte[[#This Row],[Tipo Protezione]]</f>
        <v>#VALUE!</v>
      </c>
    </row>
    <row r="875" spans="1:18">
      <c r="A875" t="e">
        <f>RigheOfferte[[#This Row],[Nprev]]</f>
        <v>#VALUE!</v>
      </c>
      <c r="B875" t="e">
        <f>RigheOfferte[[#This Row],[Nriga]]</f>
        <v>#VALUE!</v>
      </c>
      <c r="C875" t="e">
        <f>RigheOfferte[[#This Row],[Cliente]]</f>
        <v>#VALUE!</v>
      </c>
      <c r="D875" t="e">
        <f>RigheOfferte[[#This Row],[sub_cliente]]</f>
        <v>#VALUE!</v>
      </c>
      <c r="E875" t="e">
        <f>RigheOfferte[[#This Row],[cod.Art.]]</f>
        <v>#VALUE!</v>
      </c>
      <c r="F875" t="e">
        <f>RigheOfferte[[#This Row],[Descrizione]]</f>
        <v>#VALUE!</v>
      </c>
      <c r="G875" t="e">
        <f>RigheOfferte[[#This Row],[Q.ta'']]</f>
        <v>#VALUE!</v>
      </c>
      <c r="H875" t="e">
        <f>RigheOfferte[[#This Row],[Lavorazione]]</f>
        <v>#VALUE!</v>
      </c>
      <c r="I875" t="e">
        <f>RigheOfferte[[#This Row],[Colore]]</f>
        <v>#VALUE!</v>
      </c>
      <c r="J875" t="e">
        <f>RigheOfferte[[#This Row],[Velocità]]</f>
        <v>#VALUE!</v>
      </c>
      <c r="K875" t="e">
        <f>RigheOfferte[[#This Row],[Superf.pz Mq]]</f>
        <v>#VALUE!</v>
      </c>
      <c r="L875" t="e">
        <f>RigheOfferte[[#This Row],[passo]]</f>
        <v>#VALUE!</v>
      </c>
      <c r="M875" t="e">
        <f>RigheOfferte[[#This Row],[nr.pezzi Telaio]]</f>
        <v>#VALUE!</v>
      </c>
      <c r="N875" t="e">
        <f>RigheOfferte[[#This Row],[nr.pezzi ora-unita]]</f>
        <v>#VALUE!</v>
      </c>
      <c r="O875" t="e">
        <f>Tabella1[[#This Row],[superificie]]*Resa</f>
        <v>#VALUE!</v>
      </c>
      <c r="P875" t="e">
        <f>Tabella1[[#This Row],[KgPezzo]]*Tabella1[[#This Row],[q.ta offerta]]</f>
        <v>#VALUE!</v>
      </c>
      <c r="Q875" t="e">
        <f>RigheOfferte[[#This Row],[QtaProtez]]</f>
        <v>#VALUE!</v>
      </c>
      <c r="R875" t="e">
        <f>RigheOfferte[[#This Row],[Tipo Protezione]]</f>
        <v>#VALUE!</v>
      </c>
    </row>
    <row r="876" spans="1:18">
      <c r="A876" t="e">
        <f>RigheOfferte[[#This Row],[Nprev]]</f>
        <v>#VALUE!</v>
      </c>
      <c r="B876" t="e">
        <f>RigheOfferte[[#This Row],[Nriga]]</f>
        <v>#VALUE!</v>
      </c>
      <c r="C876" t="e">
        <f>RigheOfferte[[#This Row],[Cliente]]</f>
        <v>#VALUE!</v>
      </c>
      <c r="D876" t="e">
        <f>RigheOfferte[[#This Row],[sub_cliente]]</f>
        <v>#VALUE!</v>
      </c>
      <c r="E876" t="e">
        <f>RigheOfferte[[#This Row],[cod.Art.]]</f>
        <v>#VALUE!</v>
      </c>
      <c r="F876" t="e">
        <f>RigheOfferte[[#This Row],[Descrizione]]</f>
        <v>#VALUE!</v>
      </c>
      <c r="G876" t="e">
        <f>RigheOfferte[[#This Row],[Q.ta'']]</f>
        <v>#VALUE!</v>
      </c>
      <c r="H876" t="e">
        <f>RigheOfferte[[#This Row],[Lavorazione]]</f>
        <v>#VALUE!</v>
      </c>
      <c r="I876" t="e">
        <f>RigheOfferte[[#This Row],[Colore]]</f>
        <v>#VALUE!</v>
      </c>
      <c r="J876" t="e">
        <f>RigheOfferte[[#This Row],[Velocità]]</f>
        <v>#VALUE!</v>
      </c>
      <c r="K876" t="e">
        <f>RigheOfferte[[#This Row],[Superf.pz Mq]]</f>
        <v>#VALUE!</v>
      </c>
      <c r="L876" t="e">
        <f>RigheOfferte[[#This Row],[passo]]</f>
        <v>#VALUE!</v>
      </c>
      <c r="M876" t="e">
        <f>RigheOfferte[[#This Row],[nr.pezzi Telaio]]</f>
        <v>#VALUE!</v>
      </c>
      <c r="N876" t="e">
        <f>RigheOfferte[[#This Row],[nr.pezzi ora-unita]]</f>
        <v>#VALUE!</v>
      </c>
      <c r="O876" t="e">
        <f>Tabella1[[#This Row],[superificie]]*Resa</f>
        <v>#VALUE!</v>
      </c>
      <c r="P876" t="e">
        <f>Tabella1[[#This Row],[KgPezzo]]*Tabella1[[#This Row],[q.ta offerta]]</f>
        <v>#VALUE!</v>
      </c>
      <c r="Q876" t="e">
        <f>RigheOfferte[[#This Row],[QtaProtez]]</f>
        <v>#VALUE!</v>
      </c>
      <c r="R876" t="e">
        <f>RigheOfferte[[#This Row],[Tipo Protezione]]</f>
        <v>#VALUE!</v>
      </c>
    </row>
    <row r="877" spans="1:18">
      <c r="A877" t="e">
        <f>RigheOfferte[[#This Row],[Nprev]]</f>
        <v>#VALUE!</v>
      </c>
      <c r="B877" t="e">
        <f>RigheOfferte[[#This Row],[Nriga]]</f>
        <v>#VALUE!</v>
      </c>
      <c r="C877" t="e">
        <f>RigheOfferte[[#This Row],[Cliente]]</f>
        <v>#VALUE!</v>
      </c>
      <c r="D877" t="e">
        <f>RigheOfferte[[#This Row],[sub_cliente]]</f>
        <v>#VALUE!</v>
      </c>
      <c r="E877" t="e">
        <f>RigheOfferte[[#This Row],[cod.Art.]]</f>
        <v>#VALUE!</v>
      </c>
      <c r="F877" t="e">
        <f>RigheOfferte[[#This Row],[Descrizione]]</f>
        <v>#VALUE!</v>
      </c>
      <c r="G877" t="e">
        <f>RigheOfferte[[#This Row],[Q.ta'']]</f>
        <v>#VALUE!</v>
      </c>
      <c r="H877" t="e">
        <f>RigheOfferte[[#This Row],[Lavorazione]]</f>
        <v>#VALUE!</v>
      </c>
      <c r="I877" t="e">
        <f>RigheOfferte[[#This Row],[Colore]]</f>
        <v>#VALUE!</v>
      </c>
      <c r="J877" t="e">
        <f>RigheOfferte[[#This Row],[Velocità]]</f>
        <v>#VALUE!</v>
      </c>
      <c r="K877" t="e">
        <f>RigheOfferte[[#This Row],[Superf.pz Mq]]</f>
        <v>#VALUE!</v>
      </c>
      <c r="L877" t="e">
        <f>RigheOfferte[[#This Row],[passo]]</f>
        <v>#VALUE!</v>
      </c>
      <c r="M877" t="e">
        <f>RigheOfferte[[#This Row],[nr.pezzi Telaio]]</f>
        <v>#VALUE!</v>
      </c>
      <c r="N877" t="e">
        <f>RigheOfferte[[#This Row],[nr.pezzi ora-unita]]</f>
        <v>#VALUE!</v>
      </c>
      <c r="O877" t="e">
        <f>Tabella1[[#This Row],[superificie]]*Resa</f>
        <v>#VALUE!</v>
      </c>
      <c r="P877" t="e">
        <f>Tabella1[[#This Row],[KgPezzo]]*Tabella1[[#This Row],[q.ta offerta]]</f>
        <v>#VALUE!</v>
      </c>
      <c r="Q877" t="e">
        <f>RigheOfferte[[#This Row],[QtaProtez]]</f>
        <v>#VALUE!</v>
      </c>
      <c r="R877" t="e">
        <f>RigheOfferte[[#This Row],[Tipo Protezione]]</f>
        <v>#VALUE!</v>
      </c>
    </row>
    <row r="878" spans="1:18">
      <c r="A878" t="e">
        <f>RigheOfferte[[#This Row],[Nprev]]</f>
        <v>#VALUE!</v>
      </c>
      <c r="B878" t="e">
        <f>RigheOfferte[[#This Row],[Nriga]]</f>
        <v>#VALUE!</v>
      </c>
      <c r="C878" t="e">
        <f>RigheOfferte[[#This Row],[Cliente]]</f>
        <v>#VALUE!</v>
      </c>
      <c r="D878" t="e">
        <f>RigheOfferte[[#This Row],[sub_cliente]]</f>
        <v>#VALUE!</v>
      </c>
      <c r="E878" t="e">
        <f>RigheOfferte[[#This Row],[cod.Art.]]</f>
        <v>#VALUE!</v>
      </c>
      <c r="F878" t="e">
        <f>RigheOfferte[[#This Row],[Descrizione]]</f>
        <v>#VALUE!</v>
      </c>
      <c r="G878" t="e">
        <f>RigheOfferte[[#This Row],[Q.ta'']]</f>
        <v>#VALUE!</v>
      </c>
      <c r="H878" t="e">
        <f>RigheOfferte[[#This Row],[Lavorazione]]</f>
        <v>#VALUE!</v>
      </c>
      <c r="I878" t="e">
        <f>RigheOfferte[[#This Row],[Colore]]</f>
        <v>#VALUE!</v>
      </c>
      <c r="J878" t="e">
        <f>RigheOfferte[[#This Row],[Velocità]]</f>
        <v>#VALUE!</v>
      </c>
      <c r="K878" t="e">
        <f>RigheOfferte[[#This Row],[Superf.pz Mq]]</f>
        <v>#VALUE!</v>
      </c>
      <c r="L878" t="e">
        <f>RigheOfferte[[#This Row],[passo]]</f>
        <v>#VALUE!</v>
      </c>
      <c r="M878" t="e">
        <f>RigheOfferte[[#This Row],[nr.pezzi Telaio]]</f>
        <v>#VALUE!</v>
      </c>
      <c r="N878" t="e">
        <f>RigheOfferte[[#This Row],[nr.pezzi ora-unita]]</f>
        <v>#VALUE!</v>
      </c>
      <c r="O878" t="e">
        <f>Tabella1[[#This Row],[superificie]]*Resa</f>
        <v>#VALUE!</v>
      </c>
      <c r="P878" t="e">
        <f>Tabella1[[#This Row],[KgPezzo]]*Tabella1[[#This Row],[q.ta offerta]]</f>
        <v>#VALUE!</v>
      </c>
      <c r="Q878" t="e">
        <f>RigheOfferte[[#This Row],[QtaProtez]]</f>
        <v>#VALUE!</v>
      </c>
      <c r="R878" t="e">
        <f>RigheOfferte[[#This Row],[Tipo Protezione]]</f>
        <v>#VALUE!</v>
      </c>
    </row>
    <row r="879" spans="1:18">
      <c r="A879" t="e">
        <f>RigheOfferte[[#This Row],[Nprev]]</f>
        <v>#VALUE!</v>
      </c>
      <c r="B879" t="e">
        <f>RigheOfferte[[#This Row],[Nriga]]</f>
        <v>#VALUE!</v>
      </c>
      <c r="C879" t="e">
        <f>RigheOfferte[[#This Row],[Cliente]]</f>
        <v>#VALUE!</v>
      </c>
      <c r="D879" t="e">
        <f>RigheOfferte[[#This Row],[sub_cliente]]</f>
        <v>#VALUE!</v>
      </c>
      <c r="E879" t="e">
        <f>RigheOfferte[[#This Row],[cod.Art.]]</f>
        <v>#VALUE!</v>
      </c>
      <c r="F879" t="e">
        <f>RigheOfferte[[#This Row],[Descrizione]]</f>
        <v>#VALUE!</v>
      </c>
      <c r="G879" t="e">
        <f>RigheOfferte[[#This Row],[Q.ta'']]</f>
        <v>#VALUE!</v>
      </c>
      <c r="H879" t="e">
        <f>RigheOfferte[[#This Row],[Lavorazione]]</f>
        <v>#VALUE!</v>
      </c>
      <c r="I879" t="e">
        <f>RigheOfferte[[#This Row],[Colore]]</f>
        <v>#VALUE!</v>
      </c>
      <c r="J879" t="e">
        <f>RigheOfferte[[#This Row],[Velocità]]</f>
        <v>#VALUE!</v>
      </c>
      <c r="K879" t="e">
        <f>RigheOfferte[[#This Row],[Superf.pz Mq]]</f>
        <v>#VALUE!</v>
      </c>
      <c r="L879" t="e">
        <f>RigheOfferte[[#This Row],[passo]]</f>
        <v>#VALUE!</v>
      </c>
      <c r="M879" t="e">
        <f>RigheOfferte[[#This Row],[nr.pezzi Telaio]]</f>
        <v>#VALUE!</v>
      </c>
      <c r="N879" t="e">
        <f>RigheOfferte[[#This Row],[nr.pezzi ora-unita]]</f>
        <v>#VALUE!</v>
      </c>
      <c r="O879" t="e">
        <f>Tabella1[[#This Row],[superificie]]*Resa</f>
        <v>#VALUE!</v>
      </c>
      <c r="P879" t="e">
        <f>Tabella1[[#This Row],[KgPezzo]]*Tabella1[[#This Row],[q.ta offerta]]</f>
        <v>#VALUE!</v>
      </c>
      <c r="Q879" t="e">
        <f>RigheOfferte[[#This Row],[QtaProtez]]</f>
        <v>#VALUE!</v>
      </c>
      <c r="R879" t="e">
        <f>RigheOfferte[[#This Row],[Tipo Protezione]]</f>
        <v>#VALUE!</v>
      </c>
    </row>
    <row r="880" spans="1:18">
      <c r="A880" t="e">
        <f>RigheOfferte[[#This Row],[Nprev]]</f>
        <v>#VALUE!</v>
      </c>
      <c r="B880" t="e">
        <f>RigheOfferte[[#This Row],[Nriga]]</f>
        <v>#VALUE!</v>
      </c>
      <c r="C880" t="e">
        <f>RigheOfferte[[#This Row],[Cliente]]</f>
        <v>#VALUE!</v>
      </c>
      <c r="D880" t="e">
        <f>RigheOfferte[[#This Row],[sub_cliente]]</f>
        <v>#VALUE!</v>
      </c>
      <c r="E880" t="e">
        <f>RigheOfferte[[#This Row],[cod.Art.]]</f>
        <v>#VALUE!</v>
      </c>
      <c r="F880" t="e">
        <f>RigheOfferte[[#This Row],[Descrizione]]</f>
        <v>#VALUE!</v>
      </c>
      <c r="G880" t="e">
        <f>RigheOfferte[[#This Row],[Q.ta'']]</f>
        <v>#VALUE!</v>
      </c>
      <c r="H880" t="e">
        <f>RigheOfferte[[#This Row],[Lavorazione]]</f>
        <v>#VALUE!</v>
      </c>
      <c r="I880" t="e">
        <f>RigheOfferte[[#This Row],[Colore]]</f>
        <v>#VALUE!</v>
      </c>
      <c r="J880" t="e">
        <f>RigheOfferte[[#This Row],[Velocità]]</f>
        <v>#VALUE!</v>
      </c>
      <c r="K880" t="e">
        <f>RigheOfferte[[#This Row],[Superf.pz Mq]]</f>
        <v>#VALUE!</v>
      </c>
      <c r="L880" t="e">
        <f>RigheOfferte[[#This Row],[passo]]</f>
        <v>#VALUE!</v>
      </c>
      <c r="M880" t="e">
        <f>RigheOfferte[[#This Row],[nr.pezzi Telaio]]</f>
        <v>#VALUE!</v>
      </c>
      <c r="N880" t="e">
        <f>RigheOfferte[[#This Row],[nr.pezzi ora-unita]]</f>
        <v>#VALUE!</v>
      </c>
      <c r="O880" t="e">
        <f>Tabella1[[#This Row],[superificie]]*Resa</f>
        <v>#VALUE!</v>
      </c>
      <c r="P880" t="e">
        <f>Tabella1[[#This Row],[KgPezzo]]*Tabella1[[#This Row],[q.ta offerta]]</f>
        <v>#VALUE!</v>
      </c>
      <c r="Q880" t="e">
        <f>RigheOfferte[[#This Row],[QtaProtez]]</f>
        <v>#VALUE!</v>
      </c>
      <c r="R880" t="e">
        <f>RigheOfferte[[#This Row],[Tipo Protezione]]</f>
        <v>#VALUE!</v>
      </c>
    </row>
    <row r="881" spans="1:18">
      <c r="A881" t="e">
        <f>RigheOfferte[[#This Row],[Nprev]]</f>
        <v>#VALUE!</v>
      </c>
      <c r="B881" t="e">
        <f>RigheOfferte[[#This Row],[Nriga]]</f>
        <v>#VALUE!</v>
      </c>
      <c r="C881" t="e">
        <f>RigheOfferte[[#This Row],[Cliente]]</f>
        <v>#VALUE!</v>
      </c>
      <c r="D881" t="e">
        <f>RigheOfferte[[#This Row],[sub_cliente]]</f>
        <v>#VALUE!</v>
      </c>
      <c r="E881" t="e">
        <f>RigheOfferte[[#This Row],[cod.Art.]]</f>
        <v>#VALUE!</v>
      </c>
      <c r="F881" t="e">
        <f>RigheOfferte[[#This Row],[Descrizione]]</f>
        <v>#VALUE!</v>
      </c>
      <c r="G881" t="e">
        <f>RigheOfferte[[#This Row],[Q.ta'']]</f>
        <v>#VALUE!</v>
      </c>
      <c r="H881" t="e">
        <f>RigheOfferte[[#This Row],[Lavorazione]]</f>
        <v>#VALUE!</v>
      </c>
      <c r="I881" t="e">
        <f>RigheOfferte[[#This Row],[Colore]]</f>
        <v>#VALUE!</v>
      </c>
      <c r="J881" t="e">
        <f>RigheOfferte[[#This Row],[Velocità]]</f>
        <v>#VALUE!</v>
      </c>
      <c r="K881" t="e">
        <f>RigheOfferte[[#This Row],[Superf.pz Mq]]</f>
        <v>#VALUE!</v>
      </c>
      <c r="L881" t="e">
        <f>RigheOfferte[[#This Row],[passo]]</f>
        <v>#VALUE!</v>
      </c>
      <c r="M881" t="e">
        <f>RigheOfferte[[#This Row],[nr.pezzi Telaio]]</f>
        <v>#VALUE!</v>
      </c>
      <c r="N881" t="e">
        <f>RigheOfferte[[#This Row],[nr.pezzi ora-unita]]</f>
        <v>#VALUE!</v>
      </c>
      <c r="O881" t="e">
        <f>Tabella1[[#This Row],[superificie]]*Resa</f>
        <v>#VALUE!</v>
      </c>
      <c r="P881" t="e">
        <f>Tabella1[[#This Row],[KgPezzo]]*Tabella1[[#This Row],[q.ta offerta]]</f>
        <v>#VALUE!</v>
      </c>
      <c r="Q881" t="e">
        <f>RigheOfferte[[#This Row],[QtaProtez]]</f>
        <v>#VALUE!</v>
      </c>
      <c r="R881" t="e">
        <f>RigheOfferte[[#This Row],[Tipo Protezione]]</f>
        <v>#VALUE!</v>
      </c>
    </row>
    <row r="882" spans="1:18">
      <c r="A882" t="e">
        <f>RigheOfferte[[#This Row],[Nprev]]</f>
        <v>#VALUE!</v>
      </c>
      <c r="B882" t="e">
        <f>RigheOfferte[[#This Row],[Nriga]]</f>
        <v>#VALUE!</v>
      </c>
      <c r="C882" t="e">
        <f>RigheOfferte[[#This Row],[Cliente]]</f>
        <v>#VALUE!</v>
      </c>
      <c r="D882" t="e">
        <f>RigheOfferte[[#This Row],[sub_cliente]]</f>
        <v>#VALUE!</v>
      </c>
      <c r="E882" t="e">
        <f>RigheOfferte[[#This Row],[cod.Art.]]</f>
        <v>#VALUE!</v>
      </c>
      <c r="F882" t="e">
        <f>RigheOfferte[[#This Row],[Descrizione]]</f>
        <v>#VALUE!</v>
      </c>
      <c r="G882" t="e">
        <f>RigheOfferte[[#This Row],[Q.ta'']]</f>
        <v>#VALUE!</v>
      </c>
      <c r="H882" t="e">
        <f>RigheOfferte[[#This Row],[Lavorazione]]</f>
        <v>#VALUE!</v>
      </c>
      <c r="I882" t="e">
        <f>RigheOfferte[[#This Row],[Colore]]</f>
        <v>#VALUE!</v>
      </c>
      <c r="J882" t="e">
        <f>RigheOfferte[[#This Row],[Velocità]]</f>
        <v>#VALUE!</v>
      </c>
      <c r="K882" t="e">
        <f>RigheOfferte[[#This Row],[Superf.pz Mq]]</f>
        <v>#VALUE!</v>
      </c>
      <c r="L882" t="e">
        <f>RigheOfferte[[#This Row],[passo]]</f>
        <v>#VALUE!</v>
      </c>
      <c r="M882" t="e">
        <f>RigheOfferte[[#This Row],[nr.pezzi Telaio]]</f>
        <v>#VALUE!</v>
      </c>
      <c r="N882" t="e">
        <f>RigheOfferte[[#This Row],[nr.pezzi ora-unita]]</f>
        <v>#VALUE!</v>
      </c>
      <c r="O882" t="e">
        <f>Tabella1[[#This Row],[superificie]]*Resa</f>
        <v>#VALUE!</v>
      </c>
      <c r="P882" t="e">
        <f>Tabella1[[#This Row],[KgPezzo]]*Tabella1[[#This Row],[q.ta offerta]]</f>
        <v>#VALUE!</v>
      </c>
      <c r="Q882" t="e">
        <f>RigheOfferte[[#This Row],[QtaProtez]]</f>
        <v>#VALUE!</v>
      </c>
      <c r="R882" t="e">
        <f>RigheOfferte[[#This Row],[Tipo Protezione]]</f>
        <v>#VALUE!</v>
      </c>
    </row>
    <row r="883" spans="1:18">
      <c r="A883" t="e">
        <f>RigheOfferte[[#This Row],[Nprev]]</f>
        <v>#VALUE!</v>
      </c>
      <c r="B883" t="e">
        <f>RigheOfferte[[#This Row],[Nriga]]</f>
        <v>#VALUE!</v>
      </c>
      <c r="C883" t="e">
        <f>RigheOfferte[[#This Row],[Cliente]]</f>
        <v>#VALUE!</v>
      </c>
      <c r="D883" t="e">
        <f>RigheOfferte[[#This Row],[sub_cliente]]</f>
        <v>#VALUE!</v>
      </c>
      <c r="E883" t="e">
        <f>RigheOfferte[[#This Row],[cod.Art.]]</f>
        <v>#VALUE!</v>
      </c>
      <c r="F883" t="e">
        <f>RigheOfferte[[#This Row],[Descrizione]]</f>
        <v>#VALUE!</v>
      </c>
      <c r="G883" t="e">
        <f>RigheOfferte[[#This Row],[Q.ta'']]</f>
        <v>#VALUE!</v>
      </c>
      <c r="H883" t="e">
        <f>RigheOfferte[[#This Row],[Lavorazione]]</f>
        <v>#VALUE!</v>
      </c>
      <c r="I883" t="e">
        <f>RigheOfferte[[#This Row],[Colore]]</f>
        <v>#VALUE!</v>
      </c>
      <c r="J883" t="e">
        <f>RigheOfferte[[#This Row],[Velocità]]</f>
        <v>#VALUE!</v>
      </c>
      <c r="K883" t="e">
        <f>RigheOfferte[[#This Row],[Superf.pz Mq]]</f>
        <v>#VALUE!</v>
      </c>
      <c r="L883" t="e">
        <f>RigheOfferte[[#This Row],[passo]]</f>
        <v>#VALUE!</v>
      </c>
      <c r="M883" t="e">
        <f>RigheOfferte[[#This Row],[nr.pezzi Telaio]]</f>
        <v>#VALUE!</v>
      </c>
      <c r="N883" t="e">
        <f>RigheOfferte[[#This Row],[nr.pezzi ora-unita]]</f>
        <v>#VALUE!</v>
      </c>
      <c r="O883" t="e">
        <f>Tabella1[[#This Row],[superificie]]*Resa</f>
        <v>#VALUE!</v>
      </c>
      <c r="P883" t="e">
        <f>Tabella1[[#This Row],[KgPezzo]]*Tabella1[[#This Row],[q.ta offerta]]</f>
        <v>#VALUE!</v>
      </c>
      <c r="Q883" t="e">
        <f>RigheOfferte[[#This Row],[QtaProtez]]</f>
        <v>#VALUE!</v>
      </c>
      <c r="R883" t="e">
        <f>RigheOfferte[[#This Row],[Tipo Protezione]]</f>
        <v>#VALUE!</v>
      </c>
    </row>
    <row r="884" spans="1:18">
      <c r="A884" t="e">
        <f>RigheOfferte[[#This Row],[Nprev]]</f>
        <v>#VALUE!</v>
      </c>
      <c r="B884" t="e">
        <f>RigheOfferte[[#This Row],[Nriga]]</f>
        <v>#VALUE!</v>
      </c>
      <c r="C884" t="e">
        <f>RigheOfferte[[#This Row],[Cliente]]</f>
        <v>#VALUE!</v>
      </c>
      <c r="D884" t="e">
        <f>RigheOfferte[[#This Row],[sub_cliente]]</f>
        <v>#VALUE!</v>
      </c>
      <c r="E884" t="e">
        <f>RigheOfferte[[#This Row],[cod.Art.]]</f>
        <v>#VALUE!</v>
      </c>
      <c r="F884" t="e">
        <f>RigheOfferte[[#This Row],[Descrizione]]</f>
        <v>#VALUE!</v>
      </c>
      <c r="G884" t="e">
        <f>RigheOfferte[[#This Row],[Q.ta'']]</f>
        <v>#VALUE!</v>
      </c>
      <c r="H884" t="e">
        <f>RigheOfferte[[#This Row],[Lavorazione]]</f>
        <v>#VALUE!</v>
      </c>
      <c r="I884" t="e">
        <f>RigheOfferte[[#This Row],[Colore]]</f>
        <v>#VALUE!</v>
      </c>
      <c r="J884" t="e">
        <f>RigheOfferte[[#This Row],[Velocità]]</f>
        <v>#VALUE!</v>
      </c>
      <c r="K884" t="e">
        <f>RigheOfferte[[#This Row],[Superf.pz Mq]]</f>
        <v>#VALUE!</v>
      </c>
      <c r="L884" t="e">
        <f>RigheOfferte[[#This Row],[passo]]</f>
        <v>#VALUE!</v>
      </c>
      <c r="M884" t="e">
        <f>RigheOfferte[[#This Row],[nr.pezzi Telaio]]</f>
        <v>#VALUE!</v>
      </c>
      <c r="N884" t="e">
        <f>RigheOfferte[[#This Row],[nr.pezzi ora-unita]]</f>
        <v>#VALUE!</v>
      </c>
      <c r="O884" t="e">
        <f>Tabella1[[#This Row],[superificie]]*Resa</f>
        <v>#VALUE!</v>
      </c>
      <c r="P884" t="e">
        <f>Tabella1[[#This Row],[KgPezzo]]*Tabella1[[#This Row],[q.ta offerta]]</f>
        <v>#VALUE!</v>
      </c>
      <c r="Q884" t="e">
        <f>RigheOfferte[[#This Row],[QtaProtez]]</f>
        <v>#VALUE!</v>
      </c>
      <c r="R884" t="e">
        <f>RigheOfferte[[#This Row],[Tipo Protezione]]</f>
        <v>#VALUE!</v>
      </c>
    </row>
    <row r="885" spans="1:18">
      <c r="A885" t="e">
        <f>RigheOfferte[[#This Row],[Nprev]]</f>
        <v>#VALUE!</v>
      </c>
      <c r="B885" t="e">
        <f>RigheOfferte[[#This Row],[Nriga]]</f>
        <v>#VALUE!</v>
      </c>
      <c r="C885" t="e">
        <f>RigheOfferte[[#This Row],[Cliente]]</f>
        <v>#VALUE!</v>
      </c>
      <c r="D885" t="e">
        <f>RigheOfferte[[#This Row],[sub_cliente]]</f>
        <v>#VALUE!</v>
      </c>
      <c r="E885" t="e">
        <f>RigheOfferte[[#This Row],[cod.Art.]]</f>
        <v>#VALUE!</v>
      </c>
      <c r="F885" t="e">
        <f>RigheOfferte[[#This Row],[Descrizione]]</f>
        <v>#VALUE!</v>
      </c>
      <c r="G885" t="e">
        <f>RigheOfferte[[#This Row],[Q.ta'']]</f>
        <v>#VALUE!</v>
      </c>
      <c r="H885" t="e">
        <f>RigheOfferte[[#This Row],[Lavorazione]]</f>
        <v>#VALUE!</v>
      </c>
      <c r="I885" t="e">
        <f>RigheOfferte[[#This Row],[Colore]]</f>
        <v>#VALUE!</v>
      </c>
      <c r="J885" t="e">
        <f>RigheOfferte[[#This Row],[Velocità]]</f>
        <v>#VALUE!</v>
      </c>
      <c r="K885" t="e">
        <f>RigheOfferte[[#This Row],[Superf.pz Mq]]</f>
        <v>#VALUE!</v>
      </c>
      <c r="L885" t="e">
        <f>RigheOfferte[[#This Row],[passo]]</f>
        <v>#VALUE!</v>
      </c>
      <c r="M885" t="e">
        <f>RigheOfferte[[#This Row],[nr.pezzi Telaio]]</f>
        <v>#VALUE!</v>
      </c>
      <c r="N885" t="e">
        <f>RigheOfferte[[#This Row],[nr.pezzi ora-unita]]</f>
        <v>#VALUE!</v>
      </c>
      <c r="O885" t="e">
        <f>Tabella1[[#This Row],[superificie]]*Resa</f>
        <v>#VALUE!</v>
      </c>
      <c r="P885" t="e">
        <f>Tabella1[[#This Row],[KgPezzo]]*Tabella1[[#This Row],[q.ta offerta]]</f>
        <v>#VALUE!</v>
      </c>
      <c r="Q885" t="e">
        <f>RigheOfferte[[#This Row],[QtaProtez]]</f>
        <v>#VALUE!</v>
      </c>
      <c r="R885" t="e">
        <f>RigheOfferte[[#This Row],[Tipo Protezione]]</f>
        <v>#VALUE!</v>
      </c>
    </row>
    <row r="886" spans="1:18">
      <c r="A886" t="e">
        <f>RigheOfferte[[#This Row],[Nprev]]</f>
        <v>#VALUE!</v>
      </c>
      <c r="B886" t="e">
        <f>RigheOfferte[[#This Row],[Nriga]]</f>
        <v>#VALUE!</v>
      </c>
      <c r="C886" t="e">
        <f>RigheOfferte[[#This Row],[Cliente]]</f>
        <v>#VALUE!</v>
      </c>
      <c r="D886" t="e">
        <f>RigheOfferte[[#This Row],[sub_cliente]]</f>
        <v>#VALUE!</v>
      </c>
      <c r="E886" t="e">
        <f>RigheOfferte[[#This Row],[cod.Art.]]</f>
        <v>#VALUE!</v>
      </c>
      <c r="F886" t="e">
        <f>RigheOfferte[[#This Row],[Descrizione]]</f>
        <v>#VALUE!</v>
      </c>
      <c r="G886" t="e">
        <f>RigheOfferte[[#This Row],[Q.ta'']]</f>
        <v>#VALUE!</v>
      </c>
      <c r="H886" t="e">
        <f>RigheOfferte[[#This Row],[Lavorazione]]</f>
        <v>#VALUE!</v>
      </c>
      <c r="I886" t="e">
        <f>RigheOfferte[[#This Row],[Colore]]</f>
        <v>#VALUE!</v>
      </c>
      <c r="J886" t="e">
        <f>RigheOfferte[[#This Row],[Velocità]]</f>
        <v>#VALUE!</v>
      </c>
      <c r="K886" t="e">
        <f>RigheOfferte[[#This Row],[Superf.pz Mq]]</f>
        <v>#VALUE!</v>
      </c>
      <c r="L886" t="e">
        <f>RigheOfferte[[#This Row],[passo]]</f>
        <v>#VALUE!</v>
      </c>
      <c r="M886" t="e">
        <f>RigheOfferte[[#This Row],[nr.pezzi Telaio]]</f>
        <v>#VALUE!</v>
      </c>
      <c r="N886" t="e">
        <f>RigheOfferte[[#This Row],[nr.pezzi ora-unita]]</f>
        <v>#VALUE!</v>
      </c>
      <c r="O886" t="e">
        <f>Tabella1[[#This Row],[superificie]]*Resa</f>
        <v>#VALUE!</v>
      </c>
      <c r="P886" t="e">
        <f>Tabella1[[#This Row],[KgPezzo]]*Tabella1[[#This Row],[q.ta offerta]]</f>
        <v>#VALUE!</v>
      </c>
      <c r="Q886" t="e">
        <f>RigheOfferte[[#This Row],[QtaProtez]]</f>
        <v>#VALUE!</v>
      </c>
      <c r="R886" t="e">
        <f>RigheOfferte[[#This Row],[Tipo Protezione]]</f>
        <v>#VALUE!</v>
      </c>
    </row>
    <row r="887" spans="1:18">
      <c r="A887" t="e">
        <f>RigheOfferte[[#This Row],[Nprev]]</f>
        <v>#VALUE!</v>
      </c>
      <c r="B887" t="e">
        <f>RigheOfferte[[#This Row],[Nriga]]</f>
        <v>#VALUE!</v>
      </c>
      <c r="C887" t="e">
        <f>RigheOfferte[[#This Row],[Cliente]]</f>
        <v>#VALUE!</v>
      </c>
      <c r="D887" t="e">
        <f>RigheOfferte[[#This Row],[sub_cliente]]</f>
        <v>#VALUE!</v>
      </c>
      <c r="E887" t="e">
        <f>RigheOfferte[[#This Row],[cod.Art.]]</f>
        <v>#VALUE!</v>
      </c>
      <c r="F887" t="e">
        <f>RigheOfferte[[#This Row],[Descrizione]]</f>
        <v>#VALUE!</v>
      </c>
      <c r="G887" t="e">
        <f>RigheOfferte[[#This Row],[Q.ta'']]</f>
        <v>#VALUE!</v>
      </c>
      <c r="H887" t="e">
        <f>RigheOfferte[[#This Row],[Lavorazione]]</f>
        <v>#VALUE!</v>
      </c>
      <c r="I887" t="e">
        <f>RigheOfferte[[#This Row],[Colore]]</f>
        <v>#VALUE!</v>
      </c>
      <c r="J887" t="e">
        <f>RigheOfferte[[#This Row],[Velocità]]</f>
        <v>#VALUE!</v>
      </c>
      <c r="K887" t="e">
        <f>RigheOfferte[[#This Row],[Superf.pz Mq]]</f>
        <v>#VALUE!</v>
      </c>
      <c r="L887" t="e">
        <f>RigheOfferte[[#This Row],[passo]]</f>
        <v>#VALUE!</v>
      </c>
      <c r="M887" t="e">
        <f>RigheOfferte[[#This Row],[nr.pezzi Telaio]]</f>
        <v>#VALUE!</v>
      </c>
      <c r="N887" t="e">
        <f>RigheOfferte[[#This Row],[nr.pezzi ora-unita]]</f>
        <v>#VALUE!</v>
      </c>
      <c r="O887" t="e">
        <f>Tabella1[[#This Row],[superificie]]*Resa</f>
        <v>#VALUE!</v>
      </c>
      <c r="P887" t="e">
        <f>Tabella1[[#This Row],[KgPezzo]]*Tabella1[[#This Row],[q.ta offerta]]</f>
        <v>#VALUE!</v>
      </c>
      <c r="Q887" t="e">
        <f>RigheOfferte[[#This Row],[QtaProtez]]</f>
        <v>#VALUE!</v>
      </c>
      <c r="R887" t="e">
        <f>RigheOfferte[[#This Row],[Tipo Protezione]]</f>
        <v>#VALUE!</v>
      </c>
    </row>
    <row r="888" spans="1:18">
      <c r="A888" t="e">
        <f>RigheOfferte[[#This Row],[Nprev]]</f>
        <v>#VALUE!</v>
      </c>
      <c r="B888" t="e">
        <f>RigheOfferte[[#This Row],[Nriga]]</f>
        <v>#VALUE!</v>
      </c>
      <c r="C888" t="e">
        <f>RigheOfferte[[#This Row],[Cliente]]</f>
        <v>#VALUE!</v>
      </c>
      <c r="D888" t="e">
        <f>RigheOfferte[[#This Row],[sub_cliente]]</f>
        <v>#VALUE!</v>
      </c>
      <c r="E888" t="e">
        <f>RigheOfferte[[#This Row],[cod.Art.]]</f>
        <v>#VALUE!</v>
      </c>
      <c r="F888" t="e">
        <f>RigheOfferte[[#This Row],[Descrizione]]</f>
        <v>#VALUE!</v>
      </c>
      <c r="G888" t="e">
        <f>RigheOfferte[[#This Row],[Q.ta'']]</f>
        <v>#VALUE!</v>
      </c>
      <c r="H888" t="e">
        <f>RigheOfferte[[#This Row],[Lavorazione]]</f>
        <v>#VALUE!</v>
      </c>
      <c r="I888" t="e">
        <f>RigheOfferte[[#This Row],[Colore]]</f>
        <v>#VALUE!</v>
      </c>
      <c r="J888" t="e">
        <f>RigheOfferte[[#This Row],[Velocità]]</f>
        <v>#VALUE!</v>
      </c>
      <c r="K888" t="e">
        <f>RigheOfferte[[#This Row],[Superf.pz Mq]]</f>
        <v>#VALUE!</v>
      </c>
      <c r="L888" t="e">
        <f>RigheOfferte[[#This Row],[passo]]</f>
        <v>#VALUE!</v>
      </c>
      <c r="M888" t="e">
        <f>RigheOfferte[[#This Row],[nr.pezzi Telaio]]</f>
        <v>#VALUE!</v>
      </c>
      <c r="N888" t="e">
        <f>RigheOfferte[[#This Row],[nr.pezzi ora-unita]]</f>
        <v>#VALUE!</v>
      </c>
      <c r="O888" t="e">
        <f>Tabella1[[#This Row],[superificie]]*Resa</f>
        <v>#VALUE!</v>
      </c>
      <c r="P888" t="e">
        <f>Tabella1[[#This Row],[KgPezzo]]*Tabella1[[#This Row],[q.ta offerta]]</f>
        <v>#VALUE!</v>
      </c>
      <c r="Q888" t="e">
        <f>RigheOfferte[[#This Row],[QtaProtez]]</f>
        <v>#VALUE!</v>
      </c>
      <c r="R888" t="e">
        <f>RigheOfferte[[#This Row],[Tipo Protezione]]</f>
        <v>#VALUE!</v>
      </c>
    </row>
    <row r="889" spans="1:18">
      <c r="A889" t="e">
        <f>RigheOfferte[[#This Row],[Nprev]]</f>
        <v>#VALUE!</v>
      </c>
      <c r="B889" t="e">
        <f>RigheOfferte[[#This Row],[Nriga]]</f>
        <v>#VALUE!</v>
      </c>
      <c r="C889" t="e">
        <f>RigheOfferte[[#This Row],[Cliente]]</f>
        <v>#VALUE!</v>
      </c>
      <c r="D889" t="e">
        <f>RigheOfferte[[#This Row],[sub_cliente]]</f>
        <v>#VALUE!</v>
      </c>
      <c r="E889" t="e">
        <f>RigheOfferte[[#This Row],[cod.Art.]]</f>
        <v>#VALUE!</v>
      </c>
      <c r="F889" t="e">
        <f>RigheOfferte[[#This Row],[Descrizione]]</f>
        <v>#VALUE!</v>
      </c>
      <c r="G889" t="e">
        <f>RigheOfferte[[#This Row],[Q.ta'']]</f>
        <v>#VALUE!</v>
      </c>
      <c r="H889" t="e">
        <f>RigheOfferte[[#This Row],[Lavorazione]]</f>
        <v>#VALUE!</v>
      </c>
      <c r="I889" t="e">
        <f>RigheOfferte[[#This Row],[Colore]]</f>
        <v>#VALUE!</v>
      </c>
      <c r="J889" t="e">
        <f>RigheOfferte[[#This Row],[Velocità]]</f>
        <v>#VALUE!</v>
      </c>
      <c r="K889" t="e">
        <f>RigheOfferte[[#This Row],[Superf.pz Mq]]</f>
        <v>#VALUE!</v>
      </c>
      <c r="L889" t="e">
        <f>RigheOfferte[[#This Row],[passo]]</f>
        <v>#VALUE!</v>
      </c>
      <c r="M889" t="e">
        <f>RigheOfferte[[#This Row],[nr.pezzi Telaio]]</f>
        <v>#VALUE!</v>
      </c>
      <c r="N889" t="e">
        <f>RigheOfferte[[#This Row],[nr.pezzi ora-unita]]</f>
        <v>#VALUE!</v>
      </c>
      <c r="O889" t="e">
        <f>Tabella1[[#This Row],[superificie]]*Resa</f>
        <v>#VALUE!</v>
      </c>
      <c r="P889" t="e">
        <f>Tabella1[[#This Row],[KgPezzo]]*Tabella1[[#This Row],[q.ta offerta]]</f>
        <v>#VALUE!</v>
      </c>
      <c r="Q889" t="e">
        <f>RigheOfferte[[#This Row],[QtaProtez]]</f>
        <v>#VALUE!</v>
      </c>
      <c r="R889" t="e">
        <f>RigheOfferte[[#This Row],[Tipo Protezione]]</f>
        <v>#VALUE!</v>
      </c>
    </row>
    <row r="890" spans="1:18">
      <c r="A890" t="e">
        <f>RigheOfferte[[#This Row],[Nprev]]</f>
        <v>#VALUE!</v>
      </c>
      <c r="B890" t="e">
        <f>RigheOfferte[[#This Row],[Nriga]]</f>
        <v>#VALUE!</v>
      </c>
      <c r="C890" t="e">
        <f>RigheOfferte[[#This Row],[Cliente]]</f>
        <v>#VALUE!</v>
      </c>
      <c r="D890" t="e">
        <f>RigheOfferte[[#This Row],[sub_cliente]]</f>
        <v>#VALUE!</v>
      </c>
      <c r="E890" t="e">
        <f>RigheOfferte[[#This Row],[cod.Art.]]</f>
        <v>#VALUE!</v>
      </c>
      <c r="F890" t="e">
        <f>RigheOfferte[[#This Row],[Descrizione]]</f>
        <v>#VALUE!</v>
      </c>
      <c r="G890" t="e">
        <f>RigheOfferte[[#This Row],[Q.ta'']]</f>
        <v>#VALUE!</v>
      </c>
      <c r="H890" t="e">
        <f>RigheOfferte[[#This Row],[Lavorazione]]</f>
        <v>#VALUE!</v>
      </c>
      <c r="I890" t="e">
        <f>RigheOfferte[[#This Row],[Colore]]</f>
        <v>#VALUE!</v>
      </c>
      <c r="J890" t="e">
        <f>RigheOfferte[[#This Row],[Velocità]]</f>
        <v>#VALUE!</v>
      </c>
      <c r="K890" t="e">
        <f>RigheOfferte[[#This Row],[Superf.pz Mq]]</f>
        <v>#VALUE!</v>
      </c>
      <c r="L890" t="e">
        <f>RigheOfferte[[#This Row],[passo]]</f>
        <v>#VALUE!</v>
      </c>
      <c r="M890" t="e">
        <f>RigheOfferte[[#This Row],[nr.pezzi Telaio]]</f>
        <v>#VALUE!</v>
      </c>
      <c r="N890" t="e">
        <f>RigheOfferte[[#This Row],[nr.pezzi ora-unita]]</f>
        <v>#VALUE!</v>
      </c>
      <c r="O890" t="e">
        <f>Tabella1[[#This Row],[superificie]]*Resa</f>
        <v>#VALUE!</v>
      </c>
      <c r="P890" t="e">
        <f>Tabella1[[#This Row],[KgPezzo]]*Tabella1[[#This Row],[q.ta offerta]]</f>
        <v>#VALUE!</v>
      </c>
      <c r="Q890" t="e">
        <f>RigheOfferte[[#This Row],[QtaProtez]]</f>
        <v>#VALUE!</v>
      </c>
      <c r="R890" t="e">
        <f>RigheOfferte[[#This Row],[Tipo Protezione]]</f>
        <v>#VALUE!</v>
      </c>
    </row>
    <row r="891" spans="1:18">
      <c r="A891" t="e">
        <f>RigheOfferte[[#This Row],[Nprev]]</f>
        <v>#VALUE!</v>
      </c>
      <c r="B891" t="e">
        <f>RigheOfferte[[#This Row],[Nriga]]</f>
        <v>#VALUE!</v>
      </c>
      <c r="C891" t="e">
        <f>RigheOfferte[[#This Row],[Cliente]]</f>
        <v>#VALUE!</v>
      </c>
      <c r="D891" t="e">
        <f>RigheOfferte[[#This Row],[sub_cliente]]</f>
        <v>#VALUE!</v>
      </c>
      <c r="E891" t="e">
        <f>RigheOfferte[[#This Row],[cod.Art.]]</f>
        <v>#VALUE!</v>
      </c>
      <c r="F891" t="e">
        <f>RigheOfferte[[#This Row],[Descrizione]]</f>
        <v>#VALUE!</v>
      </c>
      <c r="G891" t="e">
        <f>RigheOfferte[[#This Row],[Q.ta'']]</f>
        <v>#VALUE!</v>
      </c>
      <c r="H891" t="e">
        <f>RigheOfferte[[#This Row],[Lavorazione]]</f>
        <v>#VALUE!</v>
      </c>
      <c r="I891" t="e">
        <f>RigheOfferte[[#This Row],[Colore]]</f>
        <v>#VALUE!</v>
      </c>
      <c r="J891" t="e">
        <f>RigheOfferte[[#This Row],[Velocità]]</f>
        <v>#VALUE!</v>
      </c>
      <c r="K891" t="e">
        <f>RigheOfferte[[#This Row],[Superf.pz Mq]]</f>
        <v>#VALUE!</v>
      </c>
      <c r="L891" t="e">
        <f>RigheOfferte[[#This Row],[passo]]</f>
        <v>#VALUE!</v>
      </c>
      <c r="M891" t="e">
        <f>RigheOfferte[[#This Row],[nr.pezzi Telaio]]</f>
        <v>#VALUE!</v>
      </c>
      <c r="N891" t="e">
        <f>RigheOfferte[[#This Row],[nr.pezzi ora-unita]]</f>
        <v>#VALUE!</v>
      </c>
      <c r="O891" t="e">
        <f>Tabella1[[#This Row],[superificie]]*Resa</f>
        <v>#VALUE!</v>
      </c>
      <c r="P891" t="e">
        <f>Tabella1[[#This Row],[KgPezzo]]*Tabella1[[#This Row],[q.ta offerta]]</f>
        <v>#VALUE!</v>
      </c>
      <c r="Q891" t="e">
        <f>RigheOfferte[[#This Row],[QtaProtez]]</f>
        <v>#VALUE!</v>
      </c>
      <c r="R891" t="e">
        <f>RigheOfferte[[#This Row],[Tipo Protezione]]</f>
        <v>#VALUE!</v>
      </c>
    </row>
    <row r="892" spans="1:18">
      <c r="A892" t="e">
        <f>RigheOfferte[[#This Row],[Nprev]]</f>
        <v>#VALUE!</v>
      </c>
      <c r="B892" t="e">
        <f>RigheOfferte[[#This Row],[Nriga]]</f>
        <v>#VALUE!</v>
      </c>
      <c r="C892" t="e">
        <f>RigheOfferte[[#This Row],[Cliente]]</f>
        <v>#VALUE!</v>
      </c>
      <c r="D892" t="e">
        <f>RigheOfferte[[#This Row],[sub_cliente]]</f>
        <v>#VALUE!</v>
      </c>
      <c r="E892" t="e">
        <f>RigheOfferte[[#This Row],[cod.Art.]]</f>
        <v>#VALUE!</v>
      </c>
      <c r="F892" t="e">
        <f>RigheOfferte[[#This Row],[Descrizione]]</f>
        <v>#VALUE!</v>
      </c>
      <c r="G892" t="e">
        <f>RigheOfferte[[#This Row],[Q.ta'']]</f>
        <v>#VALUE!</v>
      </c>
      <c r="H892" t="e">
        <f>RigheOfferte[[#This Row],[Lavorazione]]</f>
        <v>#VALUE!</v>
      </c>
      <c r="I892" t="e">
        <f>RigheOfferte[[#This Row],[Colore]]</f>
        <v>#VALUE!</v>
      </c>
      <c r="J892" t="e">
        <f>RigheOfferte[[#This Row],[Velocità]]</f>
        <v>#VALUE!</v>
      </c>
      <c r="K892" t="e">
        <f>RigheOfferte[[#This Row],[Superf.pz Mq]]</f>
        <v>#VALUE!</v>
      </c>
      <c r="L892" t="e">
        <f>RigheOfferte[[#This Row],[passo]]</f>
        <v>#VALUE!</v>
      </c>
      <c r="M892" t="e">
        <f>RigheOfferte[[#This Row],[nr.pezzi Telaio]]</f>
        <v>#VALUE!</v>
      </c>
      <c r="N892" t="e">
        <f>RigheOfferte[[#This Row],[nr.pezzi ora-unita]]</f>
        <v>#VALUE!</v>
      </c>
      <c r="O892" t="e">
        <f>Tabella1[[#This Row],[superificie]]*Resa</f>
        <v>#VALUE!</v>
      </c>
      <c r="P892" t="e">
        <f>Tabella1[[#This Row],[KgPezzo]]*Tabella1[[#This Row],[q.ta offerta]]</f>
        <v>#VALUE!</v>
      </c>
      <c r="Q892" t="e">
        <f>RigheOfferte[[#This Row],[QtaProtez]]</f>
        <v>#VALUE!</v>
      </c>
      <c r="R892" t="e">
        <f>RigheOfferte[[#This Row],[Tipo Protezione]]</f>
        <v>#VALUE!</v>
      </c>
    </row>
    <row r="893" spans="1:18">
      <c r="A893" t="e">
        <f>RigheOfferte[[#This Row],[Nprev]]</f>
        <v>#VALUE!</v>
      </c>
      <c r="B893" t="e">
        <f>RigheOfferte[[#This Row],[Nriga]]</f>
        <v>#VALUE!</v>
      </c>
      <c r="C893" t="e">
        <f>RigheOfferte[[#This Row],[Cliente]]</f>
        <v>#VALUE!</v>
      </c>
      <c r="D893" t="e">
        <f>RigheOfferte[[#This Row],[sub_cliente]]</f>
        <v>#VALUE!</v>
      </c>
      <c r="E893" t="e">
        <f>RigheOfferte[[#This Row],[cod.Art.]]</f>
        <v>#VALUE!</v>
      </c>
      <c r="F893" t="e">
        <f>RigheOfferte[[#This Row],[Descrizione]]</f>
        <v>#VALUE!</v>
      </c>
      <c r="G893" t="e">
        <f>RigheOfferte[[#This Row],[Q.ta'']]</f>
        <v>#VALUE!</v>
      </c>
      <c r="H893" t="e">
        <f>RigheOfferte[[#This Row],[Lavorazione]]</f>
        <v>#VALUE!</v>
      </c>
      <c r="I893" t="e">
        <f>RigheOfferte[[#This Row],[Colore]]</f>
        <v>#VALUE!</v>
      </c>
      <c r="J893" t="e">
        <f>RigheOfferte[[#This Row],[Velocità]]</f>
        <v>#VALUE!</v>
      </c>
      <c r="K893" t="e">
        <f>RigheOfferte[[#This Row],[Superf.pz Mq]]</f>
        <v>#VALUE!</v>
      </c>
      <c r="L893" t="e">
        <f>RigheOfferte[[#This Row],[passo]]</f>
        <v>#VALUE!</v>
      </c>
      <c r="M893" t="e">
        <f>RigheOfferte[[#This Row],[nr.pezzi Telaio]]</f>
        <v>#VALUE!</v>
      </c>
      <c r="N893" t="e">
        <f>RigheOfferte[[#This Row],[nr.pezzi ora-unita]]</f>
        <v>#VALUE!</v>
      </c>
      <c r="O893" t="e">
        <f>Tabella1[[#This Row],[superificie]]*Resa</f>
        <v>#VALUE!</v>
      </c>
      <c r="P893" t="e">
        <f>Tabella1[[#This Row],[KgPezzo]]*Tabella1[[#This Row],[q.ta offerta]]</f>
        <v>#VALUE!</v>
      </c>
      <c r="Q893" t="e">
        <f>RigheOfferte[[#This Row],[QtaProtez]]</f>
        <v>#VALUE!</v>
      </c>
      <c r="R893" t="e">
        <f>RigheOfferte[[#This Row],[Tipo Protezione]]</f>
        <v>#VALUE!</v>
      </c>
    </row>
    <row r="894" spans="1:18">
      <c r="A894" t="e">
        <f>RigheOfferte[[#This Row],[Nprev]]</f>
        <v>#VALUE!</v>
      </c>
      <c r="B894" t="e">
        <f>RigheOfferte[[#This Row],[Nriga]]</f>
        <v>#VALUE!</v>
      </c>
      <c r="C894" t="e">
        <f>RigheOfferte[[#This Row],[Cliente]]</f>
        <v>#VALUE!</v>
      </c>
      <c r="D894" t="e">
        <f>RigheOfferte[[#This Row],[sub_cliente]]</f>
        <v>#VALUE!</v>
      </c>
      <c r="E894" t="e">
        <f>RigheOfferte[[#This Row],[cod.Art.]]</f>
        <v>#VALUE!</v>
      </c>
      <c r="F894" t="e">
        <f>RigheOfferte[[#This Row],[Descrizione]]</f>
        <v>#VALUE!</v>
      </c>
      <c r="G894" t="e">
        <f>RigheOfferte[[#This Row],[Q.ta'']]</f>
        <v>#VALUE!</v>
      </c>
      <c r="H894" t="e">
        <f>RigheOfferte[[#This Row],[Lavorazione]]</f>
        <v>#VALUE!</v>
      </c>
      <c r="I894" t="e">
        <f>RigheOfferte[[#This Row],[Colore]]</f>
        <v>#VALUE!</v>
      </c>
      <c r="J894" t="e">
        <f>RigheOfferte[[#This Row],[Velocità]]</f>
        <v>#VALUE!</v>
      </c>
      <c r="K894" t="e">
        <f>RigheOfferte[[#This Row],[Superf.pz Mq]]</f>
        <v>#VALUE!</v>
      </c>
      <c r="L894" t="e">
        <f>RigheOfferte[[#This Row],[passo]]</f>
        <v>#VALUE!</v>
      </c>
      <c r="M894" t="e">
        <f>RigheOfferte[[#This Row],[nr.pezzi Telaio]]</f>
        <v>#VALUE!</v>
      </c>
      <c r="N894" t="e">
        <f>RigheOfferte[[#This Row],[nr.pezzi ora-unita]]</f>
        <v>#VALUE!</v>
      </c>
      <c r="O894" t="e">
        <f>Tabella1[[#This Row],[superificie]]*Resa</f>
        <v>#VALUE!</v>
      </c>
      <c r="P894" t="e">
        <f>Tabella1[[#This Row],[KgPezzo]]*Tabella1[[#This Row],[q.ta offerta]]</f>
        <v>#VALUE!</v>
      </c>
      <c r="Q894" t="e">
        <f>RigheOfferte[[#This Row],[QtaProtez]]</f>
        <v>#VALUE!</v>
      </c>
      <c r="R894" t="e">
        <f>RigheOfferte[[#This Row],[Tipo Protezione]]</f>
        <v>#VALUE!</v>
      </c>
    </row>
    <row r="895" spans="1:18">
      <c r="A895" t="e">
        <f>RigheOfferte[[#This Row],[Nprev]]</f>
        <v>#VALUE!</v>
      </c>
      <c r="B895" t="e">
        <f>RigheOfferte[[#This Row],[Nriga]]</f>
        <v>#VALUE!</v>
      </c>
      <c r="C895" t="e">
        <f>RigheOfferte[[#This Row],[Cliente]]</f>
        <v>#VALUE!</v>
      </c>
      <c r="D895" t="e">
        <f>RigheOfferte[[#This Row],[sub_cliente]]</f>
        <v>#VALUE!</v>
      </c>
      <c r="E895" t="e">
        <f>RigheOfferte[[#This Row],[cod.Art.]]</f>
        <v>#VALUE!</v>
      </c>
      <c r="F895" t="e">
        <f>RigheOfferte[[#This Row],[Descrizione]]</f>
        <v>#VALUE!</v>
      </c>
      <c r="G895" t="e">
        <f>RigheOfferte[[#This Row],[Q.ta'']]</f>
        <v>#VALUE!</v>
      </c>
      <c r="H895" t="e">
        <f>RigheOfferte[[#This Row],[Lavorazione]]</f>
        <v>#VALUE!</v>
      </c>
      <c r="I895" t="e">
        <f>RigheOfferte[[#This Row],[Colore]]</f>
        <v>#VALUE!</v>
      </c>
      <c r="J895" t="e">
        <f>RigheOfferte[[#This Row],[Velocità]]</f>
        <v>#VALUE!</v>
      </c>
      <c r="K895" t="e">
        <f>RigheOfferte[[#This Row],[Superf.pz Mq]]</f>
        <v>#VALUE!</v>
      </c>
      <c r="L895" t="e">
        <f>RigheOfferte[[#This Row],[passo]]</f>
        <v>#VALUE!</v>
      </c>
      <c r="M895" t="e">
        <f>RigheOfferte[[#This Row],[nr.pezzi Telaio]]</f>
        <v>#VALUE!</v>
      </c>
      <c r="N895" t="e">
        <f>RigheOfferte[[#This Row],[nr.pezzi ora-unita]]</f>
        <v>#VALUE!</v>
      </c>
      <c r="O895" t="e">
        <f>Tabella1[[#This Row],[superificie]]*Resa</f>
        <v>#VALUE!</v>
      </c>
      <c r="P895" t="e">
        <f>Tabella1[[#This Row],[KgPezzo]]*Tabella1[[#This Row],[q.ta offerta]]</f>
        <v>#VALUE!</v>
      </c>
      <c r="Q895" t="e">
        <f>RigheOfferte[[#This Row],[QtaProtez]]</f>
        <v>#VALUE!</v>
      </c>
      <c r="R895" t="e">
        <f>RigheOfferte[[#This Row],[Tipo Protezione]]</f>
        <v>#VALUE!</v>
      </c>
    </row>
    <row r="896" spans="1:18">
      <c r="A896" t="e">
        <f>RigheOfferte[[#This Row],[Nprev]]</f>
        <v>#VALUE!</v>
      </c>
      <c r="B896" t="e">
        <f>RigheOfferte[[#This Row],[Nriga]]</f>
        <v>#VALUE!</v>
      </c>
      <c r="C896" t="e">
        <f>RigheOfferte[[#This Row],[Cliente]]</f>
        <v>#VALUE!</v>
      </c>
      <c r="D896" t="e">
        <f>RigheOfferte[[#This Row],[sub_cliente]]</f>
        <v>#VALUE!</v>
      </c>
      <c r="E896" t="e">
        <f>RigheOfferte[[#This Row],[cod.Art.]]</f>
        <v>#VALUE!</v>
      </c>
      <c r="F896" t="e">
        <f>RigheOfferte[[#This Row],[Descrizione]]</f>
        <v>#VALUE!</v>
      </c>
      <c r="G896" t="e">
        <f>RigheOfferte[[#This Row],[Q.ta'']]</f>
        <v>#VALUE!</v>
      </c>
      <c r="H896" t="e">
        <f>RigheOfferte[[#This Row],[Lavorazione]]</f>
        <v>#VALUE!</v>
      </c>
      <c r="I896" t="e">
        <f>RigheOfferte[[#This Row],[Colore]]</f>
        <v>#VALUE!</v>
      </c>
      <c r="J896" t="e">
        <f>RigheOfferte[[#This Row],[Velocità]]</f>
        <v>#VALUE!</v>
      </c>
      <c r="K896" t="e">
        <f>RigheOfferte[[#This Row],[Superf.pz Mq]]</f>
        <v>#VALUE!</v>
      </c>
      <c r="L896" t="e">
        <f>RigheOfferte[[#This Row],[passo]]</f>
        <v>#VALUE!</v>
      </c>
      <c r="M896" t="e">
        <f>RigheOfferte[[#This Row],[nr.pezzi Telaio]]</f>
        <v>#VALUE!</v>
      </c>
      <c r="N896" t="e">
        <f>RigheOfferte[[#This Row],[nr.pezzi ora-unita]]</f>
        <v>#VALUE!</v>
      </c>
      <c r="O896" t="e">
        <f>Tabella1[[#This Row],[superificie]]*Resa</f>
        <v>#VALUE!</v>
      </c>
      <c r="P896" t="e">
        <f>Tabella1[[#This Row],[KgPezzo]]*Tabella1[[#This Row],[q.ta offerta]]</f>
        <v>#VALUE!</v>
      </c>
      <c r="Q896" t="e">
        <f>RigheOfferte[[#This Row],[QtaProtez]]</f>
        <v>#VALUE!</v>
      </c>
      <c r="R896" t="e">
        <f>RigheOfferte[[#This Row],[Tipo Protezione]]</f>
        <v>#VALUE!</v>
      </c>
    </row>
    <row r="897" spans="1:18">
      <c r="A897" t="e">
        <f>RigheOfferte[[#This Row],[Nprev]]</f>
        <v>#VALUE!</v>
      </c>
      <c r="B897" t="e">
        <f>RigheOfferte[[#This Row],[Nriga]]</f>
        <v>#VALUE!</v>
      </c>
      <c r="C897" t="e">
        <f>RigheOfferte[[#This Row],[Cliente]]</f>
        <v>#VALUE!</v>
      </c>
      <c r="D897" t="e">
        <f>RigheOfferte[[#This Row],[sub_cliente]]</f>
        <v>#VALUE!</v>
      </c>
      <c r="E897" t="e">
        <f>RigheOfferte[[#This Row],[cod.Art.]]</f>
        <v>#VALUE!</v>
      </c>
      <c r="F897" t="e">
        <f>RigheOfferte[[#This Row],[Descrizione]]</f>
        <v>#VALUE!</v>
      </c>
      <c r="G897" t="e">
        <f>RigheOfferte[[#This Row],[Q.ta'']]</f>
        <v>#VALUE!</v>
      </c>
      <c r="H897" t="e">
        <f>RigheOfferte[[#This Row],[Lavorazione]]</f>
        <v>#VALUE!</v>
      </c>
      <c r="I897" t="e">
        <f>RigheOfferte[[#This Row],[Colore]]</f>
        <v>#VALUE!</v>
      </c>
      <c r="J897" t="e">
        <f>RigheOfferte[[#This Row],[Velocità]]</f>
        <v>#VALUE!</v>
      </c>
      <c r="K897" t="e">
        <f>RigheOfferte[[#This Row],[Superf.pz Mq]]</f>
        <v>#VALUE!</v>
      </c>
      <c r="L897" t="e">
        <f>RigheOfferte[[#This Row],[passo]]</f>
        <v>#VALUE!</v>
      </c>
      <c r="M897" t="e">
        <f>RigheOfferte[[#This Row],[nr.pezzi Telaio]]</f>
        <v>#VALUE!</v>
      </c>
      <c r="N897" t="e">
        <f>RigheOfferte[[#This Row],[nr.pezzi ora-unita]]</f>
        <v>#VALUE!</v>
      </c>
      <c r="O897" t="e">
        <f>Tabella1[[#This Row],[superificie]]*Resa</f>
        <v>#VALUE!</v>
      </c>
      <c r="P897" t="e">
        <f>Tabella1[[#This Row],[KgPezzo]]*Tabella1[[#This Row],[q.ta offerta]]</f>
        <v>#VALUE!</v>
      </c>
      <c r="Q897" t="e">
        <f>RigheOfferte[[#This Row],[QtaProtez]]</f>
        <v>#VALUE!</v>
      </c>
      <c r="R897" t="e">
        <f>RigheOfferte[[#This Row],[Tipo Protezione]]</f>
        <v>#VALUE!</v>
      </c>
    </row>
    <row r="898" spans="1:18">
      <c r="A898" t="e">
        <f>RigheOfferte[[#This Row],[Nprev]]</f>
        <v>#VALUE!</v>
      </c>
      <c r="B898" t="e">
        <f>RigheOfferte[[#This Row],[Nriga]]</f>
        <v>#VALUE!</v>
      </c>
      <c r="C898" t="e">
        <f>RigheOfferte[[#This Row],[Cliente]]</f>
        <v>#VALUE!</v>
      </c>
      <c r="D898" t="e">
        <f>RigheOfferte[[#This Row],[sub_cliente]]</f>
        <v>#VALUE!</v>
      </c>
      <c r="E898" t="e">
        <f>RigheOfferte[[#This Row],[cod.Art.]]</f>
        <v>#VALUE!</v>
      </c>
      <c r="F898" t="e">
        <f>RigheOfferte[[#This Row],[Descrizione]]</f>
        <v>#VALUE!</v>
      </c>
      <c r="G898" t="e">
        <f>RigheOfferte[[#This Row],[Q.ta'']]</f>
        <v>#VALUE!</v>
      </c>
      <c r="H898" t="e">
        <f>RigheOfferte[[#This Row],[Lavorazione]]</f>
        <v>#VALUE!</v>
      </c>
      <c r="I898" t="e">
        <f>RigheOfferte[[#This Row],[Colore]]</f>
        <v>#VALUE!</v>
      </c>
      <c r="J898" t="e">
        <f>RigheOfferte[[#This Row],[Velocità]]</f>
        <v>#VALUE!</v>
      </c>
      <c r="K898" t="e">
        <f>RigheOfferte[[#This Row],[Superf.pz Mq]]</f>
        <v>#VALUE!</v>
      </c>
      <c r="L898" t="e">
        <f>RigheOfferte[[#This Row],[passo]]</f>
        <v>#VALUE!</v>
      </c>
      <c r="M898" t="e">
        <f>RigheOfferte[[#This Row],[nr.pezzi Telaio]]</f>
        <v>#VALUE!</v>
      </c>
      <c r="N898" t="e">
        <f>RigheOfferte[[#This Row],[nr.pezzi ora-unita]]</f>
        <v>#VALUE!</v>
      </c>
      <c r="O898" t="e">
        <f>Tabella1[[#This Row],[superificie]]*Resa</f>
        <v>#VALUE!</v>
      </c>
      <c r="P898" t="e">
        <f>Tabella1[[#This Row],[KgPezzo]]*Tabella1[[#This Row],[q.ta offerta]]</f>
        <v>#VALUE!</v>
      </c>
      <c r="Q898" t="e">
        <f>RigheOfferte[[#This Row],[QtaProtez]]</f>
        <v>#VALUE!</v>
      </c>
      <c r="R898" t="e">
        <f>RigheOfferte[[#This Row],[Tipo Protezione]]</f>
        <v>#VALUE!</v>
      </c>
    </row>
    <row r="899" spans="1:18">
      <c r="A899" t="e">
        <f>RigheOfferte[[#This Row],[Nprev]]</f>
        <v>#VALUE!</v>
      </c>
      <c r="B899" t="e">
        <f>RigheOfferte[[#This Row],[Nriga]]</f>
        <v>#VALUE!</v>
      </c>
      <c r="C899" t="e">
        <f>RigheOfferte[[#This Row],[Cliente]]</f>
        <v>#VALUE!</v>
      </c>
      <c r="D899" t="e">
        <f>RigheOfferte[[#This Row],[sub_cliente]]</f>
        <v>#VALUE!</v>
      </c>
      <c r="E899" t="e">
        <f>RigheOfferte[[#This Row],[cod.Art.]]</f>
        <v>#VALUE!</v>
      </c>
      <c r="F899" t="e">
        <f>RigheOfferte[[#This Row],[Descrizione]]</f>
        <v>#VALUE!</v>
      </c>
      <c r="G899" t="e">
        <f>RigheOfferte[[#This Row],[Q.ta'']]</f>
        <v>#VALUE!</v>
      </c>
      <c r="H899" t="e">
        <f>RigheOfferte[[#This Row],[Lavorazione]]</f>
        <v>#VALUE!</v>
      </c>
      <c r="I899" t="e">
        <f>RigheOfferte[[#This Row],[Colore]]</f>
        <v>#VALUE!</v>
      </c>
      <c r="J899" t="e">
        <f>RigheOfferte[[#This Row],[Velocità]]</f>
        <v>#VALUE!</v>
      </c>
      <c r="K899" t="e">
        <f>RigheOfferte[[#This Row],[Superf.pz Mq]]</f>
        <v>#VALUE!</v>
      </c>
      <c r="L899" t="e">
        <f>RigheOfferte[[#This Row],[passo]]</f>
        <v>#VALUE!</v>
      </c>
      <c r="M899" t="e">
        <f>RigheOfferte[[#This Row],[nr.pezzi Telaio]]</f>
        <v>#VALUE!</v>
      </c>
      <c r="N899" t="e">
        <f>RigheOfferte[[#This Row],[nr.pezzi ora-unita]]</f>
        <v>#VALUE!</v>
      </c>
      <c r="O899" t="e">
        <f>Tabella1[[#This Row],[superificie]]*Resa</f>
        <v>#VALUE!</v>
      </c>
      <c r="P899" t="e">
        <f>Tabella1[[#This Row],[KgPezzo]]*Tabella1[[#This Row],[q.ta offerta]]</f>
        <v>#VALUE!</v>
      </c>
      <c r="Q899" t="e">
        <f>RigheOfferte[[#This Row],[QtaProtez]]</f>
        <v>#VALUE!</v>
      </c>
      <c r="R899" t="e">
        <f>RigheOfferte[[#This Row],[Tipo Protezione]]</f>
        <v>#VALUE!</v>
      </c>
    </row>
    <row r="900" spans="1:18">
      <c r="A900" t="e">
        <f>RigheOfferte[[#This Row],[Nprev]]</f>
        <v>#VALUE!</v>
      </c>
      <c r="B900" t="e">
        <f>RigheOfferte[[#This Row],[Nriga]]</f>
        <v>#VALUE!</v>
      </c>
      <c r="C900" t="e">
        <f>RigheOfferte[[#This Row],[Cliente]]</f>
        <v>#VALUE!</v>
      </c>
      <c r="D900" t="e">
        <f>RigheOfferte[[#This Row],[sub_cliente]]</f>
        <v>#VALUE!</v>
      </c>
      <c r="E900" t="e">
        <f>RigheOfferte[[#This Row],[cod.Art.]]</f>
        <v>#VALUE!</v>
      </c>
      <c r="F900" t="e">
        <f>RigheOfferte[[#This Row],[Descrizione]]</f>
        <v>#VALUE!</v>
      </c>
      <c r="G900" t="e">
        <f>RigheOfferte[[#This Row],[Q.ta'']]</f>
        <v>#VALUE!</v>
      </c>
      <c r="H900" t="e">
        <f>RigheOfferte[[#This Row],[Lavorazione]]</f>
        <v>#VALUE!</v>
      </c>
      <c r="I900" t="e">
        <f>RigheOfferte[[#This Row],[Colore]]</f>
        <v>#VALUE!</v>
      </c>
      <c r="J900" t="e">
        <f>RigheOfferte[[#This Row],[Velocità]]</f>
        <v>#VALUE!</v>
      </c>
      <c r="K900" t="e">
        <f>RigheOfferte[[#This Row],[Superf.pz Mq]]</f>
        <v>#VALUE!</v>
      </c>
      <c r="L900" t="e">
        <f>RigheOfferte[[#This Row],[passo]]</f>
        <v>#VALUE!</v>
      </c>
      <c r="M900" t="e">
        <f>RigheOfferte[[#This Row],[nr.pezzi Telaio]]</f>
        <v>#VALUE!</v>
      </c>
      <c r="N900" t="e">
        <f>RigheOfferte[[#This Row],[nr.pezzi ora-unita]]</f>
        <v>#VALUE!</v>
      </c>
      <c r="O900" t="e">
        <f>Tabella1[[#This Row],[superificie]]*Resa</f>
        <v>#VALUE!</v>
      </c>
      <c r="P900" t="e">
        <f>Tabella1[[#This Row],[KgPezzo]]*Tabella1[[#This Row],[q.ta offerta]]</f>
        <v>#VALUE!</v>
      </c>
      <c r="Q900" t="e">
        <f>RigheOfferte[[#This Row],[QtaProtez]]</f>
        <v>#VALUE!</v>
      </c>
      <c r="R900" t="e">
        <f>RigheOfferte[[#This Row],[Tipo Protezione]]</f>
        <v>#VALUE!</v>
      </c>
    </row>
    <row r="901" spans="1:18">
      <c r="A901" t="e">
        <f>RigheOfferte[[#This Row],[Nprev]]</f>
        <v>#VALUE!</v>
      </c>
      <c r="B901" t="e">
        <f>RigheOfferte[[#This Row],[Nriga]]</f>
        <v>#VALUE!</v>
      </c>
      <c r="C901" t="e">
        <f>RigheOfferte[[#This Row],[Cliente]]</f>
        <v>#VALUE!</v>
      </c>
      <c r="D901" t="e">
        <f>RigheOfferte[[#This Row],[sub_cliente]]</f>
        <v>#VALUE!</v>
      </c>
      <c r="E901" t="e">
        <f>RigheOfferte[[#This Row],[cod.Art.]]</f>
        <v>#VALUE!</v>
      </c>
      <c r="F901" t="e">
        <f>RigheOfferte[[#This Row],[Descrizione]]</f>
        <v>#VALUE!</v>
      </c>
      <c r="G901" t="e">
        <f>RigheOfferte[[#This Row],[Q.ta'']]</f>
        <v>#VALUE!</v>
      </c>
      <c r="H901" t="e">
        <f>RigheOfferte[[#This Row],[Lavorazione]]</f>
        <v>#VALUE!</v>
      </c>
      <c r="I901" t="e">
        <f>RigheOfferte[[#This Row],[Colore]]</f>
        <v>#VALUE!</v>
      </c>
      <c r="J901" t="e">
        <f>RigheOfferte[[#This Row],[Velocità]]</f>
        <v>#VALUE!</v>
      </c>
      <c r="K901" t="e">
        <f>RigheOfferte[[#This Row],[Superf.pz Mq]]</f>
        <v>#VALUE!</v>
      </c>
      <c r="L901" t="e">
        <f>RigheOfferte[[#This Row],[passo]]</f>
        <v>#VALUE!</v>
      </c>
      <c r="M901" t="e">
        <f>RigheOfferte[[#This Row],[nr.pezzi Telaio]]</f>
        <v>#VALUE!</v>
      </c>
      <c r="N901" t="e">
        <f>RigheOfferte[[#This Row],[nr.pezzi ora-unita]]</f>
        <v>#VALUE!</v>
      </c>
      <c r="O901" t="e">
        <f>Tabella1[[#This Row],[superificie]]*Resa</f>
        <v>#VALUE!</v>
      </c>
      <c r="P901" t="e">
        <f>Tabella1[[#This Row],[KgPezzo]]*Tabella1[[#This Row],[q.ta offerta]]</f>
        <v>#VALUE!</v>
      </c>
      <c r="Q901" t="e">
        <f>RigheOfferte[[#This Row],[QtaProtez]]</f>
        <v>#VALUE!</v>
      </c>
      <c r="R901" t="e">
        <f>RigheOfferte[[#This Row],[Tipo Protezione]]</f>
        <v>#VALUE!</v>
      </c>
    </row>
    <row r="902" spans="1:18">
      <c r="A902" t="e">
        <f>RigheOfferte[[#This Row],[Nprev]]</f>
        <v>#VALUE!</v>
      </c>
      <c r="B902" t="e">
        <f>RigheOfferte[[#This Row],[Nriga]]</f>
        <v>#VALUE!</v>
      </c>
      <c r="C902" t="e">
        <f>RigheOfferte[[#This Row],[Cliente]]</f>
        <v>#VALUE!</v>
      </c>
      <c r="D902" t="e">
        <f>RigheOfferte[[#This Row],[sub_cliente]]</f>
        <v>#VALUE!</v>
      </c>
      <c r="E902" t="e">
        <f>RigheOfferte[[#This Row],[cod.Art.]]</f>
        <v>#VALUE!</v>
      </c>
      <c r="F902" t="e">
        <f>RigheOfferte[[#This Row],[Descrizione]]</f>
        <v>#VALUE!</v>
      </c>
      <c r="G902" t="e">
        <f>RigheOfferte[[#This Row],[Q.ta'']]</f>
        <v>#VALUE!</v>
      </c>
      <c r="H902" t="e">
        <f>RigheOfferte[[#This Row],[Lavorazione]]</f>
        <v>#VALUE!</v>
      </c>
      <c r="I902" t="e">
        <f>RigheOfferte[[#This Row],[Colore]]</f>
        <v>#VALUE!</v>
      </c>
      <c r="J902" t="e">
        <f>RigheOfferte[[#This Row],[Velocità]]</f>
        <v>#VALUE!</v>
      </c>
      <c r="K902" t="e">
        <f>RigheOfferte[[#This Row],[Superf.pz Mq]]</f>
        <v>#VALUE!</v>
      </c>
      <c r="L902" t="e">
        <f>RigheOfferte[[#This Row],[passo]]</f>
        <v>#VALUE!</v>
      </c>
      <c r="M902" t="e">
        <f>RigheOfferte[[#This Row],[nr.pezzi Telaio]]</f>
        <v>#VALUE!</v>
      </c>
      <c r="N902" t="e">
        <f>RigheOfferte[[#This Row],[nr.pezzi ora-unita]]</f>
        <v>#VALUE!</v>
      </c>
      <c r="O902" t="e">
        <f>Tabella1[[#This Row],[superificie]]*Resa</f>
        <v>#VALUE!</v>
      </c>
      <c r="P902" t="e">
        <f>Tabella1[[#This Row],[KgPezzo]]*Tabella1[[#This Row],[q.ta offerta]]</f>
        <v>#VALUE!</v>
      </c>
      <c r="Q902" t="e">
        <f>RigheOfferte[[#This Row],[QtaProtez]]</f>
        <v>#VALUE!</v>
      </c>
      <c r="R902" t="e">
        <f>RigheOfferte[[#This Row],[Tipo Protezione]]</f>
        <v>#VALUE!</v>
      </c>
    </row>
    <row r="903" spans="1:18">
      <c r="A903" t="e">
        <f>RigheOfferte[[#This Row],[Nprev]]</f>
        <v>#VALUE!</v>
      </c>
      <c r="B903" t="e">
        <f>RigheOfferte[[#This Row],[Nriga]]</f>
        <v>#VALUE!</v>
      </c>
      <c r="C903" t="e">
        <f>RigheOfferte[[#This Row],[Cliente]]</f>
        <v>#VALUE!</v>
      </c>
      <c r="D903" t="e">
        <f>RigheOfferte[[#This Row],[sub_cliente]]</f>
        <v>#VALUE!</v>
      </c>
      <c r="E903" t="e">
        <f>RigheOfferte[[#This Row],[cod.Art.]]</f>
        <v>#VALUE!</v>
      </c>
      <c r="F903" t="e">
        <f>RigheOfferte[[#This Row],[Descrizione]]</f>
        <v>#VALUE!</v>
      </c>
      <c r="G903" t="e">
        <f>RigheOfferte[[#This Row],[Q.ta'']]</f>
        <v>#VALUE!</v>
      </c>
      <c r="H903" t="e">
        <f>RigheOfferte[[#This Row],[Lavorazione]]</f>
        <v>#VALUE!</v>
      </c>
      <c r="I903" t="e">
        <f>RigheOfferte[[#This Row],[Colore]]</f>
        <v>#VALUE!</v>
      </c>
      <c r="J903" t="e">
        <f>RigheOfferte[[#This Row],[Velocità]]</f>
        <v>#VALUE!</v>
      </c>
      <c r="K903" t="e">
        <f>RigheOfferte[[#This Row],[Superf.pz Mq]]</f>
        <v>#VALUE!</v>
      </c>
      <c r="L903" t="e">
        <f>RigheOfferte[[#This Row],[passo]]</f>
        <v>#VALUE!</v>
      </c>
      <c r="M903" t="e">
        <f>RigheOfferte[[#This Row],[nr.pezzi Telaio]]</f>
        <v>#VALUE!</v>
      </c>
      <c r="N903" t="e">
        <f>RigheOfferte[[#This Row],[nr.pezzi ora-unita]]</f>
        <v>#VALUE!</v>
      </c>
      <c r="O903" t="e">
        <f>Tabella1[[#This Row],[superificie]]*Resa</f>
        <v>#VALUE!</v>
      </c>
      <c r="P903" t="e">
        <f>Tabella1[[#This Row],[KgPezzo]]*Tabella1[[#This Row],[q.ta offerta]]</f>
        <v>#VALUE!</v>
      </c>
      <c r="Q903" t="e">
        <f>RigheOfferte[[#This Row],[QtaProtez]]</f>
        <v>#VALUE!</v>
      </c>
      <c r="R903" t="e">
        <f>RigheOfferte[[#This Row],[Tipo Protezione]]</f>
        <v>#VALUE!</v>
      </c>
    </row>
    <row r="904" spans="1:18">
      <c r="A904" t="e">
        <f>RigheOfferte[[#This Row],[Nprev]]</f>
        <v>#VALUE!</v>
      </c>
      <c r="B904" t="e">
        <f>RigheOfferte[[#This Row],[Nriga]]</f>
        <v>#VALUE!</v>
      </c>
      <c r="C904" t="e">
        <f>RigheOfferte[[#This Row],[Cliente]]</f>
        <v>#VALUE!</v>
      </c>
      <c r="D904" t="e">
        <f>RigheOfferte[[#This Row],[sub_cliente]]</f>
        <v>#VALUE!</v>
      </c>
      <c r="E904" t="e">
        <f>RigheOfferte[[#This Row],[cod.Art.]]</f>
        <v>#VALUE!</v>
      </c>
      <c r="F904" t="e">
        <f>RigheOfferte[[#This Row],[Descrizione]]</f>
        <v>#VALUE!</v>
      </c>
      <c r="G904" t="e">
        <f>RigheOfferte[[#This Row],[Q.ta'']]</f>
        <v>#VALUE!</v>
      </c>
      <c r="H904" t="e">
        <f>RigheOfferte[[#This Row],[Lavorazione]]</f>
        <v>#VALUE!</v>
      </c>
      <c r="I904" t="e">
        <f>RigheOfferte[[#This Row],[Colore]]</f>
        <v>#VALUE!</v>
      </c>
      <c r="J904" t="e">
        <f>RigheOfferte[[#This Row],[Velocità]]</f>
        <v>#VALUE!</v>
      </c>
      <c r="K904" t="e">
        <f>RigheOfferte[[#This Row],[Superf.pz Mq]]</f>
        <v>#VALUE!</v>
      </c>
      <c r="L904" t="e">
        <f>RigheOfferte[[#This Row],[passo]]</f>
        <v>#VALUE!</v>
      </c>
      <c r="M904" t="e">
        <f>RigheOfferte[[#This Row],[nr.pezzi Telaio]]</f>
        <v>#VALUE!</v>
      </c>
      <c r="N904" t="e">
        <f>RigheOfferte[[#This Row],[nr.pezzi ora-unita]]</f>
        <v>#VALUE!</v>
      </c>
      <c r="O904" t="e">
        <f>Tabella1[[#This Row],[superificie]]*Resa</f>
        <v>#VALUE!</v>
      </c>
      <c r="P904" t="e">
        <f>Tabella1[[#This Row],[KgPezzo]]*Tabella1[[#This Row],[q.ta offerta]]</f>
        <v>#VALUE!</v>
      </c>
      <c r="Q904" t="e">
        <f>RigheOfferte[[#This Row],[QtaProtez]]</f>
        <v>#VALUE!</v>
      </c>
      <c r="R904" t="e">
        <f>RigheOfferte[[#This Row],[Tipo Protezione]]</f>
        <v>#VALUE!</v>
      </c>
    </row>
    <row r="905" spans="1:18">
      <c r="A905" t="e">
        <f>RigheOfferte[[#This Row],[Nprev]]</f>
        <v>#VALUE!</v>
      </c>
      <c r="B905" t="e">
        <f>RigheOfferte[[#This Row],[Nriga]]</f>
        <v>#VALUE!</v>
      </c>
      <c r="C905" t="e">
        <f>RigheOfferte[[#This Row],[Cliente]]</f>
        <v>#VALUE!</v>
      </c>
      <c r="D905" t="e">
        <f>RigheOfferte[[#This Row],[sub_cliente]]</f>
        <v>#VALUE!</v>
      </c>
      <c r="E905" t="e">
        <f>RigheOfferte[[#This Row],[cod.Art.]]</f>
        <v>#VALUE!</v>
      </c>
      <c r="F905" t="e">
        <f>RigheOfferte[[#This Row],[Descrizione]]</f>
        <v>#VALUE!</v>
      </c>
      <c r="G905" t="e">
        <f>RigheOfferte[[#This Row],[Q.ta'']]</f>
        <v>#VALUE!</v>
      </c>
      <c r="H905" t="e">
        <f>RigheOfferte[[#This Row],[Lavorazione]]</f>
        <v>#VALUE!</v>
      </c>
      <c r="I905" t="e">
        <f>RigheOfferte[[#This Row],[Colore]]</f>
        <v>#VALUE!</v>
      </c>
      <c r="J905" t="e">
        <f>RigheOfferte[[#This Row],[Velocità]]</f>
        <v>#VALUE!</v>
      </c>
      <c r="K905" t="e">
        <f>RigheOfferte[[#This Row],[Superf.pz Mq]]</f>
        <v>#VALUE!</v>
      </c>
      <c r="L905" t="e">
        <f>RigheOfferte[[#This Row],[passo]]</f>
        <v>#VALUE!</v>
      </c>
      <c r="M905" t="e">
        <f>RigheOfferte[[#This Row],[nr.pezzi Telaio]]</f>
        <v>#VALUE!</v>
      </c>
      <c r="N905" t="e">
        <f>RigheOfferte[[#This Row],[nr.pezzi ora-unita]]</f>
        <v>#VALUE!</v>
      </c>
      <c r="O905" t="e">
        <f>Tabella1[[#This Row],[superificie]]*Resa</f>
        <v>#VALUE!</v>
      </c>
      <c r="P905" t="e">
        <f>Tabella1[[#This Row],[KgPezzo]]*Tabella1[[#This Row],[q.ta offerta]]</f>
        <v>#VALUE!</v>
      </c>
      <c r="Q905" t="e">
        <f>RigheOfferte[[#This Row],[QtaProtez]]</f>
        <v>#VALUE!</v>
      </c>
      <c r="R905" t="e">
        <f>RigheOfferte[[#This Row],[Tipo Protezione]]</f>
        <v>#VALUE!</v>
      </c>
    </row>
    <row r="906" spans="1:18">
      <c r="A906" t="e">
        <f>RigheOfferte[[#This Row],[Nprev]]</f>
        <v>#VALUE!</v>
      </c>
      <c r="B906" t="e">
        <f>RigheOfferte[[#This Row],[Nriga]]</f>
        <v>#VALUE!</v>
      </c>
      <c r="C906" t="e">
        <f>RigheOfferte[[#This Row],[Cliente]]</f>
        <v>#VALUE!</v>
      </c>
      <c r="D906" t="e">
        <f>RigheOfferte[[#This Row],[sub_cliente]]</f>
        <v>#VALUE!</v>
      </c>
      <c r="E906" t="e">
        <f>RigheOfferte[[#This Row],[cod.Art.]]</f>
        <v>#VALUE!</v>
      </c>
      <c r="F906" t="e">
        <f>RigheOfferte[[#This Row],[Descrizione]]</f>
        <v>#VALUE!</v>
      </c>
      <c r="G906" t="e">
        <f>RigheOfferte[[#This Row],[Q.ta'']]</f>
        <v>#VALUE!</v>
      </c>
      <c r="H906" t="e">
        <f>RigheOfferte[[#This Row],[Lavorazione]]</f>
        <v>#VALUE!</v>
      </c>
      <c r="I906" t="e">
        <f>RigheOfferte[[#This Row],[Colore]]</f>
        <v>#VALUE!</v>
      </c>
      <c r="J906" t="e">
        <f>RigheOfferte[[#This Row],[Velocità]]</f>
        <v>#VALUE!</v>
      </c>
      <c r="K906" t="e">
        <f>RigheOfferte[[#This Row],[Superf.pz Mq]]</f>
        <v>#VALUE!</v>
      </c>
      <c r="L906" t="e">
        <f>RigheOfferte[[#This Row],[passo]]</f>
        <v>#VALUE!</v>
      </c>
      <c r="M906" t="e">
        <f>RigheOfferte[[#This Row],[nr.pezzi Telaio]]</f>
        <v>#VALUE!</v>
      </c>
      <c r="N906" t="e">
        <f>RigheOfferte[[#This Row],[nr.pezzi ora-unita]]</f>
        <v>#VALUE!</v>
      </c>
      <c r="O906" t="e">
        <f>Tabella1[[#This Row],[superificie]]*Resa</f>
        <v>#VALUE!</v>
      </c>
      <c r="P906" t="e">
        <f>Tabella1[[#This Row],[KgPezzo]]*Tabella1[[#This Row],[q.ta offerta]]</f>
        <v>#VALUE!</v>
      </c>
      <c r="Q906" t="e">
        <f>RigheOfferte[[#This Row],[QtaProtez]]</f>
        <v>#VALUE!</v>
      </c>
      <c r="R906" t="e">
        <f>RigheOfferte[[#This Row],[Tipo Protezione]]</f>
        <v>#VALUE!</v>
      </c>
    </row>
    <row r="907" spans="1:18">
      <c r="A907" t="e">
        <f>RigheOfferte[[#This Row],[Nprev]]</f>
        <v>#VALUE!</v>
      </c>
      <c r="B907" t="e">
        <f>RigheOfferte[[#This Row],[Nriga]]</f>
        <v>#VALUE!</v>
      </c>
      <c r="C907" t="e">
        <f>RigheOfferte[[#This Row],[Cliente]]</f>
        <v>#VALUE!</v>
      </c>
      <c r="D907" t="e">
        <f>RigheOfferte[[#This Row],[sub_cliente]]</f>
        <v>#VALUE!</v>
      </c>
      <c r="E907" t="e">
        <f>RigheOfferte[[#This Row],[cod.Art.]]</f>
        <v>#VALUE!</v>
      </c>
      <c r="F907" t="e">
        <f>RigheOfferte[[#This Row],[Descrizione]]</f>
        <v>#VALUE!</v>
      </c>
      <c r="G907" t="e">
        <f>RigheOfferte[[#This Row],[Q.ta'']]</f>
        <v>#VALUE!</v>
      </c>
      <c r="H907" t="e">
        <f>RigheOfferte[[#This Row],[Lavorazione]]</f>
        <v>#VALUE!</v>
      </c>
      <c r="I907" t="e">
        <f>RigheOfferte[[#This Row],[Colore]]</f>
        <v>#VALUE!</v>
      </c>
      <c r="J907" t="e">
        <f>RigheOfferte[[#This Row],[Velocità]]</f>
        <v>#VALUE!</v>
      </c>
      <c r="K907" t="e">
        <f>RigheOfferte[[#This Row],[Superf.pz Mq]]</f>
        <v>#VALUE!</v>
      </c>
      <c r="L907" t="e">
        <f>RigheOfferte[[#This Row],[passo]]</f>
        <v>#VALUE!</v>
      </c>
      <c r="M907" t="e">
        <f>RigheOfferte[[#This Row],[nr.pezzi Telaio]]</f>
        <v>#VALUE!</v>
      </c>
      <c r="N907" t="e">
        <f>RigheOfferte[[#This Row],[nr.pezzi ora-unita]]</f>
        <v>#VALUE!</v>
      </c>
      <c r="O907" t="e">
        <f>Tabella1[[#This Row],[superificie]]*Resa</f>
        <v>#VALUE!</v>
      </c>
      <c r="P907" t="e">
        <f>Tabella1[[#This Row],[KgPezzo]]*Tabella1[[#This Row],[q.ta offerta]]</f>
        <v>#VALUE!</v>
      </c>
      <c r="Q907" t="e">
        <f>RigheOfferte[[#This Row],[QtaProtez]]</f>
        <v>#VALUE!</v>
      </c>
      <c r="R907" t="e">
        <f>RigheOfferte[[#This Row],[Tipo Protezione]]</f>
        <v>#VALUE!</v>
      </c>
    </row>
    <row r="908" spans="1:18">
      <c r="A908" t="e">
        <f>RigheOfferte[[#This Row],[Nprev]]</f>
        <v>#VALUE!</v>
      </c>
      <c r="B908" t="e">
        <f>RigheOfferte[[#This Row],[Nriga]]</f>
        <v>#VALUE!</v>
      </c>
      <c r="C908" t="e">
        <f>RigheOfferte[[#This Row],[Cliente]]</f>
        <v>#VALUE!</v>
      </c>
      <c r="D908" t="e">
        <f>RigheOfferte[[#This Row],[sub_cliente]]</f>
        <v>#VALUE!</v>
      </c>
      <c r="E908" t="e">
        <f>RigheOfferte[[#This Row],[cod.Art.]]</f>
        <v>#VALUE!</v>
      </c>
      <c r="F908" t="e">
        <f>RigheOfferte[[#This Row],[Descrizione]]</f>
        <v>#VALUE!</v>
      </c>
      <c r="G908" t="e">
        <f>RigheOfferte[[#This Row],[Q.ta'']]</f>
        <v>#VALUE!</v>
      </c>
      <c r="H908" t="e">
        <f>RigheOfferte[[#This Row],[Lavorazione]]</f>
        <v>#VALUE!</v>
      </c>
      <c r="I908" t="e">
        <f>RigheOfferte[[#This Row],[Colore]]</f>
        <v>#VALUE!</v>
      </c>
      <c r="J908" t="e">
        <f>RigheOfferte[[#This Row],[Velocità]]</f>
        <v>#VALUE!</v>
      </c>
      <c r="K908" t="e">
        <f>RigheOfferte[[#This Row],[Superf.pz Mq]]</f>
        <v>#VALUE!</v>
      </c>
      <c r="L908" t="e">
        <f>RigheOfferte[[#This Row],[passo]]</f>
        <v>#VALUE!</v>
      </c>
      <c r="M908" t="e">
        <f>RigheOfferte[[#This Row],[nr.pezzi Telaio]]</f>
        <v>#VALUE!</v>
      </c>
      <c r="N908" t="e">
        <f>RigheOfferte[[#This Row],[nr.pezzi ora-unita]]</f>
        <v>#VALUE!</v>
      </c>
      <c r="O908" t="e">
        <f>Tabella1[[#This Row],[superificie]]*Resa</f>
        <v>#VALUE!</v>
      </c>
      <c r="P908" t="e">
        <f>Tabella1[[#This Row],[KgPezzo]]*Tabella1[[#This Row],[q.ta offerta]]</f>
        <v>#VALUE!</v>
      </c>
      <c r="Q908" t="e">
        <f>RigheOfferte[[#This Row],[QtaProtez]]</f>
        <v>#VALUE!</v>
      </c>
      <c r="R908" t="e">
        <f>RigheOfferte[[#This Row],[Tipo Protezione]]</f>
        <v>#VALUE!</v>
      </c>
    </row>
    <row r="909" spans="1:18">
      <c r="A909" t="e">
        <f>RigheOfferte[[#This Row],[Nprev]]</f>
        <v>#VALUE!</v>
      </c>
      <c r="B909" t="e">
        <f>RigheOfferte[[#This Row],[Nriga]]</f>
        <v>#VALUE!</v>
      </c>
      <c r="C909" t="e">
        <f>RigheOfferte[[#This Row],[Cliente]]</f>
        <v>#VALUE!</v>
      </c>
      <c r="D909" t="e">
        <f>RigheOfferte[[#This Row],[sub_cliente]]</f>
        <v>#VALUE!</v>
      </c>
      <c r="E909" t="e">
        <f>RigheOfferte[[#This Row],[cod.Art.]]</f>
        <v>#VALUE!</v>
      </c>
      <c r="F909" t="e">
        <f>RigheOfferte[[#This Row],[Descrizione]]</f>
        <v>#VALUE!</v>
      </c>
      <c r="G909" t="e">
        <f>RigheOfferte[[#This Row],[Q.ta'']]</f>
        <v>#VALUE!</v>
      </c>
      <c r="H909" t="e">
        <f>RigheOfferte[[#This Row],[Lavorazione]]</f>
        <v>#VALUE!</v>
      </c>
      <c r="I909" t="e">
        <f>RigheOfferte[[#This Row],[Colore]]</f>
        <v>#VALUE!</v>
      </c>
      <c r="J909" t="e">
        <f>RigheOfferte[[#This Row],[Velocità]]</f>
        <v>#VALUE!</v>
      </c>
      <c r="K909" t="e">
        <f>RigheOfferte[[#This Row],[Superf.pz Mq]]</f>
        <v>#VALUE!</v>
      </c>
      <c r="L909" t="e">
        <f>RigheOfferte[[#This Row],[passo]]</f>
        <v>#VALUE!</v>
      </c>
      <c r="M909" t="e">
        <f>RigheOfferte[[#This Row],[nr.pezzi Telaio]]</f>
        <v>#VALUE!</v>
      </c>
      <c r="N909" t="e">
        <f>RigheOfferte[[#This Row],[nr.pezzi ora-unita]]</f>
        <v>#VALUE!</v>
      </c>
      <c r="O909" t="e">
        <f>Tabella1[[#This Row],[superificie]]*Resa</f>
        <v>#VALUE!</v>
      </c>
      <c r="P909" t="e">
        <f>Tabella1[[#This Row],[KgPezzo]]*Tabella1[[#This Row],[q.ta offerta]]</f>
        <v>#VALUE!</v>
      </c>
      <c r="Q909" t="e">
        <f>RigheOfferte[[#This Row],[QtaProtez]]</f>
        <v>#VALUE!</v>
      </c>
      <c r="R909" t="e">
        <f>RigheOfferte[[#This Row],[Tipo Protezione]]</f>
        <v>#VALUE!</v>
      </c>
    </row>
    <row r="910" spans="1:18">
      <c r="A910" t="e">
        <f>RigheOfferte[[#This Row],[Nprev]]</f>
        <v>#VALUE!</v>
      </c>
      <c r="B910" t="e">
        <f>RigheOfferte[[#This Row],[Nriga]]</f>
        <v>#VALUE!</v>
      </c>
      <c r="C910" t="e">
        <f>RigheOfferte[[#This Row],[Cliente]]</f>
        <v>#VALUE!</v>
      </c>
      <c r="D910" t="e">
        <f>RigheOfferte[[#This Row],[sub_cliente]]</f>
        <v>#VALUE!</v>
      </c>
      <c r="E910" t="e">
        <f>RigheOfferte[[#This Row],[cod.Art.]]</f>
        <v>#VALUE!</v>
      </c>
      <c r="F910" t="e">
        <f>RigheOfferte[[#This Row],[Descrizione]]</f>
        <v>#VALUE!</v>
      </c>
      <c r="G910" t="e">
        <f>RigheOfferte[[#This Row],[Q.ta'']]</f>
        <v>#VALUE!</v>
      </c>
      <c r="H910" t="e">
        <f>RigheOfferte[[#This Row],[Lavorazione]]</f>
        <v>#VALUE!</v>
      </c>
      <c r="I910" t="e">
        <f>RigheOfferte[[#This Row],[Colore]]</f>
        <v>#VALUE!</v>
      </c>
      <c r="J910" t="e">
        <f>RigheOfferte[[#This Row],[Velocità]]</f>
        <v>#VALUE!</v>
      </c>
      <c r="K910" t="e">
        <f>RigheOfferte[[#This Row],[Superf.pz Mq]]</f>
        <v>#VALUE!</v>
      </c>
      <c r="L910" t="e">
        <f>RigheOfferte[[#This Row],[passo]]</f>
        <v>#VALUE!</v>
      </c>
      <c r="M910" t="e">
        <f>RigheOfferte[[#This Row],[nr.pezzi Telaio]]</f>
        <v>#VALUE!</v>
      </c>
      <c r="N910" t="e">
        <f>RigheOfferte[[#This Row],[nr.pezzi ora-unita]]</f>
        <v>#VALUE!</v>
      </c>
      <c r="O910" t="e">
        <f>Tabella1[[#This Row],[superificie]]*Resa</f>
        <v>#VALUE!</v>
      </c>
      <c r="P910" t="e">
        <f>Tabella1[[#This Row],[KgPezzo]]*Tabella1[[#This Row],[q.ta offerta]]</f>
        <v>#VALUE!</v>
      </c>
      <c r="Q910" t="e">
        <f>RigheOfferte[[#This Row],[QtaProtez]]</f>
        <v>#VALUE!</v>
      </c>
      <c r="R910" t="e">
        <f>RigheOfferte[[#This Row],[Tipo Protezione]]</f>
        <v>#VALUE!</v>
      </c>
    </row>
    <row r="911" spans="1:18">
      <c r="A911" t="e">
        <f>RigheOfferte[[#This Row],[Nprev]]</f>
        <v>#VALUE!</v>
      </c>
      <c r="B911" t="e">
        <f>RigheOfferte[[#This Row],[Nriga]]</f>
        <v>#VALUE!</v>
      </c>
      <c r="C911" t="e">
        <f>RigheOfferte[[#This Row],[Cliente]]</f>
        <v>#VALUE!</v>
      </c>
      <c r="D911" t="e">
        <f>RigheOfferte[[#This Row],[sub_cliente]]</f>
        <v>#VALUE!</v>
      </c>
      <c r="E911" t="e">
        <f>RigheOfferte[[#This Row],[cod.Art.]]</f>
        <v>#VALUE!</v>
      </c>
      <c r="F911" t="e">
        <f>RigheOfferte[[#This Row],[Descrizione]]</f>
        <v>#VALUE!</v>
      </c>
      <c r="G911" t="e">
        <f>RigheOfferte[[#This Row],[Q.ta'']]</f>
        <v>#VALUE!</v>
      </c>
      <c r="H911" t="e">
        <f>RigheOfferte[[#This Row],[Lavorazione]]</f>
        <v>#VALUE!</v>
      </c>
      <c r="I911" t="e">
        <f>RigheOfferte[[#This Row],[Colore]]</f>
        <v>#VALUE!</v>
      </c>
      <c r="J911" t="e">
        <f>RigheOfferte[[#This Row],[Velocità]]</f>
        <v>#VALUE!</v>
      </c>
      <c r="K911" t="e">
        <f>RigheOfferte[[#This Row],[Superf.pz Mq]]</f>
        <v>#VALUE!</v>
      </c>
      <c r="L911" t="e">
        <f>RigheOfferte[[#This Row],[passo]]</f>
        <v>#VALUE!</v>
      </c>
      <c r="M911" t="e">
        <f>RigheOfferte[[#This Row],[nr.pezzi Telaio]]</f>
        <v>#VALUE!</v>
      </c>
      <c r="N911" t="e">
        <f>RigheOfferte[[#This Row],[nr.pezzi ora-unita]]</f>
        <v>#VALUE!</v>
      </c>
      <c r="O911" t="e">
        <f>Tabella1[[#This Row],[superificie]]*Resa</f>
        <v>#VALUE!</v>
      </c>
      <c r="P911" t="e">
        <f>Tabella1[[#This Row],[KgPezzo]]*Tabella1[[#This Row],[q.ta offerta]]</f>
        <v>#VALUE!</v>
      </c>
      <c r="Q911" t="e">
        <f>RigheOfferte[[#This Row],[QtaProtez]]</f>
        <v>#VALUE!</v>
      </c>
      <c r="R911" t="e">
        <f>RigheOfferte[[#This Row],[Tipo Protezione]]</f>
        <v>#VALUE!</v>
      </c>
    </row>
    <row r="912" spans="1:18">
      <c r="A912" t="e">
        <f>RigheOfferte[[#This Row],[Nprev]]</f>
        <v>#VALUE!</v>
      </c>
      <c r="B912" t="e">
        <f>RigheOfferte[[#This Row],[Nriga]]</f>
        <v>#VALUE!</v>
      </c>
      <c r="C912" t="e">
        <f>RigheOfferte[[#This Row],[Cliente]]</f>
        <v>#VALUE!</v>
      </c>
      <c r="D912" t="e">
        <f>RigheOfferte[[#This Row],[sub_cliente]]</f>
        <v>#VALUE!</v>
      </c>
      <c r="E912" t="e">
        <f>RigheOfferte[[#This Row],[cod.Art.]]</f>
        <v>#VALUE!</v>
      </c>
      <c r="F912" t="e">
        <f>RigheOfferte[[#This Row],[Descrizione]]</f>
        <v>#VALUE!</v>
      </c>
      <c r="G912" t="e">
        <f>RigheOfferte[[#This Row],[Q.ta'']]</f>
        <v>#VALUE!</v>
      </c>
      <c r="H912" t="e">
        <f>RigheOfferte[[#This Row],[Lavorazione]]</f>
        <v>#VALUE!</v>
      </c>
      <c r="I912" t="e">
        <f>RigheOfferte[[#This Row],[Colore]]</f>
        <v>#VALUE!</v>
      </c>
      <c r="J912" t="e">
        <f>RigheOfferte[[#This Row],[Velocità]]</f>
        <v>#VALUE!</v>
      </c>
      <c r="K912" t="e">
        <f>RigheOfferte[[#This Row],[Superf.pz Mq]]</f>
        <v>#VALUE!</v>
      </c>
      <c r="L912" t="e">
        <f>RigheOfferte[[#This Row],[passo]]</f>
        <v>#VALUE!</v>
      </c>
      <c r="M912" t="e">
        <f>RigheOfferte[[#This Row],[nr.pezzi Telaio]]</f>
        <v>#VALUE!</v>
      </c>
      <c r="N912" t="e">
        <f>RigheOfferte[[#This Row],[nr.pezzi ora-unita]]</f>
        <v>#VALUE!</v>
      </c>
      <c r="O912" t="e">
        <f>Tabella1[[#This Row],[superificie]]*Resa</f>
        <v>#VALUE!</v>
      </c>
      <c r="P912" t="e">
        <f>Tabella1[[#This Row],[KgPezzo]]*Tabella1[[#This Row],[q.ta offerta]]</f>
        <v>#VALUE!</v>
      </c>
      <c r="Q912" t="e">
        <f>RigheOfferte[[#This Row],[QtaProtez]]</f>
        <v>#VALUE!</v>
      </c>
      <c r="R912" t="e">
        <f>RigheOfferte[[#This Row],[Tipo Protezione]]</f>
        <v>#VALUE!</v>
      </c>
    </row>
    <row r="913" spans="1:18">
      <c r="A913" t="e">
        <f>RigheOfferte[[#This Row],[Nprev]]</f>
        <v>#VALUE!</v>
      </c>
      <c r="B913" t="e">
        <f>RigheOfferte[[#This Row],[Nriga]]</f>
        <v>#VALUE!</v>
      </c>
      <c r="C913" t="e">
        <f>RigheOfferte[[#This Row],[Cliente]]</f>
        <v>#VALUE!</v>
      </c>
      <c r="D913" t="e">
        <f>RigheOfferte[[#This Row],[sub_cliente]]</f>
        <v>#VALUE!</v>
      </c>
      <c r="E913" t="e">
        <f>RigheOfferte[[#This Row],[cod.Art.]]</f>
        <v>#VALUE!</v>
      </c>
      <c r="F913" t="e">
        <f>RigheOfferte[[#This Row],[Descrizione]]</f>
        <v>#VALUE!</v>
      </c>
      <c r="G913" t="e">
        <f>RigheOfferte[[#This Row],[Q.ta'']]</f>
        <v>#VALUE!</v>
      </c>
      <c r="H913" t="e">
        <f>RigheOfferte[[#This Row],[Lavorazione]]</f>
        <v>#VALUE!</v>
      </c>
      <c r="I913" t="e">
        <f>RigheOfferte[[#This Row],[Colore]]</f>
        <v>#VALUE!</v>
      </c>
      <c r="J913" t="e">
        <f>RigheOfferte[[#This Row],[Velocità]]</f>
        <v>#VALUE!</v>
      </c>
      <c r="K913" t="e">
        <f>RigheOfferte[[#This Row],[Superf.pz Mq]]</f>
        <v>#VALUE!</v>
      </c>
      <c r="L913" t="e">
        <f>RigheOfferte[[#This Row],[passo]]</f>
        <v>#VALUE!</v>
      </c>
      <c r="M913" t="e">
        <f>RigheOfferte[[#This Row],[nr.pezzi Telaio]]</f>
        <v>#VALUE!</v>
      </c>
      <c r="N913" t="e">
        <f>RigheOfferte[[#This Row],[nr.pezzi ora-unita]]</f>
        <v>#VALUE!</v>
      </c>
      <c r="O913" t="e">
        <f>Tabella1[[#This Row],[superificie]]*Resa</f>
        <v>#VALUE!</v>
      </c>
      <c r="P913" t="e">
        <f>Tabella1[[#This Row],[KgPezzo]]*Tabella1[[#This Row],[q.ta offerta]]</f>
        <v>#VALUE!</v>
      </c>
      <c r="Q913" t="e">
        <f>RigheOfferte[[#This Row],[QtaProtez]]</f>
        <v>#VALUE!</v>
      </c>
      <c r="R913" t="e">
        <f>RigheOfferte[[#This Row],[Tipo Protezione]]</f>
        <v>#VALUE!</v>
      </c>
    </row>
    <row r="914" spans="1:18">
      <c r="A914" t="e">
        <f>RigheOfferte[[#This Row],[Nprev]]</f>
        <v>#VALUE!</v>
      </c>
      <c r="B914" t="e">
        <f>RigheOfferte[[#This Row],[Nriga]]</f>
        <v>#VALUE!</v>
      </c>
      <c r="C914" t="e">
        <f>RigheOfferte[[#This Row],[Cliente]]</f>
        <v>#VALUE!</v>
      </c>
      <c r="D914" t="e">
        <f>RigheOfferte[[#This Row],[sub_cliente]]</f>
        <v>#VALUE!</v>
      </c>
      <c r="E914" t="e">
        <f>RigheOfferte[[#This Row],[cod.Art.]]</f>
        <v>#VALUE!</v>
      </c>
      <c r="F914" t="e">
        <f>RigheOfferte[[#This Row],[Descrizione]]</f>
        <v>#VALUE!</v>
      </c>
      <c r="G914" t="e">
        <f>RigheOfferte[[#This Row],[Q.ta'']]</f>
        <v>#VALUE!</v>
      </c>
      <c r="H914" t="e">
        <f>RigheOfferte[[#This Row],[Lavorazione]]</f>
        <v>#VALUE!</v>
      </c>
      <c r="I914" t="e">
        <f>RigheOfferte[[#This Row],[Colore]]</f>
        <v>#VALUE!</v>
      </c>
      <c r="J914" t="e">
        <f>RigheOfferte[[#This Row],[Velocità]]</f>
        <v>#VALUE!</v>
      </c>
      <c r="K914" t="e">
        <f>RigheOfferte[[#This Row],[Superf.pz Mq]]</f>
        <v>#VALUE!</v>
      </c>
      <c r="L914" t="e">
        <f>RigheOfferte[[#This Row],[passo]]</f>
        <v>#VALUE!</v>
      </c>
      <c r="M914" t="e">
        <f>RigheOfferte[[#This Row],[nr.pezzi Telaio]]</f>
        <v>#VALUE!</v>
      </c>
      <c r="N914" t="e">
        <f>RigheOfferte[[#This Row],[nr.pezzi ora-unita]]</f>
        <v>#VALUE!</v>
      </c>
      <c r="O914" t="e">
        <f>Tabella1[[#This Row],[superificie]]*Resa</f>
        <v>#VALUE!</v>
      </c>
      <c r="P914" t="e">
        <f>Tabella1[[#This Row],[KgPezzo]]*Tabella1[[#This Row],[q.ta offerta]]</f>
        <v>#VALUE!</v>
      </c>
      <c r="Q914" t="e">
        <f>RigheOfferte[[#This Row],[QtaProtez]]</f>
        <v>#VALUE!</v>
      </c>
      <c r="R914" t="e">
        <f>RigheOfferte[[#This Row],[Tipo Protezione]]</f>
        <v>#VALUE!</v>
      </c>
    </row>
    <row r="915" spans="1:18">
      <c r="A915" t="e">
        <f>RigheOfferte[[#This Row],[Nprev]]</f>
        <v>#VALUE!</v>
      </c>
      <c r="B915" t="e">
        <f>RigheOfferte[[#This Row],[Nriga]]</f>
        <v>#VALUE!</v>
      </c>
      <c r="C915" t="e">
        <f>RigheOfferte[[#This Row],[Cliente]]</f>
        <v>#VALUE!</v>
      </c>
      <c r="D915" t="e">
        <f>RigheOfferte[[#This Row],[sub_cliente]]</f>
        <v>#VALUE!</v>
      </c>
      <c r="E915" t="e">
        <f>RigheOfferte[[#This Row],[cod.Art.]]</f>
        <v>#VALUE!</v>
      </c>
      <c r="F915" t="e">
        <f>RigheOfferte[[#This Row],[Descrizione]]</f>
        <v>#VALUE!</v>
      </c>
      <c r="G915" t="e">
        <f>RigheOfferte[[#This Row],[Q.ta'']]</f>
        <v>#VALUE!</v>
      </c>
      <c r="H915" t="e">
        <f>RigheOfferte[[#This Row],[Lavorazione]]</f>
        <v>#VALUE!</v>
      </c>
      <c r="I915" t="e">
        <f>RigheOfferte[[#This Row],[Colore]]</f>
        <v>#VALUE!</v>
      </c>
      <c r="J915" t="e">
        <f>RigheOfferte[[#This Row],[Velocità]]</f>
        <v>#VALUE!</v>
      </c>
      <c r="K915" t="e">
        <f>RigheOfferte[[#This Row],[Superf.pz Mq]]</f>
        <v>#VALUE!</v>
      </c>
      <c r="L915" t="e">
        <f>RigheOfferte[[#This Row],[passo]]</f>
        <v>#VALUE!</v>
      </c>
      <c r="M915" t="e">
        <f>RigheOfferte[[#This Row],[nr.pezzi Telaio]]</f>
        <v>#VALUE!</v>
      </c>
      <c r="N915" t="e">
        <f>RigheOfferte[[#This Row],[nr.pezzi ora-unita]]</f>
        <v>#VALUE!</v>
      </c>
      <c r="O915" t="e">
        <f>Tabella1[[#This Row],[superificie]]*Resa</f>
        <v>#VALUE!</v>
      </c>
      <c r="P915" t="e">
        <f>Tabella1[[#This Row],[KgPezzo]]*Tabella1[[#This Row],[q.ta offerta]]</f>
        <v>#VALUE!</v>
      </c>
      <c r="Q915" t="e">
        <f>RigheOfferte[[#This Row],[QtaProtez]]</f>
        <v>#VALUE!</v>
      </c>
      <c r="R915" t="e">
        <f>RigheOfferte[[#This Row],[Tipo Protezione]]</f>
        <v>#VALUE!</v>
      </c>
    </row>
    <row r="916" spans="1:18">
      <c r="A916" t="e">
        <f>RigheOfferte[[#This Row],[Nprev]]</f>
        <v>#VALUE!</v>
      </c>
      <c r="B916" t="e">
        <f>RigheOfferte[[#This Row],[Nriga]]</f>
        <v>#VALUE!</v>
      </c>
      <c r="C916" t="e">
        <f>RigheOfferte[[#This Row],[Cliente]]</f>
        <v>#VALUE!</v>
      </c>
      <c r="D916" t="e">
        <f>RigheOfferte[[#This Row],[sub_cliente]]</f>
        <v>#VALUE!</v>
      </c>
      <c r="E916" t="e">
        <f>RigheOfferte[[#This Row],[cod.Art.]]</f>
        <v>#VALUE!</v>
      </c>
      <c r="F916" t="e">
        <f>RigheOfferte[[#This Row],[Descrizione]]</f>
        <v>#VALUE!</v>
      </c>
      <c r="G916" t="e">
        <f>RigheOfferte[[#This Row],[Q.ta'']]</f>
        <v>#VALUE!</v>
      </c>
      <c r="H916" t="e">
        <f>RigheOfferte[[#This Row],[Lavorazione]]</f>
        <v>#VALUE!</v>
      </c>
      <c r="I916" t="e">
        <f>RigheOfferte[[#This Row],[Colore]]</f>
        <v>#VALUE!</v>
      </c>
      <c r="J916" t="e">
        <f>RigheOfferte[[#This Row],[Velocità]]</f>
        <v>#VALUE!</v>
      </c>
      <c r="K916" t="e">
        <f>RigheOfferte[[#This Row],[Superf.pz Mq]]</f>
        <v>#VALUE!</v>
      </c>
      <c r="L916" t="e">
        <f>RigheOfferte[[#This Row],[passo]]</f>
        <v>#VALUE!</v>
      </c>
      <c r="M916" t="e">
        <f>RigheOfferte[[#This Row],[nr.pezzi Telaio]]</f>
        <v>#VALUE!</v>
      </c>
      <c r="N916" t="e">
        <f>RigheOfferte[[#This Row],[nr.pezzi ora-unita]]</f>
        <v>#VALUE!</v>
      </c>
      <c r="O916" t="e">
        <f>Tabella1[[#This Row],[superificie]]*Resa</f>
        <v>#VALUE!</v>
      </c>
      <c r="P916" t="e">
        <f>Tabella1[[#This Row],[KgPezzo]]*Tabella1[[#This Row],[q.ta offerta]]</f>
        <v>#VALUE!</v>
      </c>
      <c r="Q916" t="e">
        <f>RigheOfferte[[#This Row],[QtaProtez]]</f>
        <v>#VALUE!</v>
      </c>
      <c r="R916" t="e">
        <f>RigheOfferte[[#This Row],[Tipo Protezione]]</f>
        <v>#VALUE!</v>
      </c>
    </row>
    <row r="917" spans="1:18">
      <c r="A917" t="e">
        <f>RigheOfferte[[#This Row],[Nprev]]</f>
        <v>#VALUE!</v>
      </c>
      <c r="B917" t="e">
        <f>RigheOfferte[[#This Row],[Nriga]]</f>
        <v>#VALUE!</v>
      </c>
      <c r="C917" t="e">
        <f>RigheOfferte[[#This Row],[Cliente]]</f>
        <v>#VALUE!</v>
      </c>
      <c r="D917" t="e">
        <f>RigheOfferte[[#This Row],[sub_cliente]]</f>
        <v>#VALUE!</v>
      </c>
      <c r="E917" t="e">
        <f>RigheOfferte[[#This Row],[cod.Art.]]</f>
        <v>#VALUE!</v>
      </c>
      <c r="F917" t="e">
        <f>RigheOfferte[[#This Row],[Descrizione]]</f>
        <v>#VALUE!</v>
      </c>
      <c r="G917" t="e">
        <f>RigheOfferte[[#This Row],[Q.ta'']]</f>
        <v>#VALUE!</v>
      </c>
      <c r="H917" t="e">
        <f>RigheOfferte[[#This Row],[Lavorazione]]</f>
        <v>#VALUE!</v>
      </c>
      <c r="I917" t="e">
        <f>RigheOfferte[[#This Row],[Colore]]</f>
        <v>#VALUE!</v>
      </c>
      <c r="J917" t="e">
        <f>RigheOfferte[[#This Row],[Velocità]]</f>
        <v>#VALUE!</v>
      </c>
      <c r="K917" t="e">
        <f>RigheOfferte[[#This Row],[Superf.pz Mq]]</f>
        <v>#VALUE!</v>
      </c>
      <c r="L917" t="e">
        <f>RigheOfferte[[#This Row],[passo]]</f>
        <v>#VALUE!</v>
      </c>
      <c r="M917" t="e">
        <f>RigheOfferte[[#This Row],[nr.pezzi Telaio]]</f>
        <v>#VALUE!</v>
      </c>
      <c r="N917" t="e">
        <f>RigheOfferte[[#This Row],[nr.pezzi ora-unita]]</f>
        <v>#VALUE!</v>
      </c>
      <c r="O917" t="e">
        <f>Tabella1[[#This Row],[superificie]]*Resa</f>
        <v>#VALUE!</v>
      </c>
      <c r="P917" t="e">
        <f>Tabella1[[#This Row],[KgPezzo]]*Tabella1[[#This Row],[q.ta offerta]]</f>
        <v>#VALUE!</v>
      </c>
      <c r="Q917" t="e">
        <f>RigheOfferte[[#This Row],[QtaProtez]]</f>
        <v>#VALUE!</v>
      </c>
      <c r="R917" t="e">
        <f>RigheOfferte[[#This Row],[Tipo Protezione]]</f>
        <v>#VALUE!</v>
      </c>
    </row>
    <row r="918" spans="1:18">
      <c r="A918" t="e">
        <f>RigheOfferte[[#This Row],[Nprev]]</f>
        <v>#VALUE!</v>
      </c>
      <c r="B918" t="e">
        <f>RigheOfferte[[#This Row],[Nriga]]</f>
        <v>#VALUE!</v>
      </c>
      <c r="C918" t="e">
        <f>RigheOfferte[[#This Row],[Cliente]]</f>
        <v>#VALUE!</v>
      </c>
      <c r="D918" t="e">
        <f>RigheOfferte[[#This Row],[sub_cliente]]</f>
        <v>#VALUE!</v>
      </c>
      <c r="E918" t="e">
        <f>RigheOfferte[[#This Row],[cod.Art.]]</f>
        <v>#VALUE!</v>
      </c>
      <c r="F918" t="e">
        <f>RigheOfferte[[#This Row],[Descrizione]]</f>
        <v>#VALUE!</v>
      </c>
      <c r="G918" t="e">
        <f>RigheOfferte[[#This Row],[Q.ta'']]</f>
        <v>#VALUE!</v>
      </c>
      <c r="H918" t="e">
        <f>RigheOfferte[[#This Row],[Lavorazione]]</f>
        <v>#VALUE!</v>
      </c>
      <c r="I918" t="e">
        <f>RigheOfferte[[#This Row],[Colore]]</f>
        <v>#VALUE!</v>
      </c>
      <c r="J918" t="e">
        <f>RigheOfferte[[#This Row],[Velocità]]</f>
        <v>#VALUE!</v>
      </c>
      <c r="K918" t="e">
        <f>RigheOfferte[[#This Row],[Superf.pz Mq]]</f>
        <v>#VALUE!</v>
      </c>
      <c r="L918" t="e">
        <f>RigheOfferte[[#This Row],[passo]]</f>
        <v>#VALUE!</v>
      </c>
      <c r="M918" t="e">
        <f>RigheOfferte[[#This Row],[nr.pezzi Telaio]]</f>
        <v>#VALUE!</v>
      </c>
      <c r="N918" t="e">
        <f>RigheOfferte[[#This Row],[nr.pezzi ora-unita]]</f>
        <v>#VALUE!</v>
      </c>
      <c r="O918" t="e">
        <f>Tabella1[[#This Row],[superificie]]*Resa</f>
        <v>#VALUE!</v>
      </c>
      <c r="P918" t="e">
        <f>Tabella1[[#This Row],[KgPezzo]]*Tabella1[[#This Row],[q.ta offerta]]</f>
        <v>#VALUE!</v>
      </c>
      <c r="Q918" t="e">
        <f>RigheOfferte[[#This Row],[QtaProtez]]</f>
        <v>#VALUE!</v>
      </c>
      <c r="R918" t="e">
        <f>RigheOfferte[[#This Row],[Tipo Protezione]]</f>
        <v>#VALUE!</v>
      </c>
    </row>
    <row r="919" spans="1:18">
      <c r="A919" t="e">
        <f>RigheOfferte[[#This Row],[Nprev]]</f>
        <v>#VALUE!</v>
      </c>
      <c r="B919" t="e">
        <f>RigheOfferte[[#This Row],[Nriga]]</f>
        <v>#VALUE!</v>
      </c>
      <c r="C919" t="e">
        <f>RigheOfferte[[#This Row],[Cliente]]</f>
        <v>#VALUE!</v>
      </c>
      <c r="D919" t="e">
        <f>RigheOfferte[[#This Row],[sub_cliente]]</f>
        <v>#VALUE!</v>
      </c>
      <c r="E919" t="e">
        <f>RigheOfferte[[#This Row],[cod.Art.]]</f>
        <v>#VALUE!</v>
      </c>
      <c r="F919" t="e">
        <f>RigheOfferte[[#This Row],[Descrizione]]</f>
        <v>#VALUE!</v>
      </c>
      <c r="G919" t="e">
        <f>RigheOfferte[[#This Row],[Q.ta'']]</f>
        <v>#VALUE!</v>
      </c>
      <c r="H919" t="e">
        <f>RigheOfferte[[#This Row],[Lavorazione]]</f>
        <v>#VALUE!</v>
      </c>
      <c r="I919" t="e">
        <f>RigheOfferte[[#This Row],[Colore]]</f>
        <v>#VALUE!</v>
      </c>
      <c r="J919" t="e">
        <f>RigheOfferte[[#This Row],[Velocità]]</f>
        <v>#VALUE!</v>
      </c>
      <c r="K919" t="e">
        <f>RigheOfferte[[#This Row],[Superf.pz Mq]]</f>
        <v>#VALUE!</v>
      </c>
      <c r="L919" t="e">
        <f>RigheOfferte[[#This Row],[passo]]</f>
        <v>#VALUE!</v>
      </c>
      <c r="M919" t="e">
        <f>RigheOfferte[[#This Row],[nr.pezzi Telaio]]</f>
        <v>#VALUE!</v>
      </c>
      <c r="N919" t="e">
        <f>RigheOfferte[[#This Row],[nr.pezzi ora-unita]]</f>
        <v>#VALUE!</v>
      </c>
      <c r="O919" t="e">
        <f>Tabella1[[#This Row],[superificie]]*Resa</f>
        <v>#VALUE!</v>
      </c>
      <c r="P919" t="e">
        <f>Tabella1[[#This Row],[KgPezzo]]*Tabella1[[#This Row],[q.ta offerta]]</f>
        <v>#VALUE!</v>
      </c>
      <c r="Q919" t="e">
        <f>RigheOfferte[[#This Row],[QtaProtez]]</f>
        <v>#VALUE!</v>
      </c>
      <c r="R919" t="e">
        <f>RigheOfferte[[#This Row],[Tipo Protezione]]</f>
        <v>#VALUE!</v>
      </c>
    </row>
    <row r="920" spans="1:18">
      <c r="A920" t="e">
        <f>RigheOfferte[[#This Row],[Nprev]]</f>
        <v>#VALUE!</v>
      </c>
      <c r="B920" t="e">
        <f>RigheOfferte[[#This Row],[Nriga]]</f>
        <v>#VALUE!</v>
      </c>
      <c r="C920" t="e">
        <f>RigheOfferte[[#This Row],[Cliente]]</f>
        <v>#VALUE!</v>
      </c>
      <c r="D920" t="e">
        <f>RigheOfferte[[#This Row],[sub_cliente]]</f>
        <v>#VALUE!</v>
      </c>
      <c r="E920" t="e">
        <f>RigheOfferte[[#This Row],[cod.Art.]]</f>
        <v>#VALUE!</v>
      </c>
      <c r="F920" t="e">
        <f>RigheOfferte[[#This Row],[Descrizione]]</f>
        <v>#VALUE!</v>
      </c>
      <c r="G920" t="e">
        <f>RigheOfferte[[#This Row],[Q.ta'']]</f>
        <v>#VALUE!</v>
      </c>
      <c r="H920" t="e">
        <f>RigheOfferte[[#This Row],[Lavorazione]]</f>
        <v>#VALUE!</v>
      </c>
      <c r="I920" t="e">
        <f>RigheOfferte[[#This Row],[Colore]]</f>
        <v>#VALUE!</v>
      </c>
      <c r="J920" t="e">
        <f>RigheOfferte[[#This Row],[Velocità]]</f>
        <v>#VALUE!</v>
      </c>
      <c r="K920" t="e">
        <f>RigheOfferte[[#This Row],[Superf.pz Mq]]</f>
        <v>#VALUE!</v>
      </c>
      <c r="L920" t="e">
        <f>RigheOfferte[[#This Row],[passo]]</f>
        <v>#VALUE!</v>
      </c>
      <c r="M920" t="e">
        <f>RigheOfferte[[#This Row],[nr.pezzi Telaio]]</f>
        <v>#VALUE!</v>
      </c>
      <c r="N920" t="e">
        <f>RigheOfferte[[#This Row],[nr.pezzi ora-unita]]</f>
        <v>#VALUE!</v>
      </c>
      <c r="O920" t="e">
        <f>Tabella1[[#This Row],[superificie]]*Resa</f>
        <v>#VALUE!</v>
      </c>
      <c r="P920" t="e">
        <f>Tabella1[[#This Row],[KgPezzo]]*Tabella1[[#This Row],[q.ta offerta]]</f>
        <v>#VALUE!</v>
      </c>
      <c r="Q920" t="e">
        <f>RigheOfferte[[#This Row],[QtaProtez]]</f>
        <v>#VALUE!</v>
      </c>
      <c r="R920" t="e">
        <f>RigheOfferte[[#This Row],[Tipo Protezione]]</f>
        <v>#VALUE!</v>
      </c>
    </row>
    <row r="921" spans="1:18">
      <c r="A921" t="e">
        <f>RigheOfferte[[#This Row],[Nprev]]</f>
        <v>#VALUE!</v>
      </c>
      <c r="B921" t="e">
        <f>RigheOfferte[[#This Row],[Nriga]]</f>
        <v>#VALUE!</v>
      </c>
      <c r="C921" t="e">
        <f>RigheOfferte[[#This Row],[Cliente]]</f>
        <v>#VALUE!</v>
      </c>
      <c r="D921" t="e">
        <f>RigheOfferte[[#This Row],[sub_cliente]]</f>
        <v>#VALUE!</v>
      </c>
      <c r="E921" t="e">
        <f>RigheOfferte[[#This Row],[cod.Art.]]</f>
        <v>#VALUE!</v>
      </c>
      <c r="F921" t="e">
        <f>RigheOfferte[[#This Row],[Descrizione]]</f>
        <v>#VALUE!</v>
      </c>
      <c r="G921" t="e">
        <f>RigheOfferte[[#This Row],[Q.ta'']]</f>
        <v>#VALUE!</v>
      </c>
      <c r="H921" t="e">
        <f>RigheOfferte[[#This Row],[Lavorazione]]</f>
        <v>#VALUE!</v>
      </c>
      <c r="I921" t="e">
        <f>RigheOfferte[[#This Row],[Colore]]</f>
        <v>#VALUE!</v>
      </c>
      <c r="J921" t="e">
        <f>RigheOfferte[[#This Row],[Velocità]]</f>
        <v>#VALUE!</v>
      </c>
      <c r="K921" t="e">
        <f>RigheOfferte[[#This Row],[Superf.pz Mq]]</f>
        <v>#VALUE!</v>
      </c>
      <c r="L921" t="e">
        <f>RigheOfferte[[#This Row],[passo]]</f>
        <v>#VALUE!</v>
      </c>
      <c r="M921" t="e">
        <f>RigheOfferte[[#This Row],[nr.pezzi Telaio]]</f>
        <v>#VALUE!</v>
      </c>
      <c r="N921" t="e">
        <f>RigheOfferte[[#This Row],[nr.pezzi ora-unita]]</f>
        <v>#VALUE!</v>
      </c>
      <c r="O921" t="e">
        <f>Tabella1[[#This Row],[superificie]]*Resa</f>
        <v>#VALUE!</v>
      </c>
      <c r="P921" t="e">
        <f>Tabella1[[#This Row],[KgPezzo]]*Tabella1[[#This Row],[q.ta offerta]]</f>
        <v>#VALUE!</v>
      </c>
      <c r="Q921" t="e">
        <f>RigheOfferte[[#This Row],[QtaProtez]]</f>
        <v>#VALUE!</v>
      </c>
      <c r="R921" t="e">
        <f>RigheOfferte[[#This Row],[Tipo Protezione]]</f>
        <v>#VALUE!</v>
      </c>
    </row>
    <row r="922" spans="1:18">
      <c r="A922" t="e">
        <f>RigheOfferte[[#This Row],[Nprev]]</f>
        <v>#VALUE!</v>
      </c>
      <c r="B922" t="e">
        <f>RigheOfferte[[#This Row],[Nriga]]</f>
        <v>#VALUE!</v>
      </c>
      <c r="C922" t="e">
        <f>RigheOfferte[[#This Row],[Cliente]]</f>
        <v>#VALUE!</v>
      </c>
      <c r="D922" t="e">
        <f>RigheOfferte[[#This Row],[sub_cliente]]</f>
        <v>#VALUE!</v>
      </c>
      <c r="E922" t="e">
        <f>RigheOfferte[[#This Row],[cod.Art.]]</f>
        <v>#VALUE!</v>
      </c>
      <c r="F922" t="e">
        <f>RigheOfferte[[#This Row],[Descrizione]]</f>
        <v>#VALUE!</v>
      </c>
      <c r="G922" t="e">
        <f>RigheOfferte[[#This Row],[Q.ta'']]</f>
        <v>#VALUE!</v>
      </c>
      <c r="H922" t="e">
        <f>RigheOfferte[[#This Row],[Lavorazione]]</f>
        <v>#VALUE!</v>
      </c>
      <c r="I922" t="e">
        <f>RigheOfferte[[#This Row],[Colore]]</f>
        <v>#VALUE!</v>
      </c>
      <c r="J922" t="e">
        <f>RigheOfferte[[#This Row],[Velocità]]</f>
        <v>#VALUE!</v>
      </c>
      <c r="K922" t="e">
        <f>RigheOfferte[[#This Row],[Superf.pz Mq]]</f>
        <v>#VALUE!</v>
      </c>
      <c r="L922" t="e">
        <f>RigheOfferte[[#This Row],[passo]]</f>
        <v>#VALUE!</v>
      </c>
      <c r="M922" t="e">
        <f>RigheOfferte[[#This Row],[nr.pezzi Telaio]]</f>
        <v>#VALUE!</v>
      </c>
      <c r="N922" t="e">
        <f>RigheOfferte[[#This Row],[nr.pezzi ora-unita]]</f>
        <v>#VALUE!</v>
      </c>
      <c r="O922" t="e">
        <f>Tabella1[[#This Row],[superificie]]*Resa</f>
        <v>#VALUE!</v>
      </c>
      <c r="P922" t="e">
        <f>Tabella1[[#This Row],[KgPezzo]]*Tabella1[[#This Row],[q.ta offerta]]</f>
        <v>#VALUE!</v>
      </c>
      <c r="Q922" t="e">
        <f>RigheOfferte[[#This Row],[QtaProtez]]</f>
        <v>#VALUE!</v>
      </c>
      <c r="R922" t="e">
        <f>RigheOfferte[[#This Row],[Tipo Protezione]]</f>
        <v>#VALUE!</v>
      </c>
    </row>
    <row r="923" spans="1:18">
      <c r="A923" t="e">
        <f>RigheOfferte[[#This Row],[Nprev]]</f>
        <v>#VALUE!</v>
      </c>
      <c r="B923" t="e">
        <f>RigheOfferte[[#This Row],[Nriga]]</f>
        <v>#VALUE!</v>
      </c>
      <c r="C923" t="e">
        <f>RigheOfferte[[#This Row],[Cliente]]</f>
        <v>#VALUE!</v>
      </c>
      <c r="D923" t="e">
        <f>RigheOfferte[[#This Row],[sub_cliente]]</f>
        <v>#VALUE!</v>
      </c>
      <c r="E923" t="e">
        <f>RigheOfferte[[#This Row],[cod.Art.]]</f>
        <v>#VALUE!</v>
      </c>
      <c r="F923" t="e">
        <f>RigheOfferte[[#This Row],[Descrizione]]</f>
        <v>#VALUE!</v>
      </c>
      <c r="G923" t="e">
        <f>RigheOfferte[[#This Row],[Q.ta'']]</f>
        <v>#VALUE!</v>
      </c>
      <c r="H923" t="e">
        <f>RigheOfferte[[#This Row],[Lavorazione]]</f>
        <v>#VALUE!</v>
      </c>
      <c r="I923" t="e">
        <f>RigheOfferte[[#This Row],[Colore]]</f>
        <v>#VALUE!</v>
      </c>
      <c r="J923" t="e">
        <f>RigheOfferte[[#This Row],[Velocità]]</f>
        <v>#VALUE!</v>
      </c>
      <c r="K923" t="e">
        <f>RigheOfferte[[#This Row],[Superf.pz Mq]]</f>
        <v>#VALUE!</v>
      </c>
      <c r="L923" t="e">
        <f>RigheOfferte[[#This Row],[passo]]</f>
        <v>#VALUE!</v>
      </c>
      <c r="M923" t="e">
        <f>RigheOfferte[[#This Row],[nr.pezzi Telaio]]</f>
        <v>#VALUE!</v>
      </c>
      <c r="N923" t="e">
        <f>RigheOfferte[[#This Row],[nr.pezzi ora-unita]]</f>
        <v>#VALUE!</v>
      </c>
      <c r="O923" t="e">
        <f>Tabella1[[#This Row],[superificie]]*Resa</f>
        <v>#VALUE!</v>
      </c>
      <c r="P923" t="e">
        <f>Tabella1[[#This Row],[KgPezzo]]*Tabella1[[#This Row],[q.ta offerta]]</f>
        <v>#VALUE!</v>
      </c>
      <c r="Q923" t="e">
        <f>RigheOfferte[[#This Row],[QtaProtez]]</f>
        <v>#VALUE!</v>
      </c>
      <c r="R923" t="e">
        <f>RigheOfferte[[#This Row],[Tipo Protezione]]</f>
        <v>#VALUE!</v>
      </c>
    </row>
    <row r="924" spans="1:18">
      <c r="A924" t="e">
        <f>RigheOfferte[[#This Row],[Nprev]]</f>
        <v>#VALUE!</v>
      </c>
      <c r="B924" t="e">
        <f>RigheOfferte[[#This Row],[Nriga]]</f>
        <v>#VALUE!</v>
      </c>
      <c r="C924" t="e">
        <f>RigheOfferte[[#This Row],[Cliente]]</f>
        <v>#VALUE!</v>
      </c>
      <c r="D924" t="e">
        <f>RigheOfferte[[#This Row],[sub_cliente]]</f>
        <v>#VALUE!</v>
      </c>
      <c r="E924" t="e">
        <f>RigheOfferte[[#This Row],[cod.Art.]]</f>
        <v>#VALUE!</v>
      </c>
      <c r="F924" t="e">
        <f>RigheOfferte[[#This Row],[Descrizione]]</f>
        <v>#VALUE!</v>
      </c>
      <c r="G924" t="e">
        <f>RigheOfferte[[#This Row],[Q.ta'']]</f>
        <v>#VALUE!</v>
      </c>
      <c r="H924" t="e">
        <f>RigheOfferte[[#This Row],[Lavorazione]]</f>
        <v>#VALUE!</v>
      </c>
      <c r="I924" t="e">
        <f>RigheOfferte[[#This Row],[Colore]]</f>
        <v>#VALUE!</v>
      </c>
      <c r="J924" t="e">
        <f>RigheOfferte[[#This Row],[Velocità]]</f>
        <v>#VALUE!</v>
      </c>
      <c r="K924" t="e">
        <f>RigheOfferte[[#This Row],[Superf.pz Mq]]</f>
        <v>#VALUE!</v>
      </c>
      <c r="L924" t="e">
        <f>RigheOfferte[[#This Row],[passo]]</f>
        <v>#VALUE!</v>
      </c>
      <c r="M924" t="e">
        <f>RigheOfferte[[#This Row],[nr.pezzi Telaio]]</f>
        <v>#VALUE!</v>
      </c>
      <c r="N924" t="e">
        <f>RigheOfferte[[#This Row],[nr.pezzi ora-unita]]</f>
        <v>#VALUE!</v>
      </c>
      <c r="O924" t="e">
        <f>Tabella1[[#This Row],[superificie]]*Resa</f>
        <v>#VALUE!</v>
      </c>
      <c r="P924" t="e">
        <f>Tabella1[[#This Row],[KgPezzo]]*Tabella1[[#This Row],[q.ta offerta]]</f>
        <v>#VALUE!</v>
      </c>
      <c r="Q924" t="e">
        <f>RigheOfferte[[#This Row],[QtaProtez]]</f>
        <v>#VALUE!</v>
      </c>
      <c r="R924" t="e">
        <f>RigheOfferte[[#This Row],[Tipo Protezione]]</f>
        <v>#VALUE!</v>
      </c>
    </row>
    <row r="925" spans="1:18">
      <c r="A925" t="e">
        <f>RigheOfferte[[#This Row],[Nprev]]</f>
        <v>#VALUE!</v>
      </c>
      <c r="B925" t="e">
        <f>RigheOfferte[[#This Row],[Nriga]]</f>
        <v>#VALUE!</v>
      </c>
      <c r="C925" t="e">
        <f>RigheOfferte[[#This Row],[Cliente]]</f>
        <v>#VALUE!</v>
      </c>
      <c r="D925" t="e">
        <f>RigheOfferte[[#This Row],[sub_cliente]]</f>
        <v>#VALUE!</v>
      </c>
      <c r="E925" t="e">
        <f>RigheOfferte[[#This Row],[cod.Art.]]</f>
        <v>#VALUE!</v>
      </c>
      <c r="F925" t="e">
        <f>RigheOfferte[[#This Row],[Descrizione]]</f>
        <v>#VALUE!</v>
      </c>
      <c r="G925" t="e">
        <f>RigheOfferte[[#This Row],[Q.ta'']]</f>
        <v>#VALUE!</v>
      </c>
      <c r="H925" t="e">
        <f>RigheOfferte[[#This Row],[Lavorazione]]</f>
        <v>#VALUE!</v>
      </c>
      <c r="I925" t="e">
        <f>RigheOfferte[[#This Row],[Colore]]</f>
        <v>#VALUE!</v>
      </c>
      <c r="J925" t="e">
        <f>RigheOfferte[[#This Row],[Velocità]]</f>
        <v>#VALUE!</v>
      </c>
      <c r="K925" t="e">
        <f>RigheOfferte[[#This Row],[Superf.pz Mq]]</f>
        <v>#VALUE!</v>
      </c>
      <c r="L925" t="e">
        <f>RigheOfferte[[#This Row],[passo]]</f>
        <v>#VALUE!</v>
      </c>
      <c r="M925" t="e">
        <f>RigheOfferte[[#This Row],[nr.pezzi Telaio]]</f>
        <v>#VALUE!</v>
      </c>
      <c r="N925" t="e">
        <f>RigheOfferte[[#This Row],[nr.pezzi ora-unita]]</f>
        <v>#VALUE!</v>
      </c>
      <c r="O925" t="e">
        <f>Tabella1[[#This Row],[superificie]]*Resa</f>
        <v>#VALUE!</v>
      </c>
      <c r="P925" t="e">
        <f>Tabella1[[#This Row],[KgPezzo]]*Tabella1[[#This Row],[q.ta offerta]]</f>
        <v>#VALUE!</v>
      </c>
      <c r="Q925" t="e">
        <f>RigheOfferte[[#This Row],[QtaProtez]]</f>
        <v>#VALUE!</v>
      </c>
      <c r="R925" t="e">
        <f>RigheOfferte[[#This Row],[Tipo Protezione]]</f>
        <v>#VALUE!</v>
      </c>
    </row>
    <row r="926" spans="1:18">
      <c r="A926" t="e">
        <f>RigheOfferte[[#This Row],[Nprev]]</f>
        <v>#VALUE!</v>
      </c>
      <c r="B926" t="e">
        <f>RigheOfferte[[#This Row],[Nriga]]</f>
        <v>#VALUE!</v>
      </c>
      <c r="C926" t="e">
        <f>RigheOfferte[[#This Row],[Cliente]]</f>
        <v>#VALUE!</v>
      </c>
      <c r="D926" t="e">
        <f>RigheOfferte[[#This Row],[sub_cliente]]</f>
        <v>#VALUE!</v>
      </c>
      <c r="E926" t="e">
        <f>RigheOfferte[[#This Row],[cod.Art.]]</f>
        <v>#VALUE!</v>
      </c>
      <c r="F926" t="e">
        <f>RigheOfferte[[#This Row],[Descrizione]]</f>
        <v>#VALUE!</v>
      </c>
      <c r="G926" t="e">
        <f>RigheOfferte[[#This Row],[Q.ta'']]</f>
        <v>#VALUE!</v>
      </c>
      <c r="H926" t="e">
        <f>RigheOfferte[[#This Row],[Lavorazione]]</f>
        <v>#VALUE!</v>
      </c>
      <c r="I926" t="e">
        <f>RigheOfferte[[#This Row],[Colore]]</f>
        <v>#VALUE!</v>
      </c>
      <c r="J926" t="e">
        <f>RigheOfferte[[#This Row],[Velocità]]</f>
        <v>#VALUE!</v>
      </c>
      <c r="K926" t="e">
        <f>RigheOfferte[[#This Row],[Superf.pz Mq]]</f>
        <v>#VALUE!</v>
      </c>
      <c r="L926" t="e">
        <f>RigheOfferte[[#This Row],[passo]]</f>
        <v>#VALUE!</v>
      </c>
      <c r="M926" t="e">
        <f>RigheOfferte[[#This Row],[nr.pezzi Telaio]]</f>
        <v>#VALUE!</v>
      </c>
      <c r="N926" t="e">
        <f>RigheOfferte[[#This Row],[nr.pezzi ora-unita]]</f>
        <v>#VALUE!</v>
      </c>
      <c r="O926" t="e">
        <f>Tabella1[[#This Row],[superificie]]*Resa</f>
        <v>#VALUE!</v>
      </c>
      <c r="P926" t="e">
        <f>Tabella1[[#This Row],[KgPezzo]]*Tabella1[[#This Row],[q.ta offerta]]</f>
        <v>#VALUE!</v>
      </c>
      <c r="Q926" t="e">
        <f>RigheOfferte[[#This Row],[QtaProtez]]</f>
        <v>#VALUE!</v>
      </c>
      <c r="R926" t="e">
        <f>RigheOfferte[[#This Row],[Tipo Protezione]]</f>
        <v>#VALUE!</v>
      </c>
    </row>
    <row r="927" spans="1:18">
      <c r="A927" t="e">
        <f>RigheOfferte[[#This Row],[Nprev]]</f>
        <v>#VALUE!</v>
      </c>
      <c r="B927" t="e">
        <f>RigheOfferte[[#This Row],[Nriga]]</f>
        <v>#VALUE!</v>
      </c>
      <c r="C927" t="e">
        <f>RigheOfferte[[#This Row],[Cliente]]</f>
        <v>#VALUE!</v>
      </c>
      <c r="D927" t="e">
        <f>RigheOfferte[[#This Row],[sub_cliente]]</f>
        <v>#VALUE!</v>
      </c>
      <c r="E927" t="e">
        <f>RigheOfferte[[#This Row],[cod.Art.]]</f>
        <v>#VALUE!</v>
      </c>
      <c r="F927" t="e">
        <f>RigheOfferte[[#This Row],[Descrizione]]</f>
        <v>#VALUE!</v>
      </c>
      <c r="G927" t="e">
        <f>RigheOfferte[[#This Row],[Q.ta'']]</f>
        <v>#VALUE!</v>
      </c>
      <c r="H927" t="e">
        <f>RigheOfferte[[#This Row],[Lavorazione]]</f>
        <v>#VALUE!</v>
      </c>
      <c r="I927" t="e">
        <f>RigheOfferte[[#This Row],[Colore]]</f>
        <v>#VALUE!</v>
      </c>
      <c r="J927" t="e">
        <f>RigheOfferte[[#This Row],[Velocità]]</f>
        <v>#VALUE!</v>
      </c>
      <c r="K927" t="e">
        <f>RigheOfferte[[#This Row],[Superf.pz Mq]]</f>
        <v>#VALUE!</v>
      </c>
      <c r="L927" t="e">
        <f>RigheOfferte[[#This Row],[passo]]</f>
        <v>#VALUE!</v>
      </c>
      <c r="M927" t="e">
        <f>RigheOfferte[[#This Row],[nr.pezzi Telaio]]</f>
        <v>#VALUE!</v>
      </c>
      <c r="N927" t="e">
        <f>RigheOfferte[[#This Row],[nr.pezzi ora-unita]]</f>
        <v>#VALUE!</v>
      </c>
      <c r="O927" t="e">
        <f>Tabella1[[#This Row],[superificie]]*Resa</f>
        <v>#VALUE!</v>
      </c>
      <c r="P927" t="e">
        <f>Tabella1[[#This Row],[KgPezzo]]*Tabella1[[#This Row],[q.ta offerta]]</f>
        <v>#VALUE!</v>
      </c>
      <c r="Q927" t="e">
        <f>RigheOfferte[[#This Row],[QtaProtez]]</f>
        <v>#VALUE!</v>
      </c>
      <c r="R927" t="e">
        <f>RigheOfferte[[#This Row],[Tipo Protezione]]</f>
        <v>#VALUE!</v>
      </c>
    </row>
    <row r="928" spans="1:18">
      <c r="A928" t="e">
        <f>RigheOfferte[[#This Row],[Nprev]]</f>
        <v>#VALUE!</v>
      </c>
      <c r="B928" t="e">
        <f>RigheOfferte[[#This Row],[Nriga]]</f>
        <v>#VALUE!</v>
      </c>
      <c r="C928" t="e">
        <f>RigheOfferte[[#This Row],[Cliente]]</f>
        <v>#VALUE!</v>
      </c>
      <c r="D928" t="e">
        <f>RigheOfferte[[#This Row],[sub_cliente]]</f>
        <v>#VALUE!</v>
      </c>
      <c r="E928" t="e">
        <f>RigheOfferte[[#This Row],[cod.Art.]]</f>
        <v>#VALUE!</v>
      </c>
      <c r="F928" t="e">
        <f>RigheOfferte[[#This Row],[Descrizione]]</f>
        <v>#VALUE!</v>
      </c>
      <c r="G928" t="e">
        <f>RigheOfferte[[#This Row],[Q.ta'']]</f>
        <v>#VALUE!</v>
      </c>
      <c r="H928" t="e">
        <f>RigheOfferte[[#This Row],[Lavorazione]]</f>
        <v>#VALUE!</v>
      </c>
      <c r="I928" t="e">
        <f>RigheOfferte[[#This Row],[Colore]]</f>
        <v>#VALUE!</v>
      </c>
      <c r="J928" t="e">
        <f>RigheOfferte[[#This Row],[Velocità]]</f>
        <v>#VALUE!</v>
      </c>
      <c r="K928" t="e">
        <f>RigheOfferte[[#This Row],[Superf.pz Mq]]</f>
        <v>#VALUE!</v>
      </c>
      <c r="L928" t="e">
        <f>RigheOfferte[[#This Row],[passo]]</f>
        <v>#VALUE!</v>
      </c>
      <c r="M928" t="e">
        <f>RigheOfferte[[#This Row],[nr.pezzi Telaio]]</f>
        <v>#VALUE!</v>
      </c>
      <c r="N928" t="e">
        <f>RigheOfferte[[#This Row],[nr.pezzi ora-unita]]</f>
        <v>#VALUE!</v>
      </c>
      <c r="O928" t="e">
        <f>Tabella1[[#This Row],[superificie]]*Resa</f>
        <v>#VALUE!</v>
      </c>
      <c r="P928" t="e">
        <f>Tabella1[[#This Row],[KgPezzo]]*Tabella1[[#This Row],[q.ta offerta]]</f>
        <v>#VALUE!</v>
      </c>
      <c r="Q928" t="e">
        <f>RigheOfferte[[#This Row],[QtaProtez]]</f>
        <v>#VALUE!</v>
      </c>
      <c r="R928" t="e">
        <f>RigheOfferte[[#This Row],[Tipo Protezione]]</f>
        <v>#VALUE!</v>
      </c>
    </row>
    <row r="929" spans="1:18">
      <c r="A929" t="e">
        <f>RigheOfferte[[#This Row],[Nprev]]</f>
        <v>#VALUE!</v>
      </c>
      <c r="B929" t="e">
        <f>RigheOfferte[[#This Row],[Nriga]]</f>
        <v>#VALUE!</v>
      </c>
      <c r="C929" t="e">
        <f>RigheOfferte[[#This Row],[Cliente]]</f>
        <v>#VALUE!</v>
      </c>
      <c r="D929" t="e">
        <f>RigheOfferte[[#This Row],[sub_cliente]]</f>
        <v>#VALUE!</v>
      </c>
      <c r="E929" t="e">
        <f>RigheOfferte[[#This Row],[cod.Art.]]</f>
        <v>#VALUE!</v>
      </c>
      <c r="F929" t="e">
        <f>RigheOfferte[[#This Row],[Descrizione]]</f>
        <v>#VALUE!</v>
      </c>
      <c r="G929" t="e">
        <f>RigheOfferte[[#This Row],[Q.ta'']]</f>
        <v>#VALUE!</v>
      </c>
      <c r="H929" t="e">
        <f>RigheOfferte[[#This Row],[Lavorazione]]</f>
        <v>#VALUE!</v>
      </c>
      <c r="I929" t="e">
        <f>RigheOfferte[[#This Row],[Colore]]</f>
        <v>#VALUE!</v>
      </c>
      <c r="J929" t="e">
        <f>RigheOfferte[[#This Row],[Velocità]]</f>
        <v>#VALUE!</v>
      </c>
      <c r="K929" t="e">
        <f>RigheOfferte[[#This Row],[Superf.pz Mq]]</f>
        <v>#VALUE!</v>
      </c>
      <c r="L929" t="e">
        <f>RigheOfferte[[#This Row],[passo]]</f>
        <v>#VALUE!</v>
      </c>
      <c r="M929" t="e">
        <f>RigheOfferte[[#This Row],[nr.pezzi Telaio]]</f>
        <v>#VALUE!</v>
      </c>
      <c r="N929" t="e">
        <f>RigheOfferte[[#This Row],[nr.pezzi ora-unita]]</f>
        <v>#VALUE!</v>
      </c>
      <c r="O929" t="e">
        <f>Tabella1[[#This Row],[superificie]]*Resa</f>
        <v>#VALUE!</v>
      </c>
      <c r="P929" t="e">
        <f>Tabella1[[#This Row],[KgPezzo]]*Tabella1[[#This Row],[q.ta offerta]]</f>
        <v>#VALUE!</v>
      </c>
      <c r="Q929" t="e">
        <f>RigheOfferte[[#This Row],[QtaProtez]]</f>
        <v>#VALUE!</v>
      </c>
      <c r="R929" t="e">
        <f>RigheOfferte[[#This Row],[Tipo Protezione]]</f>
        <v>#VALUE!</v>
      </c>
    </row>
    <row r="930" spans="1:18">
      <c r="A930" t="e">
        <f>RigheOfferte[[#This Row],[Nprev]]</f>
        <v>#VALUE!</v>
      </c>
      <c r="B930" t="e">
        <f>RigheOfferte[[#This Row],[Nriga]]</f>
        <v>#VALUE!</v>
      </c>
      <c r="C930" t="e">
        <f>RigheOfferte[[#This Row],[Cliente]]</f>
        <v>#VALUE!</v>
      </c>
      <c r="D930" t="e">
        <f>RigheOfferte[[#This Row],[sub_cliente]]</f>
        <v>#VALUE!</v>
      </c>
      <c r="E930" t="e">
        <f>RigheOfferte[[#This Row],[cod.Art.]]</f>
        <v>#VALUE!</v>
      </c>
      <c r="F930" t="e">
        <f>RigheOfferte[[#This Row],[Descrizione]]</f>
        <v>#VALUE!</v>
      </c>
      <c r="G930" t="e">
        <f>RigheOfferte[[#This Row],[Q.ta'']]</f>
        <v>#VALUE!</v>
      </c>
      <c r="H930" t="e">
        <f>RigheOfferte[[#This Row],[Lavorazione]]</f>
        <v>#VALUE!</v>
      </c>
      <c r="I930" t="e">
        <f>RigheOfferte[[#This Row],[Colore]]</f>
        <v>#VALUE!</v>
      </c>
      <c r="J930" t="e">
        <f>RigheOfferte[[#This Row],[Velocità]]</f>
        <v>#VALUE!</v>
      </c>
      <c r="K930" t="e">
        <f>RigheOfferte[[#This Row],[Superf.pz Mq]]</f>
        <v>#VALUE!</v>
      </c>
      <c r="L930" t="e">
        <f>RigheOfferte[[#This Row],[passo]]</f>
        <v>#VALUE!</v>
      </c>
      <c r="M930" t="e">
        <f>RigheOfferte[[#This Row],[nr.pezzi Telaio]]</f>
        <v>#VALUE!</v>
      </c>
      <c r="N930" t="e">
        <f>RigheOfferte[[#This Row],[nr.pezzi ora-unita]]</f>
        <v>#VALUE!</v>
      </c>
      <c r="O930" t="e">
        <f>Tabella1[[#This Row],[superificie]]*Resa</f>
        <v>#VALUE!</v>
      </c>
      <c r="P930" t="e">
        <f>Tabella1[[#This Row],[KgPezzo]]*Tabella1[[#This Row],[q.ta offerta]]</f>
        <v>#VALUE!</v>
      </c>
      <c r="Q930" t="e">
        <f>RigheOfferte[[#This Row],[QtaProtez]]</f>
        <v>#VALUE!</v>
      </c>
      <c r="R930" t="e">
        <f>RigheOfferte[[#This Row],[Tipo Protezione]]</f>
        <v>#VALUE!</v>
      </c>
    </row>
    <row r="931" spans="1:18">
      <c r="A931" t="e">
        <f>RigheOfferte[[#This Row],[Nprev]]</f>
        <v>#VALUE!</v>
      </c>
      <c r="B931" t="e">
        <f>RigheOfferte[[#This Row],[Nriga]]</f>
        <v>#VALUE!</v>
      </c>
      <c r="C931" t="e">
        <f>RigheOfferte[[#This Row],[Cliente]]</f>
        <v>#VALUE!</v>
      </c>
      <c r="D931" t="e">
        <f>RigheOfferte[[#This Row],[sub_cliente]]</f>
        <v>#VALUE!</v>
      </c>
      <c r="E931" t="e">
        <f>RigheOfferte[[#This Row],[cod.Art.]]</f>
        <v>#VALUE!</v>
      </c>
      <c r="F931" t="e">
        <f>RigheOfferte[[#This Row],[Descrizione]]</f>
        <v>#VALUE!</v>
      </c>
      <c r="G931" t="e">
        <f>RigheOfferte[[#This Row],[Q.ta'']]</f>
        <v>#VALUE!</v>
      </c>
      <c r="H931" t="e">
        <f>RigheOfferte[[#This Row],[Lavorazione]]</f>
        <v>#VALUE!</v>
      </c>
      <c r="I931" t="e">
        <f>RigheOfferte[[#This Row],[Colore]]</f>
        <v>#VALUE!</v>
      </c>
      <c r="J931" t="e">
        <f>RigheOfferte[[#This Row],[Velocità]]</f>
        <v>#VALUE!</v>
      </c>
      <c r="K931" t="e">
        <f>RigheOfferte[[#This Row],[Superf.pz Mq]]</f>
        <v>#VALUE!</v>
      </c>
      <c r="L931" t="e">
        <f>RigheOfferte[[#This Row],[passo]]</f>
        <v>#VALUE!</v>
      </c>
      <c r="M931" t="e">
        <f>RigheOfferte[[#This Row],[nr.pezzi Telaio]]</f>
        <v>#VALUE!</v>
      </c>
      <c r="N931" t="e">
        <f>RigheOfferte[[#This Row],[nr.pezzi ora-unita]]</f>
        <v>#VALUE!</v>
      </c>
      <c r="O931" t="e">
        <f>Tabella1[[#This Row],[superificie]]*Resa</f>
        <v>#VALUE!</v>
      </c>
      <c r="P931" t="e">
        <f>Tabella1[[#This Row],[KgPezzo]]*Tabella1[[#This Row],[q.ta offerta]]</f>
        <v>#VALUE!</v>
      </c>
      <c r="Q931" t="e">
        <f>RigheOfferte[[#This Row],[QtaProtez]]</f>
        <v>#VALUE!</v>
      </c>
      <c r="R931" t="e">
        <f>RigheOfferte[[#This Row],[Tipo Protezione]]</f>
        <v>#VALUE!</v>
      </c>
    </row>
    <row r="932" spans="1:18">
      <c r="A932" t="e">
        <f>RigheOfferte[[#This Row],[Nprev]]</f>
        <v>#VALUE!</v>
      </c>
      <c r="B932" t="e">
        <f>RigheOfferte[[#This Row],[Nriga]]</f>
        <v>#VALUE!</v>
      </c>
      <c r="C932" t="e">
        <f>RigheOfferte[[#This Row],[Cliente]]</f>
        <v>#VALUE!</v>
      </c>
      <c r="D932" t="e">
        <f>RigheOfferte[[#This Row],[sub_cliente]]</f>
        <v>#VALUE!</v>
      </c>
      <c r="E932" t="e">
        <f>RigheOfferte[[#This Row],[cod.Art.]]</f>
        <v>#VALUE!</v>
      </c>
      <c r="F932" t="e">
        <f>RigheOfferte[[#This Row],[Descrizione]]</f>
        <v>#VALUE!</v>
      </c>
      <c r="G932" t="e">
        <f>RigheOfferte[[#This Row],[Q.ta'']]</f>
        <v>#VALUE!</v>
      </c>
      <c r="H932" t="e">
        <f>RigheOfferte[[#This Row],[Lavorazione]]</f>
        <v>#VALUE!</v>
      </c>
      <c r="I932" t="e">
        <f>RigheOfferte[[#This Row],[Colore]]</f>
        <v>#VALUE!</v>
      </c>
      <c r="J932" t="e">
        <f>RigheOfferte[[#This Row],[Velocità]]</f>
        <v>#VALUE!</v>
      </c>
      <c r="K932" t="e">
        <f>RigheOfferte[[#This Row],[Superf.pz Mq]]</f>
        <v>#VALUE!</v>
      </c>
      <c r="L932" t="e">
        <f>RigheOfferte[[#This Row],[passo]]</f>
        <v>#VALUE!</v>
      </c>
      <c r="M932" t="e">
        <f>RigheOfferte[[#This Row],[nr.pezzi Telaio]]</f>
        <v>#VALUE!</v>
      </c>
      <c r="N932" t="e">
        <f>RigheOfferte[[#This Row],[nr.pezzi ora-unita]]</f>
        <v>#VALUE!</v>
      </c>
      <c r="O932" t="e">
        <f>Tabella1[[#This Row],[superificie]]*Resa</f>
        <v>#VALUE!</v>
      </c>
      <c r="P932" t="e">
        <f>Tabella1[[#This Row],[KgPezzo]]*Tabella1[[#This Row],[q.ta offerta]]</f>
        <v>#VALUE!</v>
      </c>
      <c r="Q932" t="e">
        <f>RigheOfferte[[#This Row],[QtaProtez]]</f>
        <v>#VALUE!</v>
      </c>
      <c r="R932" t="e">
        <f>RigheOfferte[[#This Row],[Tipo Protezione]]</f>
        <v>#VALUE!</v>
      </c>
    </row>
    <row r="933" spans="1:18">
      <c r="A933" t="e">
        <f>RigheOfferte[[#This Row],[Nprev]]</f>
        <v>#VALUE!</v>
      </c>
      <c r="B933" t="e">
        <f>RigheOfferte[[#This Row],[Nriga]]</f>
        <v>#VALUE!</v>
      </c>
      <c r="C933" t="e">
        <f>RigheOfferte[[#This Row],[Cliente]]</f>
        <v>#VALUE!</v>
      </c>
      <c r="D933" t="e">
        <f>RigheOfferte[[#This Row],[sub_cliente]]</f>
        <v>#VALUE!</v>
      </c>
      <c r="E933" t="e">
        <f>RigheOfferte[[#This Row],[cod.Art.]]</f>
        <v>#VALUE!</v>
      </c>
      <c r="F933" t="e">
        <f>RigheOfferte[[#This Row],[Descrizione]]</f>
        <v>#VALUE!</v>
      </c>
      <c r="G933" t="e">
        <f>RigheOfferte[[#This Row],[Q.ta'']]</f>
        <v>#VALUE!</v>
      </c>
      <c r="H933" t="e">
        <f>RigheOfferte[[#This Row],[Lavorazione]]</f>
        <v>#VALUE!</v>
      </c>
      <c r="I933" t="e">
        <f>RigheOfferte[[#This Row],[Colore]]</f>
        <v>#VALUE!</v>
      </c>
      <c r="J933" t="e">
        <f>RigheOfferte[[#This Row],[Velocità]]</f>
        <v>#VALUE!</v>
      </c>
      <c r="K933" t="e">
        <f>RigheOfferte[[#This Row],[Superf.pz Mq]]</f>
        <v>#VALUE!</v>
      </c>
      <c r="L933" t="e">
        <f>RigheOfferte[[#This Row],[passo]]</f>
        <v>#VALUE!</v>
      </c>
      <c r="M933" t="e">
        <f>RigheOfferte[[#This Row],[nr.pezzi Telaio]]</f>
        <v>#VALUE!</v>
      </c>
      <c r="N933" t="e">
        <f>RigheOfferte[[#This Row],[nr.pezzi ora-unita]]</f>
        <v>#VALUE!</v>
      </c>
      <c r="O933" t="e">
        <f>Tabella1[[#This Row],[superificie]]*Resa</f>
        <v>#VALUE!</v>
      </c>
      <c r="P933" t="e">
        <f>Tabella1[[#This Row],[KgPezzo]]*Tabella1[[#This Row],[q.ta offerta]]</f>
        <v>#VALUE!</v>
      </c>
      <c r="Q933" t="e">
        <f>RigheOfferte[[#This Row],[QtaProtez]]</f>
        <v>#VALUE!</v>
      </c>
      <c r="R933" t="e">
        <f>RigheOfferte[[#This Row],[Tipo Protezione]]</f>
        <v>#VALUE!</v>
      </c>
    </row>
    <row r="934" spans="1:18">
      <c r="A934" t="e">
        <f>RigheOfferte[[#This Row],[Nprev]]</f>
        <v>#VALUE!</v>
      </c>
      <c r="B934" t="e">
        <f>RigheOfferte[[#This Row],[Nriga]]</f>
        <v>#VALUE!</v>
      </c>
      <c r="C934" t="e">
        <f>RigheOfferte[[#This Row],[Cliente]]</f>
        <v>#VALUE!</v>
      </c>
      <c r="D934" t="e">
        <f>RigheOfferte[[#This Row],[sub_cliente]]</f>
        <v>#VALUE!</v>
      </c>
      <c r="E934" t="e">
        <f>RigheOfferte[[#This Row],[cod.Art.]]</f>
        <v>#VALUE!</v>
      </c>
      <c r="F934" t="e">
        <f>RigheOfferte[[#This Row],[Descrizione]]</f>
        <v>#VALUE!</v>
      </c>
      <c r="G934" t="e">
        <f>RigheOfferte[[#This Row],[Q.ta'']]</f>
        <v>#VALUE!</v>
      </c>
      <c r="H934" t="e">
        <f>RigheOfferte[[#This Row],[Lavorazione]]</f>
        <v>#VALUE!</v>
      </c>
      <c r="I934" t="e">
        <f>RigheOfferte[[#This Row],[Colore]]</f>
        <v>#VALUE!</v>
      </c>
      <c r="J934" t="e">
        <f>RigheOfferte[[#This Row],[Velocità]]</f>
        <v>#VALUE!</v>
      </c>
      <c r="K934" t="e">
        <f>RigheOfferte[[#This Row],[Superf.pz Mq]]</f>
        <v>#VALUE!</v>
      </c>
      <c r="L934" t="e">
        <f>RigheOfferte[[#This Row],[passo]]</f>
        <v>#VALUE!</v>
      </c>
      <c r="M934" t="e">
        <f>RigheOfferte[[#This Row],[nr.pezzi Telaio]]</f>
        <v>#VALUE!</v>
      </c>
      <c r="N934" t="e">
        <f>RigheOfferte[[#This Row],[nr.pezzi ora-unita]]</f>
        <v>#VALUE!</v>
      </c>
      <c r="O934" t="e">
        <f>Tabella1[[#This Row],[superificie]]*Resa</f>
        <v>#VALUE!</v>
      </c>
      <c r="P934" t="e">
        <f>Tabella1[[#This Row],[KgPezzo]]*Tabella1[[#This Row],[q.ta offerta]]</f>
        <v>#VALUE!</v>
      </c>
      <c r="Q934" t="e">
        <f>RigheOfferte[[#This Row],[QtaProtez]]</f>
        <v>#VALUE!</v>
      </c>
      <c r="R934" t="e">
        <f>RigheOfferte[[#This Row],[Tipo Protezione]]</f>
        <v>#VALUE!</v>
      </c>
    </row>
    <row r="935" spans="1:18">
      <c r="A935" t="e">
        <f>RigheOfferte[[#This Row],[Nprev]]</f>
        <v>#VALUE!</v>
      </c>
      <c r="B935" t="e">
        <f>RigheOfferte[[#This Row],[Nriga]]</f>
        <v>#VALUE!</v>
      </c>
      <c r="C935" t="e">
        <f>RigheOfferte[[#This Row],[Cliente]]</f>
        <v>#VALUE!</v>
      </c>
      <c r="D935" t="e">
        <f>RigheOfferte[[#This Row],[sub_cliente]]</f>
        <v>#VALUE!</v>
      </c>
      <c r="E935" t="e">
        <f>RigheOfferte[[#This Row],[cod.Art.]]</f>
        <v>#VALUE!</v>
      </c>
      <c r="F935" t="e">
        <f>RigheOfferte[[#This Row],[Descrizione]]</f>
        <v>#VALUE!</v>
      </c>
      <c r="G935" t="e">
        <f>RigheOfferte[[#This Row],[Q.ta'']]</f>
        <v>#VALUE!</v>
      </c>
      <c r="H935" t="e">
        <f>RigheOfferte[[#This Row],[Lavorazione]]</f>
        <v>#VALUE!</v>
      </c>
      <c r="I935" t="e">
        <f>RigheOfferte[[#This Row],[Colore]]</f>
        <v>#VALUE!</v>
      </c>
      <c r="J935" t="e">
        <f>RigheOfferte[[#This Row],[Velocità]]</f>
        <v>#VALUE!</v>
      </c>
      <c r="K935" t="e">
        <f>RigheOfferte[[#This Row],[Superf.pz Mq]]</f>
        <v>#VALUE!</v>
      </c>
      <c r="L935" t="e">
        <f>RigheOfferte[[#This Row],[passo]]</f>
        <v>#VALUE!</v>
      </c>
      <c r="M935" t="e">
        <f>RigheOfferte[[#This Row],[nr.pezzi Telaio]]</f>
        <v>#VALUE!</v>
      </c>
      <c r="N935" t="e">
        <f>RigheOfferte[[#This Row],[nr.pezzi ora-unita]]</f>
        <v>#VALUE!</v>
      </c>
      <c r="O935" t="e">
        <f>Tabella1[[#This Row],[superificie]]*Resa</f>
        <v>#VALUE!</v>
      </c>
      <c r="P935" t="e">
        <f>Tabella1[[#This Row],[KgPezzo]]*Tabella1[[#This Row],[q.ta offerta]]</f>
        <v>#VALUE!</v>
      </c>
      <c r="Q935" t="e">
        <f>RigheOfferte[[#This Row],[QtaProtez]]</f>
        <v>#VALUE!</v>
      </c>
      <c r="R935" t="e">
        <f>RigheOfferte[[#This Row],[Tipo Protezione]]</f>
        <v>#VALUE!</v>
      </c>
    </row>
    <row r="936" spans="1:18">
      <c r="A936" t="e">
        <f>RigheOfferte[[#This Row],[Nprev]]</f>
        <v>#VALUE!</v>
      </c>
      <c r="B936" t="e">
        <f>RigheOfferte[[#This Row],[Nriga]]</f>
        <v>#VALUE!</v>
      </c>
      <c r="C936" t="e">
        <f>RigheOfferte[[#This Row],[Cliente]]</f>
        <v>#VALUE!</v>
      </c>
      <c r="D936" t="e">
        <f>RigheOfferte[[#This Row],[sub_cliente]]</f>
        <v>#VALUE!</v>
      </c>
      <c r="E936" t="e">
        <f>RigheOfferte[[#This Row],[cod.Art.]]</f>
        <v>#VALUE!</v>
      </c>
      <c r="F936" t="e">
        <f>RigheOfferte[[#This Row],[Descrizione]]</f>
        <v>#VALUE!</v>
      </c>
      <c r="G936" t="e">
        <f>RigheOfferte[[#This Row],[Q.ta'']]</f>
        <v>#VALUE!</v>
      </c>
      <c r="H936" t="e">
        <f>RigheOfferte[[#This Row],[Lavorazione]]</f>
        <v>#VALUE!</v>
      </c>
      <c r="I936" t="e">
        <f>RigheOfferte[[#This Row],[Colore]]</f>
        <v>#VALUE!</v>
      </c>
      <c r="J936" t="e">
        <f>RigheOfferte[[#This Row],[Velocità]]</f>
        <v>#VALUE!</v>
      </c>
      <c r="K936" t="e">
        <f>RigheOfferte[[#This Row],[Superf.pz Mq]]</f>
        <v>#VALUE!</v>
      </c>
      <c r="L936" t="e">
        <f>RigheOfferte[[#This Row],[passo]]</f>
        <v>#VALUE!</v>
      </c>
      <c r="M936" t="e">
        <f>RigheOfferte[[#This Row],[nr.pezzi Telaio]]</f>
        <v>#VALUE!</v>
      </c>
      <c r="N936" t="e">
        <f>RigheOfferte[[#This Row],[nr.pezzi ora-unita]]</f>
        <v>#VALUE!</v>
      </c>
      <c r="O936" t="e">
        <f>Tabella1[[#This Row],[superificie]]*Resa</f>
        <v>#VALUE!</v>
      </c>
      <c r="P936" t="e">
        <f>Tabella1[[#This Row],[KgPezzo]]*Tabella1[[#This Row],[q.ta offerta]]</f>
        <v>#VALUE!</v>
      </c>
      <c r="Q936" t="e">
        <f>RigheOfferte[[#This Row],[QtaProtez]]</f>
        <v>#VALUE!</v>
      </c>
      <c r="R936" t="e">
        <f>RigheOfferte[[#This Row],[Tipo Protezione]]</f>
        <v>#VALUE!</v>
      </c>
    </row>
    <row r="937" spans="1:18">
      <c r="A937" t="e">
        <f>RigheOfferte[[#This Row],[Nprev]]</f>
        <v>#VALUE!</v>
      </c>
      <c r="B937" t="e">
        <f>RigheOfferte[[#This Row],[Nriga]]</f>
        <v>#VALUE!</v>
      </c>
      <c r="C937" t="e">
        <f>RigheOfferte[[#This Row],[Cliente]]</f>
        <v>#VALUE!</v>
      </c>
      <c r="D937" t="e">
        <f>RigheOfferte[[#This Row],[sub_cliente]]</f>
        <v>#VALUE!</v>
      </c>
      <c r="E937" t="e">
        <f>RigheOfferte[[#This Row],[cod.Art.]]</f>
        <v>#VALUE!</v>
      </c>
      <c r="F937" t="e">
        <f>RigheOfferte[[#This Row],[Descrizione]]</f>
        <v>#VALUE!</v>
      </c>
      <c r="G937" t="e">
        <f>RigheOfferte[[#This Row],[Q.ta'']]</f>
        <v>#VALUE!</v>
      </c>
      <c r="H937" t="e">
        <f>RigheOfferte[[#This Row],[Lavorazione]]</f>
        <v>#VALUE!</v>
      </c>
      <c r="I937" t="e">
        <f>RigheOfferte[[#This Row],[Colore]]</f>
        <v>#VALUE!</v>
      </c>
      <c r="J937" t="e">
        <f>RigheOfferte[[#This Row],[Velocità]]</f>
        <v>#VALUE!</v>
      </c>
      <c r="K937" t="e">
        <f>RigheOfferte[[#This Row],[Superf.pz Mq]]</f>
        <v>#VALUE!</v>
      </c>
      <c r="L937" t="e">
        <f>RigheOfferte[[#This Row],[passo]]</f>
        <v>#VALUE!</v>
      </c>
      <c r="M937" t="e">
        <f>RigheOfferte[[#This Row],[nr.pezzi Telaio]]</f>
        <v>#VALUE!</v>
      </c>
      <c r="N937" t="e">
        <f>RigheOfferte[[#This Row],[nr.pezzi ora-unita]]</f>
        <v>#VALUE!</v>
      </c>
      <c r="O937" t="e">
        <f>Tabella1[[#This Row],[superificie]]*Resa</f>
        <v>#VALUE!</v>
      </c>
      <c r="P937" t="e">
        <f>Tabella1[[#This Row],[KgPezzo]]*Tabella1[[#This Row],[q.ta offerta]]</f>
        <v>#VALUE!</v>
      </c>
      <c r="Q937" t="e">
        <f>RigheOfferte[[#This Row],[QtaProtez]]</f>
        <v>#VALUE!</v>
      </c>
      <c r="R937" t="e">
        <f>RigheOfferte[[#This Row],[Tipo Protezione]]</f>
        <v>#VALUE!</v>
      </c>
    </row>
    <row r="938" spans="1:18">
      <c r="A938" t="e">
        <f>RigheOfferte[[#This Row],[Nprev]]</f>
        <v>#VALUE!</v>
      </c>
      <c r="B938" t="e">
        <f>RigheOfferte[[#This Row],[Nriga]]</f>
        <v>#VALUE!</v>
      </c>
      <c r="C938" t="e">
        <f>RigheOfferte[[#This Row],[Cliente]]</f>
        <v>#VALUE!</v>
      </c>
      <c r="D938" t="e">
        <f>RigheOfferte[[#This Row],[sub_cliente]]</f>
        <v>#VALUE!</v>
      </c>
      <c r="E938" t="e">
        <f>RigheOfferte[[#This Row],[cod.Art.]]</f>
        <v>#VALUE!</v>
      </c>
      <c r="F938" t="e">
        <f>RigheOfferte[[#This Row],[Descrizione]]</f>
        <v>#VALUE!</v>
      </c>
      <c r="G938" t="e">
        <f>RigheOfferte[[#This Row],[Q.ta'']]</f>
        <v>#VALUE!</v>
      </c>
      <c r="H938" t="e">
        <f>RigheOfferte[[#This Row],[Lavorazione]]</f>
        <v>#VALUE!</v>
      </c>
      <c r="I938" t="e">
        <f>RigheOfferte[[#This Row],[Colore]]</f>
        <v>#VALUE!</v>
      </c>
      <c r="J938" t="e">
        <f>RigheOfferte[[#This Row],[Velocità]]</f>
        <v>#VALUE!</v>
      </c>
      <c r="K938" t="e">
        <f>RigheOfferte[[#This Row],[Superf.pz Mq]]</f>
        <v>#VALUE!</v>
      </c>
      <c r="L938" t="e">
        <f>RigheOfferte[[#This Row],[passo]]</f>
        <v>#VALUE!</v>
      </c>
      <c r="M938" t="e">
        <f>RigheOfferte[[#This Row],[nr.pezzi Telaio]]</f>
        <v>#VALUE!</v>
      </c>
      <c r="N938" t="e">
        <f>RigheOfferte[[#This Row],[nr.pezzi ora-unita]]</f>
        <v>#VALUE!</v>
      </c>
      <c r="O938" t="e">
        <f>Tabella1[[#This Row],[superificie]]*Resa</f>
        <v>#VALUE!</v>
      </c>
      <c r="P938" t="e">
        <f>Tabella1[[#This Row],[KgPezzo]]*Tabella1[[#This Row],[q.ta offerta]]</f>
        <v>#VALUE!</v>
      </c>
      <c r="Q938" t="e">
        <f>RigheOfferte[[#This Row],[QtaProtez]]</f>
        <v>#VALUE!</v>
      </c>
      <c r="R938" t="e">
        <f>RigheOfferte[[#This Row],[Tipo Protezione]]</f>
        <v>#VALUE!</v>
      </c>
    </row>
    <row r="939" spans="1:18">
      <c r="A939" t="e">
        <f>RigheOfferte[[#This Row],[Nprev]]</f>
        <v>#VALUE!</v>
      </c>
      <c r="B939" t="e">
        <f>RigheOfferte[[#This Row],[Nriga]]</f>
        <v>#VALUE!</v>
      </c>
      <c r="C939" t="e">
        <f>RigheOfferte[[#This Row],[Cliente]]</f>
        <v>#VALUE!</v>
      </c>
      <c r="D939" t="e">
        <f>RigheOfferte[[#This Row],[sub_cliente]]</f>
        <v>#VALUE!</v>
      </c>
      <c r="E939" t="e">
        <f>RigheOfferte[[#This Row],[cod.Art.]]</f>
        <v>#VALUE!</v>
      </c>
      <c r="F939" t="e">
        <f>RigheOfferte[[#This Row],[Descrizione]]</f>
        <v>#VALUE!</v>
      </c>
      <c r="G939" t="e">
        <f>RigheOfferte[[#This Row],[Q.ta'']]</f>
        <v>#VALUE!</v>
      </c>
      <c r="H939" t="e">
        <f>RigheOfferte[[#This Row],[Lavorazione]]</f>
        <v>#VALUE!</v>
      </c>
      <c r="I939" t="e">
        <f>RigheOfferte[[#This Row],[Colore]]</f>
        <v>#VALUE!</v>
      </c>
      <c r="J939" t="e">
        <f>RigheOfferte[[#This Row],[Velocità]]</f>
        <v>#VALUE!</v>
      </c>
      <c r="K939" t="e">
        <f>RigheOfferte[[#This Row],[Superf.pz Mq]]</f>
        <v>#VALUE!</v>
      </c>
      <c r="L939" t="e">
        <f>RigheOfferte[[#This Row],[passo]]</f>
        <v>#VALUE!</v>
      </c>
      <c r="M939" t="e">
        <f>RigheOfferte[[#This Row],[nr.pezzi Telaio]]</f>
        <v>#VALUE!</v>
      </c>
      <c r="N939" t="e">
        <f>RigheOfferte[[#This Row],[nr.pezzi ora-unita]]</f>
        <v>#VALUE!</v>
      </c>
      <c r="O939" t="e">
        <f>Tabella1[[#This Row],[superificie]]*Resa</f>
        <v>#VALUE!</v>
      </c>
      <c r="P939" t="e">
        <f>Tabella1[[#This Row],[KgPezzo]]*Tabella1[[#This Row],[q.ta offerta]]</f>
        <v>#VALUE!</v>
      </c>
      <c r="Q939" t="e">
        <f>RigheOfferte[[#This Row],[QtaProtez]]</f>
        <v>#VALUE!</v>
      </c>
      <c r="R939" t="e">
        <f>RigheOfferte[[#This Row],[Tipo Protezione]]</f>
        <v>#VALUE!</v>
      </c>
    </row>
    <row r="940" spans="1:18">
      <c r="A940" t="e">
        <f>RigheOfferte[[#This Row],[Nprev]]</f>
        <v>#VALUE!</v>
      </c>
      <c r="B940" t="e">
        <f>RigheOfferte[[#This Row],[Nriga]]</f>
        <v>#VALUE!</v>
      </c>
      <c r="C940" t="e">
        <f>RigheOfferte[[#This Row],[Cliente]]</f>
        <v>#VALUE!</v>
      </c>
      <c r="D940" t="e">
        <f>RigheOfferte[[#This Row],[sub_cliente]]</f>
        <v>#VALUE!</v>
      </c>
      <c r="E940" t="e">
        <f>RigheOfferte[[#This Row],[cod.Art.]]</f>
        <v>#VALUE!</v>
      </c>
      <c r="F940" t="e">
        <f>RigheOfferte[[#This Row],[Descrizione]]</f>
        <v>#VALUE!</v>
      </c>
      <c r="G940" t="e">
        <f>RigheOfferte[[#This Row],[Q.ta'']]</f>
        <v>#VALUE!</v>
      </c>
      <c r="H940" t="e">
        <f>RigheOfferte[[#This Row],[Lavorazione]]</f>
        <v>#VALUE!</v>
      </c>
      <c r="I940" t="e">
        <f>RigheOfferte[[#This Row],[Colore]]</f>
        <v>#VALUE!</v>
      </c>
      <c r="J940" t="e">
        <f>RigheOfferte[[#This Row],[Velocità]]</f>
        <v>#VALUE!</v>
      </c>
      <c r="K940" t="e">
        <f>RigheOfferte[[#This Row],[Superf.pz Mq]]</f>
        <v>#VALUE!</v>
      </c>
      <c r="L940" t="e">
        <f>RigheOfferte[[#This Row],[passo]]</f>
        <v>#VALUE!</v>
      </c>
      <c r="M940" t="e">
        <f>RigheOfferte[[#This Row],[nr.pezzi Telaio]]</f>
        <v>#VALUE!</v>
      </c>
      <c r="N940" t="e">
        <f>RigheOfferte[[#This Row],[nr.pezzi ora-unita]]</f>
        <v>#VALUE!</v>
      </c>
      <c r="O940" t="e">
        <f>Tabella1[[#This Row],[superificie]]*Resa</f>
        <v>#VALUE!</v>
      </c>
      <c r="P940" t="e">
        <f>Tabella1[[#This Row],[KgPezzo]]*Tabella1[[#This Row],[q.ta offerta]]</f>
        <v>#VALUE!</v>
      </c>
      <c r="Q940" t="e">
        <f>RigheOfferte[[#This Row],[QtaProtez]]</f>
        <v>#VALUE!</v>
      </c>
      <c r="R940" t="e">
        <f>RigheOfferte[[#This Row],[Tipo Protezione]]</f>
        <v>#VALUE!</v>
      </c>
    </row>
    <row r="941" spans="1:18">
      <c r="A941" t="e">
        <f>RigheOfferte[[#This Row],[Nprev]]</f>
        <v>#VALUE!</v>
      </c>
      <c r="B941" t="e">
        <f>RigheOfferte[[#This Row],[Nriga]]</f>
        <v>#VALUE!</v>
      </c>
      <c r="C941" t="e">
        <f>RigheOfferte[[#This Row],[Cliente]]</f>
        <v>#VALUE!</v>
      </c>
      <c r="D941" t="e">
        <f>RigheOfferte[[#This Row],[sub_cliente]]</f>
        <v>#VALUE!</v>
      </c>
      <c r="E941" t="e">
        <f>RigheOfferte[[#This Row],[cod.Art.]]</f>
        <v>#VALUE!</v>
      </c>
      <c r="F941" t="e">
        <f>RigheOfferte[[#This Row],[Descrizione]]</f>
        <v>#VALUE!</v>
      </c>
      <c r="G941" t="e">
        <f>RigheOfferte[[#This Row],[Q.ta'']]</f>
        <v>#VALUE!</v>
      </c>
      <c r="H941" t="e">
        <f>RigheOfferte[[#This Row],[Lavorazione]]</f>
        <v>#VALUE!</v>
      </c>
      <c r="I941" t="e">
        <f>RigheOfferte[[#This Row],[Colore]]</f>
        <v>#VALUE!</v>
      </c>
      <c r="J941" t="e">
        <f>RigheOfferte[[#This Row],[Velocità]]</f>
        <v>#VALUE!</v>
      </c>
      <c r="K941" t="e">
        <f>RigheOfferte[[#This Row],[Superf.pz Mq]]</f>
        <v>#VALUE!</v>
      </c>
      <c r="L941" t="e">
        <f>RigheOfferte[[#This Row],[passo]]</f>
        <v>#VALUE!</v>
      </c>
      <c r="M941" t="e">
        <f>RigheOfferte[[#This Row],[nr.pezzi Telaio]]</f>
        <v>#VALUE!</v>
      </c>
      <c r="N941" t="e">
        <f>RigheOfferte[[#This Row],[nr.pezzi ora-unita]]</f>
        <v>#VALUE!</v>
      </c>
      <c r="O941" t="e">
        <f>Tabella1[[#This Row],[superificie]]*Resa</f>
        <v>#VALUE!</v>
      </c>
      <c r="P941" t="e">
        <f>Tabella1[[#This Row],[KgPezzo]]*Tabella1[[#This Row],[q.ta offerta]]</f>
        <v>#VALUE!</v>
      </c>
      <c r="Q941" t="e">
        <f>RigheOfferte[[#This Row],[QtaProtez]]</f>
        <v>#VALUE!</v>
      </c>
      <c r="R941" t="e">
        <f>RigheOfferte[[#This Row],[Tipo Protezione]]</f>
        <v>#VALUE!</v>
      </c>
    </row>
    <row r="942" spans="1:18">
      <c r="A942" t="e">
        <f>RigheOfferte[[#This Row],[Nprev]]</f>
        <v>#VALUE!</v>
      </c>
      <c r="B942" t="e">
        <f>RigheOfferte[[#This Row],[Nriga]]</f>
        <v>#VALUE!</v>
      </c>
      <c r="C942" t="e">
        <f>RigheOfferte[[#This Row],[Cliente]]</f>
        <v>#VALUE!</v>
      </c>
      <c r="D942" t="e">
        <f>RigheOfferte[[#This Row],[sub_cliente]]</f>
        <v>#VALUE!</v>
      </c>
      <c r="E942" t="e">
        <f>RigheOfferte[[#This Row],[cod.Art.]]</f>
        <v>#VALUE!</v>
      </c>
      <c r="F942" t="e">
        <f>RigheOfferte[[#This Row],[Descrizione]]</f>
        <v>#VALUE!</v>
      </c>
      <c r="G942" t="e">
        <f>RigheOfferte[[#This Row],[Q.ta'']]</f>
        <v>#VALUE!</v>
      </c>
      <c r="H942" t="e">
        <f>RigheOfferte[[#This Row],[Lavorazione]]</f>
        <v>#VALUE!</v>
      </c>
      <c r="I942" t="e">
        <f>RigheOfferte[[#This Row],[Colore]]</f>
        <v>#VALUE!</v>
      </c>
      <c r="J942" t="e">
        <f>RigheOfferte[[#This Row],[Velocità]]</f>
        <v>#VALUE!</v>
      </c>
      <c r="K942" t="e">
        <f>RigheOfferte[[#This Row],[Superf.pz Mq]]</f>
        <v>#VALUE!</v>
      </c>
      <c r="L942" t="e">
        <f>RigheOfferte[[#This Row],[passo]]</f>
        <v>#VALUE!</v>
      </c>
      <c r="M942" t="e">
        <f>RigheOfferte[[#This Row],[nr.pezzi Telaio]]</f>
        <v>#VALUE!</v>
      </c>
      <c r="N942" t="e">
        <f>RigheOfferte[[#This Row],[nr.pezzi ora-unita]]</f>
        <v>#VALUE!</v>
      </c>
      <c r="O942" t="e">
        <f>Tabella1[[#This Row],[superificie]]*Resa</f>
        <v>#VALUE!</v>
      </c>
      <c r="P942" t="e">
        <f>Tabella1[[#This Row],[KgPezzo]]*Tabella1[[#This Row],[q.ta offerta]]</f>
        <v>#VALUE!</v>
      </c>
      <c r="Q942" t="e">
        <f>RigheOfferte[[#This Row],[QtaProtez]]</f>
        <v>#VALUE!</v>
      </c>
      <c r="R942" t="e">
        <f>RigheOfferte[[#This Row],[Tipo Protezione]]</f>
        <v>#VALUE!</v>
      </c>
    </row>
    <row r="943" spans="1:18">
      <c r="A943" t="e">
        <f>RigheOfferte[[#This Row],[Nprev]]</f>
        <v>#VALUE!</v>
      </c>
      <c r="B943" t="e">
        <f>RigheOfferte[[#This Row],[Nriga]]</f>
        <v>#VALUE!</v>
      </c>
      <c r="C943" t="e">
        <f>RigheOfferte[[#This Row],[Cliente]]</f>
        <v>#VALUE!</v>
      </c>
      <c r="D943" t="e">
        <f>RigheOfferte[[#This Row],[sub_cliente]]</f>
        <v>#VALUE!</v>
      </c>
      <c r="E943" t="e">
        <f>RigheOfferte[[#This Row],[cod.Art.]]</f>
        <v>#VALUE!</v>
      </c>
      <c r="F943" t="e">
        <f>RigheOfferte[[#This Row],[Descrizione]]</f>
        <v>#VALUE!</v>
      </c>
      <c r="G943" t="e">
        <f>RigheOfferte[[#This Row],[Q.ta'']]</f>
        <v>#VALUE!</v>
      </c>
      <c r="H943" t="e">
        <f>RigheOfferte[[#This Row],[Lavorazione]]</f>
        <v>#VALUE!</v>
      </c>
      <c r="I943" t="e">
        <f>RigheOfferte[[#This Row],[Colore]]</f>
        <v>#VALUE!</v>
      </c>
      <c r="J943" t="e">
        <f>RigheOfferte[[#This Row],[Velocità]]</f>
        <v>#VALUE!</v>
      </c>
      <c r="K943" t="e">
        <f>RigheOfferte[[#This Row],[Superf.pz Mq]]</f>
        <v>#VALUE!</v>
      </c>
      <c r="L943" t="e">
        <f>RigheOfferte[[#This Row],[passo]]</f>
        <v>#VALUE!</v>
      </c>
      <c r="M943" t="e">
        <f>RigheOfferte[[#This Row],[nr.pezzi Telaio]]</f>
        <v>#VALUE!</v>
      </c>
      <c r="N943" t="e">
        <f>RigheOfferte[[#This Row],[nr.pezzi ora-unita]]</f>
        <v>#VALUE!</v>
      </c>
      <c r="O943" t="e">
        <f>Tabella1[[#This Row],[superificie]]*Resa</f>
        <v>#VALUE!</v>
      </c>
      <c r="P943" t="e">
        <f>Tabella1[[#This Row],[KgPezzo]]*Tabella1[[#This Row],[q.ta offerta]]</f>
        <v>#VALUE!</v>
      </c>
      <c r="Q943" t="e">
        <f>RigheOfferte[[#This Row],[QtaProtez]]</f>
        <v>#VALUE!</v>
      </c>
      <c r="R943" t="e">
        <f>RigheOfferte[[#This Row],[Tipo Protezione]]</f>
        <v>#VALUE!</v>
      </c>
    </row>
    <row r="944" spans="1:18">
      <c r="A944" t="e">
        <f>RigheOfferte[[#This Row],[Nprev]]</f>
        <v>#VALUE!</v>
      </c>
      <c r="B944" t="e">
        <f>RigheOfferte[[#This Row],[Nriga]]</f>
        <v>#VALUE!</v>
      </c>
      <c r="C944" t="e">
        <f>RigheOfferte[[#This Row],[Cliente]]</f>
        <v>#VALUE!</v>
      </c>
      <c r="D944" t="e">
        <f>RigheOfferte[[#This Row],[sub_cliente]]</f>
        <v>#VALUE!</v>
      </c>
      <c r="E944" t="e">
        <f>RigheOfferte[[#This Row],[cod.Art.]]</f>
        <v>#VALUE!</v>
      </c>
      <c r="F944" t="e">
        <f>RigheOfferte[[#This Row],[Descrizione]]</f>
        <v>#VALUE!</v>
      </c>
      <c r="G944" t="e">
        <f>RigheOfferte[[#This Row],[Q.ta'']]</f>
        <v>#VALUE!</v>
      </c>
      <c r="H944" t="e">
        <f>RigheOfferte[[#This Row],[Lavorazione]]</f>
        <v>#VALUE!</v>
      </c>
      <c r="I944" t="e">
        <f>RigheOfferte[[#This Row],[Colore]]</f>
        <v>#VALUE!</v>
      </c>
      <c r="J944" t="e">
        <f>RigheOfferte[[#This Row],[Velocità]]</f>
        <v>#VALUE!</v>
      </c>
      <c r="K944" t="e">
        <f>RigheOfferte[[#This Row],[Superf.pz Mq]]</f>
        <v>#VALUE!</v>
      </c>
      <c r="L944" t="e">
        <f>RigheOfferte[[#This Row],[passo]]</f>
        <v>#VALUE!</v>
      </c>
      <c r="M944" t="e">
        <f>RigheOfferte[[#This Row],[nr.pezzi Telaio]]</f>
        <v>#VALUE!</v>
      </c>
      <c r="N944" t="e">
        <f>RigheOfferte[[#This Row],[nr.pezzi ora-unita]]</f>
        <v>#VALUE!</v>
      </c>
      <c r="O944" t="e">
        <f>Tabella1[[#This Row],[superificie]]*Resa</f>
        <v>#VALUE!</v>
      </c>
      <c r="P944" t="e">
        <f>Tabella1[[#This Row],[KgPezzo]]*Tabella1[[#This Row],[q.ta offerta]]</f>
        <v>#VALUE!</v>
      </c>
      <c r="Q944" t="e">
        <f>RigheOfferte[[#This Row],[QtaProtez]]</f>
        <v>#VALUE!</v>
      </c>
      <c r="R944" t="e">
        <f>RigheOfferte[[#This Row],[Tipo Protezione]]</f>
        <v>#VALUE!</v>
      </c>
    </row>
    <row r="945" spans="1:18">
      <c r="A945" t="e">
        <f>RigheOfferte[[#This Row],[Nprev]]</f>
        <v>#VALUE!</v>
      </c>
      <c r="B945" t="e">
        <f>RigheOfferte[[#This Row],[Nriga]]</f>
        <v>#VALUE!</v>
      </c>
      <c r="C945" t="e">
        <f>RigheOfferte[[#This Row],[Cliente]]</f>
        <v>#VALUE!</v>
      </c>
      <c r="D945" t="e">
        <f>RigheOfferte[[#This Row],[sub_cliente]]</f>
        <v>#VALUE!</v>
      </c>
      <c r="E945" t="e">
        <f>RigheOfferte[[#This Row],[cod.Art.]]</f>
        <v>#VALUE!</v>
      </c>
      <c r="F945" t="e">
        <f>RigheOfferte[[#This Row],[Descrizione]]</f>
        <v>#VALUE!</v>
      </c>
      <c r="G945" t="e">
        <f>RigheOfferte[[#This Row],[Q.ta'']]</f>
        <v>#VALUE!</v>
      </c>
      <c r="H945" t="e">
        <f>RigheOfferte[[#This Row],[Lavorazione]]</f>
        <v>#VALUE!</v>
      </c>
      <c r="I945" t="e">
        <f>RigheOfferte[[#This Row],[Colore]]</f>
        <v>#VALUE!</v>
      </c>
      <c r="J945" t="e">
        <f>RigheOfferte[[#This Row],[Velocità]]</f>
        <v>#VALUE!</v>
      </c>
      <c r="K945" t="e">
        <f>RigheOfferte[[#This Row],[Superf.pz Mq]]</f>
        <v>#VALUE!</v>
      </c>
      <c r="L945" t="e">
        <f>RigheOfferte[[#This Row],[passo]]</f>
        <v>#VALUE!</v>
      </c>
      <c r="M945" t="e">
        <f>RigheOfferte[[#This Row],[nr.pezzi Telaio]]</f>
        <v>#VALUE!</v>
      </c>
      <c r="N945" t="e">
        <f>RigheOfferte[[#This Row],[nr.pezzi ora-unita]]</f>
        <v>#VALUE!</v>
      </c>
      <c r="O945" t="e">
        <f>Tabella1[[#This Row],[superificie]]*Resa</f>
        <v>#VALUE!</v>
      </c>
      <c r="P945" t="e">
        <f>Tabella1[[#This Row],[KgPezzo]]*Tabella1[[#This Row],[q.ta offerta]]</f>
        <v>#VALUE!</v>
      </c>
      <c r="Q945" t="e">
        <f>RigheOfferte[[#This Row],[QtaProtez]]</f>
        <v>#VALUE!</v>
      </c>
      <c r="R945" t="e">
        <f>RigheOfferte[[#This Row],[Tipo Protezione]]</f>
        <v>#VALUE!</v>
      </c>
    </row>
    <row r="946" spans="1:18">
      <c r="A946" t="e">
        <f>RigheOfferte[[#This Row],[Nprev]]</f>
        <v>#VALUE!</v>
      </c>
      <c r="B946" t="e">
        <f>RigheOfferte[[#This Row],[Nriga]]</f>
        <v>#VALUE!</v>
      </c>
      <c r="C946" t="e">
        <f>RigheOfferte[[#This Row],[Cliente]]</f>
        <v>#VALUE!</v>
      </c>
      <c r="D946" t="e">
        <f>RigheOfferte[[#This Row],[sub_cliente]]</f>
        <v>#VALUE!</v>
      </c>
      <c r="E946" t="e">
        <f>RigheOfferte[[#This Row],[cod.Art.]]</f>
        <v>#VALUE!</v>
      </c>
      <c r="F946" t="e">
        <f>RigheOfferte[[#This Row],[Descrizione]]</f>
        <v>#VALUE!</v>
      </c>
      <c r="G946" t="e">
        <f>RigheOfferte[[#This Row],[Q.ta'']]</f>
        <v>#VALUE!</v>
      </c>
      <c r="H946" t="e">
        <f>RigheOfferte[[#This Row],[Lavorazione]]</f>
        <v>#VALUE!</v>
      </c>
      <c r="I946" t="e">
        <f>RigheOfferte[[#This Row],[Colore]]</f>
        <v>#VALUE!</v>
      </c>
      <c r="J946" t="e">
        <f>RigheOfferte[[#This Row],[Velocità]]</f>
        <v>#VALUE!</v>
      </c>
      <c r="K946" t="e">
        <f>RigheOfferte[[#This Row],[Superf.pz Mq]]</f>
        <v>#VALUE!</v>
      </c>
      <c r="L946" t="e">
        <f>RigheOfferte[[#This Row],[passo]]</f>
        <v>#VALUE!</v>
      </c>
      <c r="M946" t="e">
        <f>RigheOfferte[[#This Row],[nr.pezzi Telaio]]</f>
        <v>#VALUE!</v>
      </c>
      <c r="N946" t="e">
        <f>RigheOfferte[[#This Row],[nr.pezzi ora-unita]]</f>
        <v>#VALUE!</v>
      </c>
      <c r="O946" t="e">
        <f>Tabella1[[#This Row],[superificie]]*Resa</f>
        <v>#VALUE!</v>
      </c>
      <c r="P946" t="e">
        <f>Tabella1[[#This Row],[KgPezzo]]*Tabella1[[#This Row],[q.ta offerta]]</f>
        <v>#VALUE!</v>
      </c>
      <c r="Q946" t="e">
        <f>RigheOfferte[[#This Row],[QtaProtez]]</f>
        <v>#VALUE!</v>
      </c>
      <c r="R946" t="e">
        <f>RigheOfferte[[#This Row],[Tipo Protezione]]</f>
        <v>#VALUE!</v>
      </c>
    </row>
    <row r="947" spans="1:18">
      <c r="A947" t="e">
        <f>RigheOfferte[[#This Row],[Nprev]]</f>
        <v>#VALUE!</v>
      </c>
      <c r="B947" t="e">
        <f>RigheOfferte[[#This Row],[Nriga]]</f>
        <v>#VALUE!</v>
      </c>
      <c r="C947" t="e">
        <f>RigheOfferte[[#This Row],[Cliente]]</f>
        <v>#VALUE!</v>
      </c>
      <c r="D947" t="e">
        <f>RigheOfferte[[#This Row],[sub_cliente]]</f>
        <v>#VALUE!</v>
      </c>
      <c r="E947" t="e">
        <f>RigheOfferte[[#This Row],[cod.Art.]]</f>
        <v>#VALUE!</v>
      </c>
      <c r="F947" t="e">
        <f>RigheOfferte[[#This Row],[Descrizione]]</f>
        <v>#VALUE!</v>
      </c>
      <c r="G947" t="e">
        <f>RigheOfferte[[#This Row],[Q.ta'']]</f>
        <v>#VALUE!</v>
      </c>
      <c r="H947" t="e">
        <f>RigheOfferte[[#This Row],[Lavorazione]]</f>
        <v>#VALUE!</v>
      </c>
      <c r="I947" t="e">
        <f>RigheOfferte[[#This Row],[Colore]]</f>
        <v>#VALUE!</v>
      </c>
      <c r="J947" t="e">
        <f>RigheOfferte[[#This Row],[Velocità]]</f>
        <v>#VALUE!</v>
      </c>
      <c r="K947" t="e">
        <f>RigheOfferte[[#This Row],[Superf.pz Mq]]</f>
        <v>#VALUE!</v>
      </c>
      <c r="L947" t="e">
        <f>RigheOfferte[[#This Row],[passo]]</f>
        <v>#VALUE!</v>
      </c>
      <c r="M947" t="e">
        <f>RigheOfferte[[#This Row],[nr.pezzi Telaio]]</f>
        <v>#VALUE!</v>
      </c>
      <c r="N947" t="e">
        <f>RigheOfferte[[#This Row],[nr.pezzi ora-unita]]</f>
        <v>#VALUE!</v>
      </c>
      <c r="O947" t="e">
        <f>Tabella1[[#This Row],[superificie]]*Resa</f>
        <v>#VALUE!</v>
      </c>
      <c r="P947" t="e">
        <f>Tabella1[[#This Row],[KgPezzo]]*Tabella1[[#This Row],[q.ta offerta]]</f>
        <v>#VALUE!</v>
      </c>
      <c r="Q947" t="e">
        <f>RigheOfferte[[#This Row],[QtaProtez]]</f>
        <v>#VALUE!</v>
      </c>
      <c r="R947" t="e">
        <f>RigheOfferte[[#This Row],[Tipo Protezione]]</f>
        <v>#VALUE!</v>
      </c>
    </row>
    <row r="948" spans="1:18">
      <c r="A948" t="e">
        <f>RigheOfferte[[#This Row],[Nprev]]</f>
        <v>#VALUE!</v>
      </c>
      <c r="B948" t="e">
        <f>RigheOfferte[[#This Row],[Nriga]]</f>
        <v>#VALUE!</v>
      </c>
      <c r="C948" t="e">
        <f>RigheOfferte[[#This Row],[Cliente]]</f>
        <v>#VALUE!</v>
      </c>
      <c r="D948" t="e">
        <f>RigheOfferte[[#This Row],[sub_cliente]]</f>
        <v>#VALUE!</v>
      </c>
      <c r="E948" t="e">
        <f>RigheOfferte[[#This Row],[cod.Art.]]</f>
        <v>#VALUE!</v>
      </c>
      <c r="F948" t="e">
        <f>RigheOfferte[[#This Row],[Descrizione]]</f>
        <v>#VALUE!</v>
      </c>
      <c r="G948" t="e">
        <f>RigheOfferte[[#This Row],[Q.ta'']]</f>
        <v>#VALUE!</v>
      </c>
      <c r="H948" t="e">
        <f>RigheOfferte[[#This Row],[Lavorazione]]</f>
        <v>#VALUE!</v>
      </c>
      <c r="I948" t="e">
        <f>RigheOfferte[[#This Row],[Colore]]</f>
        <v>#VALUE!</v>
      </c>
      <c r="J948" t="e">
        <f>RigheOfferte[[#This Row],[Velocità]]</f>
        <v>#VALUE!</v>
      </c>
      <c r="K948" t="e">
        <f>RigheOfferte[[#This Row],[Superf.pz Mq]]</f>
        <v>#VALUE!</v>
      </c>
      <c r="L948" t="e">
        <f>RigheOfferte[[#This Row],[passo]]</f>
        <v>#VALUE!</v>
      </c>
      <c r="M948" t="e">
        <f>RigheOfferte[[#This Row],[nr.pezzi Telaio]]</f>
        <v>#VALUE!</v>
      </c>
      <c r="N948" t="e">
        <f>RigheOfferte[[#This Row],[nr.pezzi ora-unita]]</f>
        <v>#VALUE!</v>
      </c>
      <c r="O948" t="e">
        <f>Tabella1[[#This Row],[superificie]]*Resa</f>
        <v>#VALUE!</v>
      </c>
      <c r="P948" t="e">
        <f>Tabella1[[#This Row],[KgPezzo]]*Tabella1[[#This Row],[q.ta offerta]]</f>
        <v>#VALUE!</v>
      </c>
      <c r="Q948" t="e">
        <f>RigheOfferte[[#This Row],[QtaProtez]]</f>
        <v>#VALUE!</v>
      </c>
      <c r="R948" t="e">
        <f>RigheOfferte[[#This Row],[Tipo Protezione]]</f>
        <v>#VALUE!</v>
      </c>
    </row>
    <row r="949" spans="1:18">
      <c r="A949" t="e">
        <f>RigheOfferte[[#This Row],[Nprev]]</f>
        <v>#VALUE!</v>
      </c>
      <c r="B949" t="e">
        <f>RigheOfferte[[#This Row],[Nriga]]</f>
        <v>#VALUE!</v>
      </c>
      <c r="C949" t="e">
        <f>RigheOfferte[[#This Row],[Cliente]]</f>
        <v>#VALUE!</v>
      </c>
      <c r="D949" t="e">
        <f>RigheOfferte[[#This Row],[sub_cliente]]</f>
        <v>#VALUE!</v>
      </c>
      <c r="E949" t="e">
        <f>RigheOfferte[[#This Row],[cod.Art.]]</f>
        <v>#VALUE!</v>
      </c>
      <c r="F949" t="e">
        <f>RigheOfferte[[#This Row],[Descrizione]]</f>
        <v>#VALUE!</v>
      </c>
      <c r="G949" t="e">
        <f>RigheOfferte[[#This Row],[Q.ta'']]</f>
        <v>#VALUE!</v>
      </c>
      <c r="H949" t="e">
        <f>RigheOfferte[[#This Row],[Lavorazione]]</f>
        <v>#VALUE!</v>
      </c>
      <c r="I949" t="e">
        <f>RigheOfferte[[#This Row],[Colore]]</f>
        <v>#VALUE!</v>
      </c>
      <c r="J949" t="e">
        <f>RigheOfferte[[#This Row],[Velocità]]</f>
        <v>#VALUE!</v>
      </c>
      <c r="K949" t="e">
        <f>RigheOfferte[[#This Row],[Superf.pz Mq]]</f>
        <v>#VALUE!</v>
      </c>
      <c r="L949" t="e">
        <f>RigheOfferte[[#This Row],[passo]]</f>
        <v>#VALUE!</v>
      </c>
      <c r="M949" t="e">
        <f>RigheOfferte[[#This Row],[nr.pezzi Telaio]]</f>
        <v>#VALUE!</v>
      </c>
      <c r="N949" t="e">
        <f>RigheOfferte[[#This Row],[nr.pezzi ora-unita]]</f>
        <v>#VALUE!</v>
      </c>
      <c r="O949" t="e">
        <f>Tabella1[[#This Row],[superificie]]*Resa</f>
        <v>#VALUE!</v>
      </c>
      <c r="P949" t="e">
        <f>Tabella1[[#This Row],[KgPezzo]]*Tabella1[[#This Row],[q.ta offerta]]</f>
        <v>#VALUE!</v>
      </c>
      <c r="Q949" t="e">
        <f>RigheOfferte[[#This Row],[QtaProtez]]</f>
        <v>#VALUE!</v>
      </c>
      <c r="R949" t="e">
        <f>RigheOfferte[[#This Row],[Tipo Protezione]]</f>
        <v>#VALUE!</v>
      </c>
    </row>
    <row r="950" spans="1:18">
      <c r="A950" t="e">
        <f>RigheOfferte[[#This Row],[Nprev]]</f>
        <v>#VALUE!</v>
      </c>
      <c r="B950" t="e">
        <f>RigheOfferte[[#This Row],[Nriga]]</f>
        <v>#VALUE!</v>
      </c>
      <c r="C950" t="e">
        <f>RigheOfferte[[#This Row],[Cliente]]</f>
        <v>#VALUE!</v>
      </c>
      <c r="D950" t="e">
        <f>RigheOfferte[[#This Row],[sub_cliente]]</f>
        <v>#VALUE!</v>
      </c>
      <c r="E950" t="e">
        <f>RigheOfferte[[#This Row],[cod.Art.]]</f>
        <v>#VALUE!</v>
      </c>
      <c r="F950" t="e">
        <f>RigheOfferte[[#This Row],[Descrizione]]</f>
        <v>#VALUE!</v>
      </c>
      <c r="G950" t="e">
        <f>RigheOfferte[[#This Row],[Q.ta'']]</f>
        <v>#VALUE!</v>
      </c>
      <c r="H950" t="e">
        <f>RigheOfferte[[#This Row],[Lavorazione]]</f>
        <v>#VALUE!</v>
      </c>
      <c r="I950" t="e">
        <f>RigheOfferte[[#This Row],[Colore]]</f>
        <v>#VALUE!</v>
      </c>
      <c r="J950" t="e">
        <f>RigheOfferte[[#This Row],[Velocità]]</f>
        <v>#VALUE!</v>
      </c>
      <c r="K950" t="e">
        <f>RigheOfferte[[#This Row],[Superf.pz Mq]]</f>
        <v>#VALUE!</v>
      </c>
      <c r="L950" t="e">
        <f>RigheOfferte[[#This Row],[passo]]</f>
        <v>#VALUE!</v>
      </c>
      <c r="M950" t="e">
        <f>RigheOfferte[[#This Row],[nr.pezzi Telaio]]</f>
        <v>#VALUE!</v>
      </c>
      <c r="N950" t="e">
        <f>RigheOfferte[[#This Row],[nr.pezzi ora-unita]]</f>
        <v>#VALUE!</v>
      </c>
      <c r="O950" t="e">
        <f>Tabella1[[#This Row],[superificie]]*Resa</f>
        <v>#VALUE!</v>
      </c>
      <c r="P950" t="e">
        <f>Tabella1[[#This Row],[KgPezzo]]*Tabella1[[#This Row],[q.ta offerta]]</f>
        <v>#VALUE!</v>
      </c>
      <c r="Q950" t="e">
        <f>RigheOfferte[[#This Row],[QtaProtez]]</f>
        <v>#VALUE!</v>
      </c>
      <c r="R950" t="e">
        <f>RigheOfferte[[#This Row],[Tipo Protezione]]</f>
        <v>#VALUE!</v>
      </c>
    </row>
    <row r="951" spans="1:18">
      <c r="A951" t="e">
        <f>RigheOfferte[[#This Row],[Nprev]]</f>
        <v>#VALUE!</v>
      </c>
      <c r="B951" t="e">
        <f>RigheOfferte[[#This Row],[Nriga]]</f>
        <v>#VALUE!</v>
      </c>
      <c r="C951" t="e">
        <f>RigheOfferte[[#This Row],[Cliente]]</f>
        <v>#VALUE!</v>
      </c>
      <c r="D951" t="e">
        <f>RigheOfferte[[#This Row],[sub_cliente]]</f>
        <v>#VALUE!</v>
      </c>
      <c r="E951" t="e">
        <f>RigheOfferte[[#This Row],[cod.Art.]]</f>
        <v>#VALUE!</v>
      </c>
      <c r="F951" t="e">
        <f>RigheOfferte[[#This Row],[Descrizione]]</f>
        <v>#VALUE!</v>
      </c>
      <c r="G951" t="e">
        <f>RigheOfferte[[#This Row],[Q.ta'']]</f>
        <v>#VALUE!</v>
      </c>
      <c r="H951" t="e">
        <f>RigheOfferte[[#This Row],[Lavorazione]]</f>
        <v>#VALUE!</v>
      </c>
      <c r="I951" t="e">
        <f>RigheOfferte[[#This Row],[Colore]]</f>
        <v>#VALUE!</v>
      </c>
      <c r="J951" t="e">
        <f>RigheOfferte[[#This Row],[Velocità]]</f>
        <v>#VALUE!</v>
      </c>
      <c r="K951" t="e">
        <f>RigheOfferte[[#This Row],[Superf.pz Mq]]</f>
        <v>#VALUE!</v>
      </c>
      <c r="L951" t="e">
        <f>RigheOfferte[[#This Row],[passo]]</f>
        <v>#VALUE!</v>
      </c>
      <c r="M951" t="e">
        <f>RigheOfferte[[#This Row],[nr.pezzi Telaio]]</f>
        <v>#VALUE!</v>
      </c>
      <c r="N951" t="e">
        <f>RigheOfferte[[#This Row],[nr.pezzi ora-unita]]</f>
        <v>#VALUE!</v>
      </c>
      <c r="O951" t="e">
        <f>Tabella1[[#This Row],[superificie]]*Resa</f>
        <v>#VALUE!</v>
      </c>
      <c r="P951" t="e">
        <f>Tabella1[[#This Row],[KgPezzo]]*Tabella1[[#This Row],[q.ta offerta]]</f>
        <v>#VALUE!</v>
      </c>
      <c r="Q951" t="e">
        <f>RigheOfferte[[#This Row],[QtaProtez]]</f>
        <v>#VALUE!</v>
      </c>
      <c r="R951" t="e">
        <f>RigheOfferte[[#This Row],[Tipo Protezione]]</f>
        <v>#VALUE!</v>
      </c>
    </row>
    <row r="952" spans="1:18">
      <c r="A952" t="e">
        <f>RigheOfferte[[#This Row],[Nprev]]</f>
        <v>#VALUE!</v>
      </c>
      <c r="B952" t="e">
        <f>RigheOfferte[[#This Row],[Nriga]]</f>
        <v>#VALUE!</v>
      </c>
      <c r="C952" t="e">
        <f>RigheOfferte[[#This Row],[Cliente]]</f>
        <v>#VALUE!</v>
      </c>
      <c r="D952" t="e">
        <f>RigheOfferte[[#This Row],[sub_cliente]]</f>
        <v>#VALUE!</v>
      </c>
      <c r="E952" t="e">
        <f>RigheOfferte[[#This Row],[cod.Art.]]</f>
        <v>#VALUE!</v>
      </c>
      <c r="F952" t="e">
        <f>RigheOfferte[[#This Row],[Descrizione]]</f>
        <v>#VALUE!</v>
      </c>
      <c r="G952" t="e">
        <f>RigheOfferte[[#This Row],[Q.ta'']]</f>
        <v>#VALUE!</v>
      </c>
      <c r="H952" t="e">
        <f>RigheOfferte[[#This Row],[Lavorazione]]</f>
        <v>#VALUE!</v>
      </c>
      <c r="I952" t="e">
        <f>RigheOfferte[[#This Row],[Colore]]</f>
        <v>#VALUE!</v>
      </c>
      <c r="J952" t="e">
        <f>RigheOfferte[[#This Row],[Velocità]]</f>
        <v>#VALUE!</v>
      </c>
      <c r="K952" t="e">
        <f>RigheOfferte[[#This Row],[Superf.pz Mq]]</f>
        <v>#VALUE!</v>
      </c>
      <c r="L952" t="e">
        <f>RigheOfferte[[#This Row],[passo]]</f>
        <v>#VALUE!</v>
      </c>
      <c r="M952" t="e">
        <f>RigheOfferte[[#This Row],[nr.pezzi Telaio]]</f>
        <v>#VALUE!</v>
      </c>
      <c r="N952" t="e">
        <f>RigheOfferte[[#This Row],[nr.pezzi ora-unita]]</f>
        <v>#VALUE!</v>
      </c>
      <c r="O952" t="e">
        <f>Tabella1[[#This Row],[superificie]]*Resa</f>
        <v>#VALUE!</v>
      </c>
      <c r="P952" t="e">
        <f>Tabella1[[#This Row],[KgPezzo]]*Tabella1[[#This Row],[q.ta offerta]]</f>
        <v>#VALUE!</v>
      </c>
      <c r="Q952" t="e">
        <f>RigheOfferte[[#This Row],[QtaProtez]]</f>
        <v>#VALUE!</v>
      </c>
      <c r="R952" t="e">
        <f>RigheOfferte[[#This Row],[Tipo Protezione]]</f>
        <v>#VALUE!</v>
      </c>
    </row>
    <row r="953" spans="1:18">
      <c r="A953" t="e">
        <f>RigheOfferte[[#This Row],[Nprev]]</f>
        <v>#VALUE!</v>
      </c>
      <c r="B953" t="e">
        <f>RigheOfferte[[#This Row],[Nriga]]</f>
        <v>#VALUE!</v>
      </c>
      <c r="C953" t="e">
        <f>RigheOfferte[[#This Row],[Cliente]]</f>
        <v>#VALUE!</v>
      </c>
      <c r="D953" t="e">
        <f>RigheOfferte[[#This Row],[sub_cliente]]</f>
        <v>#VALUE!</v>
      </c>
      <c r="E953" t="e">
        <f>RigheOfferte[[#This Row],[cod.Art.]]</f>
        <v>#VALUE!</v>
      </c>
      <c r="F953" t="e">
        <f>RigheOfferte[[#This Row],[Descrizione]]</f>
        <v>#VALUE!</v>
      </c>
      <c r="G953" t="e">
        <f>RigheOfferte[[#This Row],[Q.ta'']]</f>
        <v>#VALUE!</v>
      </c>
      <c r="H953" t="e">
        <f>RigheOfferte[[#This Row],[Lavorazione]]</f>
        <v>#VALUE!</v>
      </c>
      <c r="I953" t="e">
        <f>RigheOfferte[[#This Row],[Colore]]</f>
        <v>#VALUE!</v>
      </c>
      <c r="J953" t="e">
        <f>RigheOfferte[[#This Row],[Velocità]]</f>
        <v>#VALUE!</v>
      </c>
      <c r="K953" t="e">
        <f>RigheOfferte[[#This Row],[Superf.pz Mq]]</f>
        <v>#VALUE!</v>
      </c>
      <c r="L953" t="e">
        <f>RigheOfferte[[#This Row],[passo]]</f>
        <v>#VALUE!</v>
      </c>
      <c r="M953" t="e">
        <f>RigheOfferte[[#This Row],[nr.pezzi Telaio]]</f>
        <v>#VALUE!</v>
      </c>
      <c r="N953" t="e">
        <f>RigheOfferte[[#This Row],[nr.pezzi ora-unita]]</f>
        <v>#VALUE!</v>
      </c>
      <c r="O953" t="e">
        <f>Tabella1[[#This Row],[superificie]]*Resa</f>
        <v>#VALUE!</v>
      </c>
      <c r="P953" t="e">
        <f>Tabella1[[#This Row],[KgPezzo]]*Tabella1[[#This Row],[q.ta offerta]]</f>
        <v>#VALUE!</v>
      </c>
      <c r="Q953" t="e">
        <f>RigheOfferte[[#This Row],[QtaProtez]]</f>
        <v>#VALUE!</v>
      </c>
      <c r="R953" t="e">
        <f>RigheOfferte[[#This Row],[Tipo Protezione]]</f>
        <v>#VALUE!</v>
      </c>
    </row>
    <row r="954" spans="1:18">
      <c r="A954" t="e">
        <f>RigheOfferte[[#This Row],[Nprev]]</f>
        <v>#VALUE!</v>
      </c>
      <c r="B954" t="e">
        <f>RigheOfferte[[#This Row],[Nriga]]</f>
        <v>#VALUE!</v>
      </c>
      <c r="C954" t="e">
        <f>RigheOfferte[[#This Row],[Cliente]]</f>
        <v>#VALUE!</v>
      </c>
      <c r="D954" t="e">
        <f>RigheOfferte[[#This Row],[sub_cliente]]</f>
        <v>#VALUE!</v>
      </c>
      <c r="E954" t="e">
        <f>RigheOfferte[[#This Row],[cod.Art.]]</f>
        <v>#VALUE!</v>
      </c>
      <c r="F954" t="e">
        <f>RigheOfferte[[#This Row],[Descrizione]]</f>
        <v>#VALUE!</v>
      </c>
      <c r="G954" t="e">
        <f>RigheOfferte[[#This Row],[Q.ta'']]</f>
        <v>#VALUE!</v>
      </c>
      <c r="H954" t="e">
        <f>RigheOfferte[[#This Row],[Lavorazione]]</f>
        <v>#VALUE!</v>
      </c>
      <c r="I954" t="e">
        <f>RigheOfferte[[#This Row],[Colore]]</f>
        <v>#VALUE!</v>
      </c>
      <c r="J954" t="e">
        <f>RigheOfferte[[#This Row],[Velocità]]</f>
        <v>#VALUE!</v>
      </c>
      <c r="K954" t="e">
        <f>RigheOfferte[[#This Row],[Superf.pz Mq]]</f>
        <v>#VALUE!</v>
      </c>
      <c r="L954" t="e">
        <f>RigheOfferte[[#This Row],[passo]]</f>
        <v>#VALUE!</v>
      </c>
      <c r="M954" t="e">
        <f>RigheOfferte[[#This Row],[nr.pezzi Telaio]]</f>
        <v>#VALUE!</v>
      </c>
      <c r="N954" t="e">
        <f>RigheOfferte[[#This Row],[nr.pezzi ora-unita]]</f>
        <v>#VALUE!</v>
      </c>
      <c r="O954" t="e">
        <f>Tabella1[[#This Row],[superificie]]*Resa</f>
        <v>#VALUE!</v>
      </c>
      <c r="P954" t="e">
        <f>Tabella1[[#This Row],[KgPezzo]]*Tabella1[[#This Row],[q.ta offerta]]</f>
        <v>#VALUE!</v>
      </c>
      <c r="Q954" t="e">
        <f>RigheOfferte[[#This Row],[QtaProtez]]</f>
        <v>#VALUE!</v>
      </c>
      <c r="R954" t="e">
        <f>RigheOfferte[[#This Row],[Tipo Protezione]]</f>
        <v>#VALUE!</v>
      </c>
    </row>
    <row r="955" spans="1:18">
      <c r="A955" t="e">
        <f>RigheOfferte[[#This Row],[Nprev]]</f>
        <v>#VALUE!</v>
      </c>
      <c r="B955" t="e">
        <f>RigheOfferte[[#This Row],[Nriga]]</f>
        <v>#VALUE!</v>
      </c>
      <c r="C955" t="e">
        <f>RigheOfferte[[#This Row],[Cliente]]</f>
        <v>#VALUE!</v>
      </c>
      <c r="D955" t="e">
        <f>RigheOfferte[[#This Row],[sub_cliente]]</f>
        <v>#VALUE!</v>
      </c>
      <c r="E955" t="e">
        <f>RigheOfferte[[#This Row],[cod.Art.]]</f>
        <v>#VALUE!</v>
      </c>
      <c r="F955" t="e">
        <f>RigheOfferte[[#This Row],[Descrizione]]</f>
        <v>#VALUE!</v>
      </c>
      <c r="G955" t="e">
        <f>RigheOfferte[[#This Row],[Q.ta'']]</f>
        <v>#VALUE!</v>
      </c>
      <c r="H955" t="e">
        <f>RigheOfferte[[#This Row],[Lavorazione]]</f>
        <v>#VALUE!</v>
      </c>
      <c r="I955" t="e">
        <f>RigheOfferte[[#This Row],[Colore]]</f>
        <v>#VALUE!</v>
      </c>
      <c r="J955" t="e">
        <f>RigheOfferte[[#This Row],[Velocità]]</f>
        <v>#VALUE!</v>
      </c>
      <c r="K955" t="e">
        <f>RigheOfferte[[#This Row],[Superf.pz Mq]]</f>
        <v>#VALUE!</v>
      </c>
      <c r="L955" t="e">
        <f>RigheOfferte[[#This Row],[passo]]</f>
        <v>#VALUE!</v>
      </c>
      <c r="M955" t="e">
        <f>RigheOfferte[[#This Row],[nr.pezzi Telaio]]</f>
        <v>#VALUE!</v>
      </c>
      <c r="N955" t="e">
        <f>RigheOfferte[[#This Row],[nr.pezzi ora-unita]]</f>
        <v>#VALUE!</v>
      </c>
      <c r="O955" t="e">
        <f>Tabella1[[#This Row],[superificie]]*Resa</f>
        <v>#VALUE!</v>
      </c>
      <c r="P955" t="e">
        <f>Tabella1[[#This Row],[KgPezzo]]*Tabella1[[#This Row],[q.ta offerta]]</f>
        <v>#VALUE!</v>
      </c>
      <c r="Q955" t="e">
        <f>RigheOfferte[[#This Row],[QtaProtez]]</f>
        <v>#VALUE!</v>
      </c>
      <c r="R955" t="e">
        <f>RigheOfferte[[#This Row],[Tipo Protezione]]</f>
        <v>#VALUE!</v>
      </c>
    </row>
    <row r="956" spans="1:18">
      <c r="A956" t="e">
        <f>RigheOfferte[[#This Row],[Nprev]]</f>
        <v>#VALUE!</v>
      </c>
      <c r="B956" t="e">
        <f>RigheOfferte[[#This Row],[Nriga]]</f>
        <v>#VALUE!</v>
      </c>
      <c r="C956" t="e">
        <f>RigheOfferte[[#This Row],[Cliente]]</f>
        <v>#VALUE!</v>
      </c>
      <c r="D956" t="e">
        <f>RigheOfferte[[#This Row],[sub_cliente]]</f>
        <v>#VALUE!</v>
      </c>
      <c r="E956" t="e">
        <f>RigheOfferte[[#This Row],[cod.Art.]]</f>
        <v>#VALUE!</v>
      </c>
      <c r="F956" t="e">
        <f>RigheOfferte[[#This Row],[Descrizione]]</f>
        <v>#VALUE!</v>
      </c>
      <c r="G956" t="e">
        <f>RigheOfferte[[#This Row],[Q.ta'']]</f>
        <v>#VALUE!</v>
      </c>
      <c r="H956" t="e">
        <f>RigheOfferte[[#This Row],[Lavorazione]]</f>
        <v>#VALUE!</v>
      </c>
      <c r="I956" t="e">
        <f>RigheOfferte[[#This Row],[Colore]]</f>
        <v>#VALUE!</v>
      </c>
      <c r="J956" t="e">
        <f>RigheOfferte[[#This Row],[Velocità]]</f>
        <v>#VALUE!</v>
      </c>
      <c r="K956" t="e">
        <f>RigheOfferte[[#This Row],[Superf.pz Mq]]</f>
        <v>#VALUE!</v>
      </c>
      <c r="L956" t="e">
        <f>RigheOfferte[[#This Row],[passo]]</f>
        <v>#VALUE!</v>
      </c>
      <c r="M956" t="e">
        <f>RigheOfferte[[#This Row],[nr.pezzi Telaio]]</f>
        <v>#VALUE!</v>
      </c>
      <c r="N956" t="e">
        <f>RigheOfferte[[#This Row],[nr.pezzi ora-unita]]</f>
        <v>#VALUE!</v>
      </c>
      <c r="O956" t="e">
        <f>Tabella1[[#This Row],[superificie]]*Resa</f>
        <v>#VALUE!</v>
      </c>
      <c r="P956" t="e">
        <f>Tabella1[[#This Row],[KgPezzo]]*Tabella1[[#This Row],[q.ta offerta]]</f>
        <v>#VALUE!</v>
      </c>
      <c r="Q956" t="e">
        <f>RigheOfferte[[#This Row],[QtaProtez]]</f>
        <v>#VALUE!</v>
      </c>
      <c r="R956" t="e">
        <f>RigheOfferte[[#This Row],[Tipo Protezione]]</f>
        <v>#VALUE!</v>
      </c>
    </row>
    <row r="957" spans="1:18">
      <c r="A957" t="e">
        <f>RigheOfferte[[#This Row],[Nprev]]</f>
        <v>#VALUE!</v>
      </c>
      <c r="B957" t="e">
        <f>RigheOfferte[[#This Row],[Nriga]]</f>
        <v>#VALUE!</v>
      </c>
      <c r="C957" t="e">
        <f>RigheOfferte[[#This Row],[Cliente]]</f>
        <v>#VALUE!</v>
      </c>
      <c r="D957" t="e">
        <f>RigheOfferte[[#This Row],[sub_cliente]]</f>
        <v>#VALUE!</v>
      </c>
      <c r="E957" t="e">
        <f>RigheOfferte[[#This Row],[cod.Art.]]</f>
        <v>#VALUE!</v>
      </c>
      <c r="F957" t="e">
        <f>RigheOfferte[[#This Row],[Descrizione]]</f>
        <v>#VALUE!</v>
      </c>
      <c r="G957" t="e">
        <f>RigheOfferte[[#This Row],[Q.ta'']]</f>
        <v>#VALUE!</v>
      </c>
      <c r="H957" t="e">
        <f>RigheOfferte[[#This Row],[Lavorazione]]</f>
        <v>#VALUE!</v>
      </c>
      <c r="I957" t="e">
        <f>RigheOfferte[[#This Row],[Colore]]</f>
        <v>#VALUE!</v>
      </c>
      <c r="J957" t="e">
        <f>RigheOfferte[[#This Row],[Velocità]]</f>
        <v>#VALUE!</v>
      </c>
      <c r="K957" t="e">
        <f>RigheOfferte[[#This Row],[Superf.pz Mq]]</f>
        <v>#VALUE!</v>
      </c>
      <c r="L957" t="e">
        <f>RigheOfferte[[#This Row],[passo]]</f>
        <v>#VALUE!</v>
      </c>
      <c r="M957" t="e">
        <f>RigheOfferte[[#This Row],[nr.pezzi Telaio]]</f>
        <v>#VALUE!</v>
      </c>
      <c r="N957" t="e">
        <f>RigheOfferte[[#This Row],[nr.pezzi ora-unita]]</f>
        <v>#VALUE!</v>
      </c>
      <c r="O957" t="e">
        <f>Tabella1[[#This Row],[superificie]]*Resa</f>
        <v>#VALUE!</v>
      </c>
      <c r="P957" t="e">
        <f>Tabella1[[#This Row],[KgPezzo]]*Tabella1[[#This Row],[q.ta offerta]]</f>
        <v>#VALUE!</v>
      </c>
      <c r="Q957" t="e">
        <f>RigheOfferte[[#This Row],[QtaProtez]]</f>
        <v>#VALUE!</v>
      </c>
      <c r="R957" t="e">
        <f>RigheOfferte[[#This Row],[Tipo Protezione]]</f>
        <v>#VALUE!</v>
      </c>
    </row>
    <row r="958" spans="1:18">
      <c r="A958" t="e">
        <f>RigheOfferte[[#This Row],[Nprev]]</f>
        <v>#VALUE!</v>
      </c>
      <c r="B958" t="e">
        <f>RigheOfferte[[#This Row],[Nriga]]</f>
        <v>#VALUE!</v>
      </c>
      <c r="C958" t="e">
        <f>RigheOfferte[[#This Row],[Cliente]]</f>
        <v>#VALUE!</v>
      </c>
      <c r="D958" t="e">
        <f>RigheOfferte[[#This Row],[sub_cliente]]</f>
        <v>#VALUE!</v>
      </c>
      <c r="E958" t="e">
        <f>RigheOfferte[[#This Row],[cod.Art.]]</f>
        <v>#VALUE!</v>
      </c>
      <c r="F958" t="e">
        <f>RigheOfferte[[#This Row],[Descrizione]]</f>
        <v>#VALUE!</v>
      </c>
      <c r="G958" t="e">
        <f>RigheOfferte[[#This Row],[Q.ta'']]</f>
        <v>#VALUE!</v>
      </c>
      <c r="H958" t="e">
        <f>RigheOfferte[[#This Row],[Lavorazione]]</f>
        <v>#VALUE!</v>
      </c>
      <c r="I958" t="e">
        <f>RigheOfferte[[#This Row],[Colore]]</f>
        <v>#VALUE!</v>
      </c>
      <c r="J958" t="e">
        <f>RigheOfferte[[#This Row],[Velocità]]</f>
        <v>#VALUE!</v>
      </c>
      <c r="K958" t="e">
        <f>RigheOfferte[[#This Row],[Superf.pz Mq]]</f>
        <v>#VALUE!</v>
      </c>
      <c r="L958" t="e">
        <f>RigheOfferte[[#This Row],[passo]]</f>
        <v>#VALUE!</v>
      </c>
      <c r="M958" t="e">
        <f>RigheOfferte[[#This Row],[nr.pezzi Telaio]]</f>
        <v>#VALUE!</v>
      </c>
      <c r="N958" t="e">
        <f>RigheOfferte[[#This Row],[nr.pezzi ora-unita]]</f>
        <v>#VALUE!</v>
      </c>
      <c r="O958" t="e">
        <f>Tabella1[[#This Row],[superificie]]*Resa</f>
        <v>#VALUE!</v>
      </c>
      <c r="P958" t="e">
        <f>Tabella1[[#This Row],[KgPezzo]]*Tabella1[[#This Row],[q.ta offerta]]</f>
        <v>#VALUE!</v>
      </c>
      <c r="Q958" t="e">
        <f>RigheOfferte[[#This Row],[QtaProtez]]</f>
        <v>#VALUE!</v>
      </c>
      <c r="R958" t="e">
        <f>RigheOfferte[[#This Row],[Tipo Protezione]]</f>
        <v>#VALUE!</v>
      </c>
    </row>
    <row r="959" spans="1:18">
      <c r="A959" t="e">
        <f>RigheOfferte[[#This Row],[Nprev]]</f>
        <v>#VALUE!</v>
      </c>
      <c r="B959" t="e">
        <f>RigheOfferte[[#This Row],[Nriga]]</f>
        <v>#VALUE!</v>
      </c>
      <c r="C959" t="e">
        <f>RigheOfferte[[#This Row],[Cliente]]</f>
        <v>#VALUE!</v>
      </c>
      <c r="D959" t="e">
        <f>RigheOfferte[[#This Row],[sub_cliente]]</f>
        <v>#VALUE!</v>
      </c>
      <c r="E959" t="e">
        <f>RigheOfferte[[#This Row],[cod.Art.]]</f>
        <v>#VALUE!</v>
      </c>
      <c r="F959" t="e">
        <f>RigheOfferte[[#This Row],[Descrizione]]</f>
        <v>#VALUE!</v>
      </c>
      <c r="G959" t="e">
        <f>RigheOfferte[[#This Row],[Q.ta'']]</f>
        <v>#VALUE!</v>
      </c>
      <c r="H959" t="e">
        <f>RigheOfferte[[#This Row],[Lavorazione]]</f>
        <v>#VALUE!</v>
      </c>
      <c r="I959" t="e">
        <f>RigheOfferte[[#This Row],[Colore]]</f>
        <v>#VALUE!</v>
      </c>
      <c r="J959" t="e">
        <f>RigheOfferte[[#This Row],[Velocità]]</f>
        <v>#VALUE!</v>
      </c>
      <c r="K959" t="e">
        <f>RigheOfferte[[#This Row],[Superf.pz Mq]]</f>
        <v>#VALUE!</v>
      </c>
      <c r="L959" t="e">
        <f>RigheOfferte[[#This Row],[passo]]</f>
        <v>#VALUE!</v>
      </c>
      <c r="M959" t="e">
        <f>RigheOfferte[[#This Row],[nr.pezzi Telaio]]</f>
        <v>#VALUE!</v>
      </c>
      <c r="N959" t="e">
        <f>RigheOfferte[[#This Row],[nr.pezzi ora-unita]]</f>
        <v>#VALUE!</v>
      </c>
      <c r="O959" t="e">
        <f>Tabella1[[#This Row],[superificie]]*Resa</f>
        <v>#VALUE!</v>
      </c>
      <c r="P959" t="e">
        <f>Tabella1[[#This Row],[KgPezzo]]*Tabella1[[#This Row],[q.ta offerta]]</f>
        <v>#VALUE!</v>
      </c>
      <c r="Q959" t="e">
        <f>RigheOfferte[[#This Row],[QtaProtez]]</f>
        <v>#VALUE!</v>
      </c>
      <c r="R959" t="e">
        <f>RigheOfferte[[#This Row],[Tipo Protezione]]</f>
        <v>#VALUE!</v>
      </c>
    </row>
    <row r="960" spans="1:18">
      <c r="A960" t="e">
        <f>RigheOfferte[[#This Row],[Nprev]]</f>
        <v>#VALUE!</v>
      </c>
      <c r="B960" t="e">
        <f>RigheOfferte[[#This Row],[Nriga]]</f>
        <v>#VALUE!</v>
      </c>
      <c r="C960" t="e">
        <f>RigheOfferte[[#This Row],[Cliente]]</f>
        <v>#VALUE!</v>
      </c>
      <c r="D960" t="e">
        <f>RigheOfferte[[#This Row],[sub_cliente]]</f>
        <v>#VALUE!</v>
      </c>
      <c r="E960" t="e">
        <f>RigheOfferte[[#This Row],[cod.Art.]]</f>
        <v>#VALUE!</v>
      </c>
      <c r="F960" t="e">
        <f>RigheOfferte[[#This Row],[Descrizione]]</f>
        <v>#VALUE!</v>
      </c>
      <c r="G960" t="e">
        <f>RigheOfferte[[#This Row],[Q.ta'']]</f>
        <v>#VALUE!</v>
      </c>
      <c r="H960" t="e">
        <f>RigheOfferte[[#This Row],[Lavorazione]]</f>
        <v>#VALUE!</v>
      </c>
      <c r="I960" t="e">
        <f>RigheOfferte[[#This Row],[Colore]]</f>
        <v>#VALUE!</v>
      </c>
      <c r="J960" t="e">
        <f>RigheOfferte[[#This Row],[Velocità]]</f>
        <v>#VALUE!</v>
      </c>
      <c r="K960" t="e">
        <f>RigheOfferte[[#This Row],[Superf.pz Mq]]</f>
        <v>#VALUE!</v>
      </c>
      <c r="L960" t="e">
        <f>RigheOfferte[[#This Row],[passo]]</f>
        <v>#VALUE!</v>
      </c>
      <c r="M960" t="e">
        <f>RigheOfferte[[#This Row],[nr.pezzi Telaio]]</f>
        <v>#VALUE!</v>
      </c>
      <c r="N960" t="e">
        <f>RigheOfferte[[#This Row],[nr.pezzi ora-unita]]</f>
        <v>#VALUE!</v>
      </c>
      <c r="O960" t="e">
        <f>Tabella1[[#This Row],[superificie]]*Resa</f>
        <v>#VALUE!</v>
      </c>
      <c r="P960" t="e">
        <f>Tabella1[[#This Row],[KgPezzo]]*Tabella1[[#This Row],[q.ta offerta]]</f>
        <v>#VALUE!</v>
      </c>
      <c r="Q960" t="e">
        <f>RigheOfferte[[#This Row],[QtaProtez]]</f>
        <v>#VALUE!</v>
      </c>
      <c r="R960" t="e">
        <f>RigheOfferte[[#This Row],[Tipo Protezione]]</f>
        <v>#VALUE!</v>
      </c>
    </row>
    <row r="961" spans="1:18">
      <c r="A961" t="e">
        <f>RigheOfferte[[#This Row],[Nprev]]</f>
        <v>#VALUE!</v>
      </c>
      <c r="B961" t="e">
        <f>RigheOfferte[[#This Row],[Nriga]]</f>
        <v>#VALUE!</v>
      </c>
      <c r="C961" t="e">
        <f>RigheOfferte[[#This Row],[Cliente]]</f>
        <v>#VALUE!</v>
      </c>
      <c r="D961" t="e">
        <f>RigheOfferte[[#This Row],[sub_cliente]]</f>
        <v>#VALUE!</v>
      </c>
      <c r="E961" t="e">
        <f>RigheOfferte[[#This Row],[cod.Art.]]</f>
        <v>#VALUE!</v>
      </c>
      <c r="F961" t="e">
        <f>RigheOfferte[[#This Row],[Descrizione]]</f>
        <v>#VALUE!</v>
      </c>
      <c r="G961" t="e">
        <f>RigheOfferte[[#This Row],[Q.ta'']]</f>
        <v>#VALUE!</v>
      </c>
      <c r="H961" t="e">
        <f>RigheOfferte[[#This Row],[Lavorazione]]</f>
        <v>#VALUE!</v>
      </c>
      <c r="I961" t="e">
        <f>RigheOfferte[[#This Row],[Colore]]</f>
        <v>#VALUE!</v>
      </c>
      <c r="J961" t="e">
        <f>RigheOfferte[[#This Row],[Velocità]]</f>
        <v>#VALUE!</v>
      </c>
      <c r="K961" t="e">
        <f>RigheOfferte[[#This Row],[Superf.pz Mq]]</f>
        <v>#VALUE!</v>
      </c>
      <c r="L961" t="e">
        <f>RigheOfferte[[#This Row],[passo]]</f>
        <v>#VALUE!</v>
      </c>
      <c r="M961" t="e">
        <f>RigheOfferte[[#This Row],[nr.pezzi Telaio]]</f>
        <v>#VALUE!</v>
      </c>
      <c r="N961" t="e">
        <f>RigheOfferte[[#This Row],[nr.pezzi ora-unita]]</f>
        <v>#VALUE!</v>
      </c>
      <c r="O961" t="e">
        <f>Tabella1[[#This Row],[superificie]]*Resa</f>
        <v>#VALUE!</v>
      </c>
      <c r="P961" t="e">
        <f>Tabella1[[#This Row],[KgPezzo]]*Tabella1[[#This Row],[q.ta offerta]]</f>
        <v>#VALUE!</v>
      </c>
      <c r="Q961" t="e">
        <f>RigheOfferte[[#This Row],[QtaProtez]]</f>
        <v>#VALUE!</v>
      </c>
      <c r="R961" t="e">
        <f>RigheOfferte[[#This Row],[Tipo Protezione]]</f>
        <v>#VALUE!</v>
      </c>
    </row>
    <row r="962" spans="1:18">
      <c r="A962" t="e">
        <f>RigheOfferte[[#This Row],[Nprev]]</f>
        <v>#VALUE!</v>
      </c>
      <c r="B962" t="e">
        <f>RigheOfferte[[#This Row],[Nriga]]</f>
        <v>#VALUE!</v>
      </c>
      <c r="C962" t="e">
        <f>RigheOfferte[[#This Row],[Cliente]]</f>
        <v>#VALUE!</v>
      </c>
      <c r="D962" t="e">
        <f>RigheOfferte[[#This Row],[sub_cliente]]</f>
        <v>#VALUE!</v>
      </c>
      <c r="E962" t="e">
        <f>RigheOfferte[[#This Row],[cod.Art.]]</f>
        <v>#VALUE!</v>
      </c>
      <c r="F962" t="e">
        <f>RigheOfferte[[#This Row],[Descrizione]]</f>
        <v>#VALUE!</v>
      </c>
      <c r="G962" t="e">
        <f>RigheOfferte[[#This Row],[Q.ta'']]</f>
        <v>#VALUE!</v>
      </c>
      <c r="H962" t="e">
        <f>RigheOfferte[[#This Row],[Lavorazione]]</f>
        <v>#VALUE!</v>
      </c>
      <c r="I962" t="e">
        <f>RigheOfferte[[#This Row],[Colore]]</f>
        <v>#VALUE!</v>
      </c>
      <c r="J962" t="e">
        <f>RigheOfferte[[#This Row],[Velocità]]</f>
        <v>#VALUE!</v>
      </c>
      <c r="K962" t="e">
        <f>RigheOfferte[[#This Row],[Superf.pz Mq]]</f>
        <v>#VALUE!</v>
      </c>
      <c r="L962" t="e">
        <f>RigheOfferte[[#This Row],[passo]]</f>
        <v>#VALUE!</v>
      </c>
      <c r="M962" t="e">
        <f>RigheOfferte[[#This Row],[nr.pezzi Telaio]]</f>
        <v>#VALUE!</v>
      </c>
      <c r="N962" t="e">
        <f>RigheOfferte[[#This Row],[nr.pezzi ora-unita]]</f>
        <v>#VALUE!</v>
      </c>
      <c r="O962" t="e">
        <f>Tabella1[[#This Row],[superificie]]*Resa</f>
        <v>#VALUE!</v>
      </c>
      <c r="P962" t="e">
        <f>Tabella1[[#This Row],[KgPezzo]]*Tabella1[[#This Row],[q.ta offerta]]</f>
        <v>#VALUE!</v>
      </c>
      <c r="Q962" t="e">
        <f>RigheOfferte[[#This Row],[QtaProtez]]</f>
        <v>#VALUE!</v>
      </c>
      <c r="R962" t="e">
        <f>RigheOfferte[[#This Row],[Tipo Protezione]]</f>
        <v>#VALUE!</v>
      </c>
    </row>
    <row r="963" spans="1:18">
      <c r="A963" t="e">
        <f>RigheOfferte[[#This Row],[Nprev]]</f>
        <v>#VALUE!</v>
      </c>
      <c r="B963" t="e">
        <f>RigheOfferte[[#This Row],[Nriga]]</f>
        <v>#VALUE!</v>
      </c>
      <c r="C963" t="e">
        <f>RigheOfferte[[#This Row],[Cliente]]</f>
        <v>#VALUE!</v>
      </c>
      <c r="D963" t="e">
        <f>RigheOfferte[[#This Row],[sub_cliente]]</f>
        <v>#VALUE!</v>
      </c>
      <c r="E963" t="e">
        <f>RigheOfferte[[#This Row],[cod.Art.]]</f>
        <v>#VALUE!</v>
      </c>
      <c r="F963" t="e">
        <f>RigheOfferte[[#This Row],[Descrizione]]</f>
        <v>#VALUE!</v>
      </c>
      <c r="G963" t="e">
        <f>RigheOfferte[[#This Row],[Q.ta'']]</f>
        <v>#VALUE!</v>
      </c>
      <c r="H963" t="e">
        <f>RigheOfferte[[#This Row],[Lavorazione]]</f>
        <v>#VALUE!</v>
      </c>
      <c r="I963" t="e">
        <f>RigheOfferte[[#This Row],[Colore]]</f>
        <v>#VALUE!</v>
      </c>
      <c r="J963" t="e">
        <f>RigheOfferte[[#This Row],[Velocità]]</f>
        <v>#VALUE!</v>
      </c>
      <c r="K963" t="e">
        <f>RigheOfferte[[#This Row],[Superf.pz Mq]]</f>
        <v>#VALUE!</v>
      </c>
      <c r="L963" t="e">
        <f>RigheOfferte[[#This Row],[passo]]</f>
        <v>#VALUE!</v>
      </c>
      <c r="M963" t="e">
        <f>RigheOfferte[[#This Row],[nr.pezzi Telaio]]</f>
        <v>#VALUE!</v>
      </c>
      <c r="N963" t="e">
        <f>RigheOfferte[[#This Row],[nr.pezzi ora-unita]]</f>
        <v>#VALUE!</v>
      </c>
      <c r="O963" t="e">
        <f>Tabella1[[#This Row],[superificie]]*Resa</f>
        <v>#VALUE!</v>
      </c>
      <c r="P963" t="e">
        <f>Tabella1[[#This Row],[KgPezzo]]*Tabella1[[#This Row],[q.ta offerta]]</f>
        <v>#VALUE!</v>
      </c>
      <c r="Q963" t="e">
        <f>RigheOfferte[[#This Row],[QtaProtez]]</f>
        <v>#VALUE!</v>
      </c>
      <c r="R963" t="e">
        <f>RigheOfferte[[#This Row],[Tipo Protezione]]</f>
        <v>#VALUE!</v>
      </c>
    </row>
    <row r="964" spans="1:18">
      <c r="A964" t="e">
        <f>RigheOfferte[[#This Row],[Nprev]]</f>
        <v>#VALUE!</v>
      </c>
      <c r="B964" t="e">
        <f>RigheOfferte[[#This Row],[Nriga]]</f>
        <v>#VALUE!</v>
      </c>
      <c r="C964" t="e">
        <f>RigheOfferte[[#This Row],[Cliente]]</f>
        <v>#VALUE!</v>
      </c>
      <c r="D964" t="e">
        <f>RigheOfferte[[#This Row],[sub_cliente]]</f>
        <v>#VALUE!</v>
      </c>
      <c r="E964" t="e">
        <f>RigheOfferte[[#This Row],[cod.Art.]]</f>
        <v>#VALUE!</v>
      </c>
      <c r="F964" t="e">
        <f>RigheOfferte[[#This Row],[Descrizione]]</f>
        <v>#VALUE!</v>
      </c>
      <c r="G964" t="e">
        <f>RigheOfferte[[#This Row],[Q.ta'']]</f>
        <v>#VALUE!</v>
      </c>
      <c r="H964" t="e">
        <f>RigheOfferte[[#This Row],[Lavorazione]]</f>
        <v>#VALUE!</v>
      </c>
      <c r="I964" t="e">
        <f>RigheOfferte[[#This Row],[Colore]]</f>
        <v>#VALUE!</v>
      </c>
      <c r="J964" t="e">
        <f>RigheOfferte[[#This Row],[Velocità]]</f>
        <v>#VALUE!</v>
      </c>
      <c r="K964" t="e">
        <f>RigheOfferte[[#This Row],[Superf.pz Mq]]</f>
        <v>#VALUE!</v>
      </c>
      <c r="L964" t="e">
        <f>RigheOfferte[[#This Row],[passo]]</f>
        <v>#VALUE!</v>
      </c>
      <c r="M964" t="e">
        <f>RigheOfferte[[#This Row],[nr.pezzi Telaio]]</f>
        <v>#VALUE!</v>
      </c>
      <c r="N964" t="e">
        <f>RigheOfferte[[#This Row],[nr.pezzi ora-unita]]</f>
        <v>#VALUE!</v>
      </c>
      <c r="O964" t="e">
        <f>Tabella1[[#This Row],[superificie]]*Resa</f>
        <v>#VALUE!</v>
      </c>
      <c r="P964" t="e">
        <f>Tabella1[[#This Row],[KgPezzo]]*Tabella1[[#This Row],[q.ta offerta]]</f>
        <v>#VALUE!</v>
      </c>
      <c r="Q964" t="e">
        <f>RigheOfferte[[#This Row],[QtaProtez]]</f>
        <v>#VALUE!</v>
      </c>
      <c r="R964" t="e">
        <f>RigheOfferte[[#This Row],[Tipo Protezione]]</f>
        <v>#VALUE!</v>
      </c>
    </row>
    <row r="965" spans="1:18">
      <c r="A965" t="e">
        <f>RigheOfferte[[#This Row],[Nprev]]</f>
        <v>#VALUE!</v>
      </c>
      <c r="B965" t="e">
        <f>RigheOfferte[[#This Row],[Nriga]]</f>
        <v>#VALUE!</v>
      </c>
      <c r="C965" t="e">
        <f>RigheOfferte[[#This Row],[Cliente]]</f>
        <v>#VALUE!</v>
      </c>
      <c r="D965" t="e">
        <f>RigheOfferte[[#This Row],[sub_cliente]]</f>
        <v>#VALUE!</v>
      </c>
      <c r="E965" t="e">
        <f>RigheOfferte[[#This Row],[cod.Art.]]</f>
        <v>#VALUE!</v>
      </c>
      <c r="F965" t="e">
        <f>RigheOfferte[[#This Row],[Descrizione]]</f>
        <v>#VALUE!</v>
      </c>
      <c r="G965" t="e">
        <f>RigheOfferte[[#This Row],[Q.ta'']]</f>
        <v>#VALUE!</v>
      </c>
      <c r="H965" t="e">
        <f>RigheOfferte[[#This Row],[Lavorazione]]</f>
        <v>#VALUE!</v>
      </c>
      <c r="I965" t="e">
        <f>RigheOfferte[[#This Row],[Colore]]</f>
        <v>#VALUE!</v>
      </c>
      <c r="J965" t="e">
        <f>RigheOfferte[[#This Row],[Velocità]]</f>
        <v>#VALUE!</v>
      </c>
      <c r="K965" t="e">
        <f>RigheOfferte[[#This Row],[Superf.pz Mq]]</f>
        <v>#VALUE!</v>
      </c>
      <c r="L965" t="e">
        <f>RigheOfferte[[#This Row],[passo]]</f>
        <v>#VALUE!</v>
      </c>
      <c r="M965" t="e">
        <f>RigheOfferte[[#This Row],[nr.pezzi Telaio]]</f>
        <v>#VALUE!</v>
      </c>
      <c r="N965" t="e">
        <f>RigheOfferte[[#This Row],[nr.pezzi ora-unita]]</f>
        <v>#VALUE!</v>
      </c>
      <c r="O965" t="e">
        <f>Tabella1[[#This Row],[superificie]]*Resa</f>
        <v>#VALUE!</v>
      </c>
      <c r="P965" t="e">
        <f>Tabella1[[#This Row],[KgPezzo]]*Tabella1[[#This Row],[q.ta offerta]]</f>
        <v>#VALUE!</v>
      </c>
      <c r="Q965" t="e">
        <f>RigheOfferte[[#This Row],[QtaProtez]]</f>
        <v>#VALUE!</v>
      </c>
      <c r="R965" t="e">
        <f>RigheOfferte[[#This Row],[Tipo Protezione]]</f>
        <v>#VALUE!</v>
      </c>
    </row>
    <row r="966" spans="1:18">
      <c r="A966" t="e">
        <f>RigheOfferte[[#This Row],[Nprev]]</f>
        <v>#VALUE!</v>
      </c>
      <c r="B966" t="e">
        <f>RigheOfferte[[#This Row],[Nriga]]</f>
        <v>#VALUE!</v>
      </c>
      <c r="C966" t="e">
        <f>RigheOfferte[[#This Row],[Cliente]]</f>
        <v>#VALUE!</v>
      </c>
      <c r="D966" t="e">
        <f>RigheOfferte[[#This Row],[sub_cliente]]</f>
        <v>#VALUE!</v>
      </c>
      <c r="E966" t="e">
        <f>RigheOfferte[[#This Row],[cod.Art.]]</f>
        <v>#VALUE!</v>
      </c>
      <c r="F966" t="e">
        <f>RigheOfferte[[#This Row],[Descrizione]]</f>
        <v>#VALUE!</v>
      </c>
      <c r="G966" t="e">
        <f>RigheOfferte[[#This Row],[Q.ta'']]</f>
        <v>#VALUE!</v>
      </c>
      <c r="H966" t="e">
        <f>RigheOfferte[[#This Row],[Lavorazione]]</f>
        <v>#VALUE!</v>
      </c>
      <c r="I966" t="e">
        <f>RigheOfferte[[#This Row],[Colore]]</f>
        <v>#VALUE!</v>
      </c>
      <c r="J966" t="e">
        <f>RigheOfferte[[#This Row],[Velocità]]</f>
        <v>#VALUE!</v>
      </c>
      <c r="K966" t="e">
        <f>RigheOfferte[[#This Row],[Superf.pz Mq]]</f>
        <v>#VALUE!</v>
      </c>
      <c r="L966" t="e">
        <f>RigheOfferte[[#This Row],[passo]]</f>
        <v>#VALUE!</v>
      </c>
      <c r="M966" t="e">
        <f>RigheOfferte[[#This Row],[nr.pezzi Telaio]]</f>
        <v>#VALUE!</v>
      </c>
      <c r="N966" t="e">
        <f>RigheOfferte[[#This Row],[nr.pezzi ora-unita]]</f>
        <v>#VALUE!</v>
      </c>
      <c r="O966" t="e">
        <f>Tabella1[[#This Row],[superificie]]*Resa</f>
        <v>#VALUE!</v>
      </c>
      <c r="P966" t="e">
        <f>Tabella1[[#This Row],[KgPezzo]]*Tabella1[[#This Row],[q.ta offerta]]</f>
        <v>#VALUE!</v>
      </c>
      <c r="Q966" t="e">
        <f>RigheOfferte[[#This Row],[QtaProtez]]</f>
        <v>#VALUE!</v>
      </c>
      <c r="R966" t="e">
        <f>RigheOfferte[[#This Row],[Tipo Protezione]]</f>
        <v>#VALUE!</v>
      </c>
    </row>
    <row r="967" spans="1:18">
      <c r="A967" t="e">
        <f>RigheOfferte[[#This Row],[Nprev]]</f>
        <v>#VALUE!</v>
      </c>
      <c r="B967" t="e">
        <f>RigheOfferte[[#This Row],[Nriga]]</f>
        <v>#VALUE!</v>
      </c>
      <c r="C967" t="e">
        <f>RigheOfferte[[#This Row],[Cliente]]</f>
        <v>#VALUE!</v>
      </c>
      <c r="D967" t="e">
        <f>RigheOfferte[[#This Row],[sub_cliente]]</f>
        <v>#VALUE!</v>
      </c>
      <c r="E967" t="e">
        <f>RigheOfferte[[#This Row],[cod.Art.]]</f>
        <v>#VALUE!</v>
      </c>
      <c r="F967" t="e">
        <f>RigheOfferte[[#This Row],[Descrizione]]</f>
        <v>#VALUE!</v>
      </c>
      <c r="G967" t="e">
        <f>RigheOfferte[[#This Row],[Q.ta'']]</f>
        <v>#VALUE!</v>
      </c>
      <c r="H967" t="e">
        <f>RigheOfferte[[#This Row],[Lavorazione]]</f>
        <v>#VALUE!</v>
      </c>
      <c r="I967" t="e">
        <f>RigheOfferte[[#This Row],[Colore]]</f>
        <v>#VALUE!</v>
      </c>
      <c r="J967" t="e">
        <f>RigheOfferte[[#This Row],[Velocità]]</f>
        <v>#VALUE!</v>
      </c>
      <c r="K967" t="e">
        <f>RigheOfferte[[#This Row],[Superf.pz Mq]]</f>
        <v>#VALUE!</v>
      </c>
      <c r="L967" t="e">
        <f>RigheOfferte[[#This Row],[passo]]</f>
        <v>#VALUE!</v>
      </c>
      <c r="M967" t="e">
        <f>RigheOfferte[[#This Row],[nr.pezzi Telaio]]</f>
        <v>#VALUE!</v>
      </c>
      <c r="N967" t="e">
        <f>RigheOfferte[[#This Row],[nr.pezzi ora-unita]]</f>
        <v>#VALUE!</v>
      </c>
      <c r="O967" t="e">
        <f>Tabella1[[#This Row],[superificie]]*Resa</f>
        <v>#VALUE!</v>
      </c>
      <c r="P967" t="e">
        <f>Tabella1[[#This Row],[KgPezzo]]*Tabella1[[#This Row],[q.ta offerta]]</f>
        <v>#VALUE!</v>
      </c>
      <c r="Q967" t="e">
        <f>RigheOfferte[[#This Row],[QtaProtez]]</f>
        <v>#VALUE!</v>
      </c>
      <c r="R967" t="e">
        <f>RigheOfferte[[#This Row],[Tipo Protezione]]</f>
        <v>#VALUE!</v>
      </c>
    </row>
    <row r="968" spans="1:18">
      <c r="A968" t="e">
        <f>RigheOfferte[[#This Row],[Nprev]]</f>
        <v>#VALUE!</v>
      </c>
      <c r="B968" t="e">
        <f>RigheOfferte[[#This Row],[Nriga]]</f>
        <v>#VALUE!</v>
      </c>
      <c r="C968" t="e">
        <f>RigheOfferte[[#This Row],[Cliente]]</f>
        <v>#VALUE!</v>
      </c>
      <c r="D968" t="e">
        <f>RigheOfferte[[#This Row],[sub_cliente]]</f>
        <v>#VALUE!</v>
      </c>
      <c r="E968" t="e">
        <f>RigheOfferte[[#This Row],[cod.Art.]]</f>
        <v>#VALUE!</v>
      </c>
      <c r="F968" t="e">
        <f>RigheOfferte[[#This Row],[Descrizione]]</f>
        <v>#VALUE!</v>
      </c>
      <c r="G968" t="e">
        <f>RigheOfferte[[#This Row],[Q.ta'']]</f>
        <v>#VALUE!</v>
      </c>
      <c r="H968" t="e">
        <f>RigheOfferte[[#This Row],[Lavorazione]]</f>
        <v>#VALUE!</v>
      </c>
      <c r="I968" t="e">
        <f>RigheOfferte[[#This Row],[Colore]]</f>
        <v>#VALUE!</v>
      </c>
      <c r="J968" t="e">
        <f>RigheOfferte[[#This Row],[Velocità]]</f>
        <v>#VALUE!</v>
      </c>
      <c r="K968" t="e">
        <f>RigheOfferte[[#This Row],[Superf.pz Mq]]</f>
        <v>#VALUE!</v>
      </c>
      <c r="L968" t="e">
        <f>RigheOfferte[[#This Row],[passo]]</f>
        <v>#VALUE!</v>
      </c>
      <c r="M968" t="e">
        <f>RigheOfferte[[#This Row],[nr.pezzi Telaio]]</f>
        <v>#VALUE!</v>
      </c>
      <c r="N968" t="e">
        <f>RigheOfferte[[#This Row],[nr.pezzi ora-unita]]</f>
        <v>#VALUE!</v>
      </c>
      <c r="O968" t="e">
        <f>Tabella1[[#This Row],[superificie]]*Resa</f>
        <v>#VALUE!</v>
      </c>
      <c r="P968" t="e">
        <f>Tabella1[[#This Row],[KgPezzo]]*Tabella1[[#This Row],[q.ta offerta]]</f>
        <v>#VALUE!</v>
      </c>
      <c r="Q968" t="e">
        <f>RigheOfferte[[#This Row],[QtaProtez]]</f>
        <v>#VALUE!</v>
      </c>
      <c r="R968" t="e">
        <f>RigheOfferte[[#This Row],[Tipo Protezione]]</f>
        <v>#VALUE!</v>
      </c>
    </row>
    <row r="969" spans="1:18">
      <c r="A969" t="e">
        <f>RigheOfferte[[#This Row],[Nprev]]</f>
        <v>#VALUE!</v>
      </c>
      <c r="B969" t="e">
        <f>RigheOfferte[[#This Row],[Nriga]]</f>
        <v>#VALUE!</v>
      </c>
      <c r="C969" t="e">
        <f>RigheOfferte[[#This Row],[Cliente]]</f>
        <v>#VALUE!</v>
      </c>
      <c r="D969" t="e">
        <f>RigheOfferte[[#This Row],[sub_cliente]]</f>
        <v>#VALUE!</v>
      </c>
      <c r="E969" t="e">
        <f>RigheOfferte[[#This Row],[cod.Art.]]</f>
        <v>#VALUE!</v>
      </c>
      <c r="F969" t="e">
        <f>RigheOfferte[[#This Row],[Descrizione]]</f>
        <v>#VALUE!</v>
      </c>
      <c r="G969" t="e">
        <f>RigheOfferte[[#This Row],[Q.ta'']]</f>
        <v>#VALUE!</v>
      </c>
      <c r="H969" t="e">
        <f>RigheOfferte[[#This Row],[Lavorazione]]</f>
        <v>#VALUE!</v>
      </c>
      <c r="I969" t="e">
        <f>RigheOfferte[[#This Row],[Colore]]</f>
        <v>#VALUE!</v>
      </c>
      <c r="J969" t="e">
        <f>RigheOfferte[[#This Row],[Velocità]]</f>
        <v>#VALUE!</v>
      </c>
      <c r="K969" t="e">
        <f>RigheOfferte[[#This Row],[Superf.pz Mq]]</f>
        <v>#VALUE!</v>
      </c>
      <c r="L969" t="e">
        <f>RigheOfferte[[#This Row],[passo]]</f>
        <v>#VALUE!</v>
      </c>
      <c r="M969" t="e">
        <f>RigheOfferte[[#This Row],[nr.pezzi Telaio]]</f>
        <v>#VALUE!</v>
      </c>
      <c r="N969" t="e">
        <f>RigheOfferte[[#This Row],[nr.pezzi ora-unita]]</f>
        <v>#VALUE!</v>
      </c>
      <c r="O969" t="e">
        <f>Tabella1[[#This Row],[superificie]]*Resa</f>
        <v>#VALUE!</v>
      </c>
      <c r="P969" t="e">
        <f>Tabella1[[#This Row],[KgPezzo]]*Tabella1[[#This Row],[q.ta offerta]]</f>
        <v>#VALUE!</v>
      </c>
      <c r="Q969" t="e">
        <f>RigheOfferte[[#This Row],[QtaProtez]]</f>
        <v>#VALUE!</v>
      </c>
      <c r="R969" t="e">
        <f>RigheOfferte[[#This Row],[Tipo Protezione]]</f>
        <v>#VALUE!</v>
      </c>
    </row>
    <row r="970" spans="1:18">
      <c r="A970" t="e">
        <f>RigheOfferte[[#This Row],[Nprev]]</f>
        <v>#VALUE!</v>
      </c>
      <c r="B970" t="e">
        <f>RigheOfferte[[#This Row],[Nriga]]</f>
        <v>#VALUE!</v>
      </c>
      <c r="C970" t="e">
        <f>RigheOfferte[[#This Row],[Cliente]]</f>
        <v>#VALUE!</v>
      </c>
      <c r="D970" t="e">
        <f>RigheOfferte[[#This Row],[sub_cliente]]</f>
        <v>#VALUE!</v>
      </c>
      <c r="E970" t="e">
        <f>RigheOfferte[[#This Row],[cod.Art.]]</f>
        <v>#VALUE!</v>
      </c>
      <c r="F970" t="e">
        <f>RigheOfferte[[#This Row],[Descrizione]]</f>
        <v>#VALUE!</v>
      </c>
      <c r="G970" t="e">
        <f>RigheOfferte[[#This Row],[Q.ta'']]</f>
        <v>#VALUE!</v>
      </c>
      <c r="H970" t="e">
        <f>RigheOfferte[[#This Row],[Lavorazione]]</f>
        <v>#VALUE!</v>
      </c>
      <c r="I970" t="e">
        <f>RigheOfferte[[#This Row],[Colore]]</f>
        <v>#VALUE!</v>
      </c>
      <c r="J970" t="e">
        <f>RigheOfferte[[#This Row],[Velocità]]</f>
        <v>#VALUE!</v>
      </c>
      <c r="K970" t="e">
        <f>RigheOfferte[[#This Row],[Superf.pz Mq]]</f>
        <v>#VALUE!</v>
      </c>
      <c r="L970" t="e">
        <f>RigheOfferte[[#This Row],[passo]]</f>
        <v>#VALUE!</v>
      </c>
      <c r="M970" t="e">
        <f>RigheOfferte[[#This Row],[nr.pezzi Telaio]]</f>
        <v>#VALUE!</v>
      </c>
      <c r="N970" t="e">
        <f>RigheOfferte[[#This Row],[nr.pezzi ora-unita]]</f>
        <v>#VALUE!</v>
      </c>
      <c r="O970" t="e">
        <f>Tabella1[[#This Row],[superificie]]*Resa</f>
        <v>#VALUE!</v>
      </c>
      <c r="P970" t="e">
        <f>Tabella1[[#This Row],[KgPezzo]]*Tabella1[[#This Row],[q.ta offerta]]</f>
        <v>#VALUE!</v>
      </c>
      <c r="Q970" t="e">
        <f>RigheOfferte[[#This Row],[QtaProtez]]</f>
        <v>#VALUE!</v>
      </c>
      <c r="R970" t="e">
        <f>RigheOfferte[[#This Row],[Tipo Protezione]]</f>
        <v>#VALUE!</v>
      </c>
    </row>
    <row r="971" spans="1:18">
      <c r="A971" t="e">
        <f>RigheOfferte[[#This Row],[Nprev]]</f>
        <v>#VALUE!</v>
      </c>
      <c r="B971" t="e">
        <f>RigheOfferte[[#This Row],[Nriga]]</f>
        <v>#VALUE!</v>
      </c>
      <c r="C971" t="e">
        <f>RigheOfferte[[#This Row],[Cliente]]</f>
        <v>#VALUE!</v>
      </c>
      <c r="D971" t="e">
        <f>RigheOfferte[[#This Row],[sub_cliente]]</f>
        <v>#VALUE!</v>
      </c>
      <c r="E971" t="e">
        <f>RigheOfferte[[#This Row],[cod.Art.]]</f>
        <v>#VALUE!</v>
      </c>
      <c r="F971" t="e">
        <f>RigheOfferte[[#This Row],[Descrizione]]</f>
        <v>#VALUE!</v>
      </c>
      <c r="G971" t="e">
        <f>RigheOfferte[[#This Row],[Q.ta'']]</f>
        <v>#VALUE!</v>
      </c>
      <c r="H971" t="e">
        <f>RigheOfferte[[#This Row],[Lavorazione]]</f>
        <v>#VALUE!</v>
      </c>
      <c r="I971" t="e">
        <f>RigheOfferte[[#This Row],[Colore]]</f>
        <v>#VALUE!</v>
      </c>
      <c r="J971" t="e">
        <f>RigheOfferte[[#This Row],[Velocità]]</f>
        <v>#VALUE!</v>
      </c>
      <c r="K971" t="e">
        <f>RigheOfferte[[#This Row],[Superf.pz Mq]]</f>
        <v>#VALUE!</v>
      </c>
      <c r="L971" t="e">
        <f>RigheOfferte[[#This Row],[passo]]</f>
        <v>#VALUE!</v>
      </c>
      <c r="M971" t="e">
        <f>RigheOfferte[[#This Row],[nr.pezzi Telaio]]</f>
        <v>#VALUE!</v>
      </c>
      <c r="N971" t="e">
        <f>RigheOfferte[[#This Row],[nr.pezzi ora-unita]]</f>
        <v>#VALUE!</v>
      </c>
      <c r="O971" t="e">
        <f>Tabella1[[#This Row],[superificie]]*Resa</f>
        <v>#VALUE!</v>
      </c>
      <c r="P971" t="e">
        <f>Tabella1[[#This Row],[KgPezzo]]*Tabella1[[#This Row],[q.ta offerta]]</f>
        <v>#VALUE!</v>
      </c>
      <c r="Q971" t="e">
        <f>RigheOfferte[[#This Row],[QtaProtez]]</f>
        <v>#VALUE!</v>
      </c>
      <c r="R971" t="e">
        <f>RigheOfferte[[#This Row],[Tipo Protezione]]</f>
        <v>#VALUE!</v>
      </c>
    </row>
    <row r="972" spans="1:18">
      <c r="A972" t="e">
        <f>RigheOfferte[[#This Row],[Nprev]]</f>
        <v>#VALUE!</v>
      </c>
      <c r="B972" t="e">
        <f>RigheOfferte[[#This Row],[Nriga]]</f>
        <v>#VALUE!</v>
      </c>
      <c r="C972" t="e">
        <f>RigheOfferte[[#This Row],[Cliente]]</f>
        <v>#VALUE!</v>
      </c>
      <c r="D972" t="e">
        <f>RigheOfferte[[#This Row],[sub_cliente]]</f>
        <v>#VALUE!</v>
      </c>
      <c r="E972" t="e">
        <f>RigheOfferte[[#This Row],[cod.Art.]]</f>
        <v>#VALUE!</v>
      </c>
      <c r="F972" t="e">
        <f>RigheOfferte[[#This Row],[Descrizione]]</f>
        <v>#VALUE!</v>
      </c>
      <c r="G972" t="e">
        <f>RigheOfferte[[#This Row],[Q.ta'']]</f>
        <v>#VALUE!</v>
      </c>
      <c r="H972" t="e">
        <f>RigheOfferte[[#This Row],[Lavorazione]]</f>
        <v>#VALUE!</v>
      </c>
      <c r="I972" t="e">
        <f>RigheOfferte[[#This Row],[Colore]]</f>
        <v>#VALUE!</v>
      </c>
      <c r="J972" t="e">
        <f>RigheOfferte[[#This Row],[Velocità]]</f>
        <v>#VALUE!</v>
      </c>
      <c r="K972" t="e">
        <f>RigheOfferte[[#This Row],[Superf.pz Mq]]</f>
        <v>#VALUE!</v>
      </c>
      <c r="L972" t="e">
        <f>RigheOfferte[[#This Row],[passo]]</f>
        <v>#VALUE!</v>
      </c>
      <c r="M972" t="e">
        <f>RigheOfferte[[#This Row],[nr.pezzi Telaio]]</f>
        <v>#VALUE!</v>
      </c>
      <c r="N972" t="e">
        <f>RigheOfferte[[#This Row],[nr.pezzi ora-unita]]</f>
        <v>#VALUE!</v>
      </c>
      <c r="O972" t="e">
        <f>Tabella1[[#This Row],[superificie]]*Resa</f>
        <v>#VALUE!</v>
      </c>
      <c r="P972" t="e">
        <f>Tabella1[[#This Row],[KgPezzo]]*Tabella1[[#This Row],[q.ta offerta]]</f>
        <v>#VALUE!</v>
      </c>
      <c r="Q972" t="e">
        <f>RigheOfferte[[#This Row],[QtaProtez]]</f>
        <v>#VALUE!</v>
      </c>
      <c r="R972" t="e">
        <f>RigheOfferte[[#This Row],[Tipo Protezione]]</f>
        <v>#VALUE!</v>
      </c>
    </row>
    <row r="973" spans="1:18">
      <c r="A973" t="e">
        <f>RigheOfferte[[#This Row],[Nprev]]</f>
        <v>#VALUE!</v>
      </c>
      <c r="B973" t="e">
        <f>RigheOfferte[[#This Row],[Nriga]]</f>
        <v>#VALUE!</v>
      </c>
      <c r="C973" t="e">
        <f>RigheOfferte[[#This Row],[Cliente]]</f>
        <v>#VALUE!</v>
      </c>
      <c r="D973" t="e">
        <f>RigheOfferte[[#This Row],[sub_cliente]]</f>
        <v>#VALUE!</v>
      </c>
      <c r="E973" t="e">
        <f>RigheOfferte[[#This Row],[cod.Art.]]</f>
        <v>#VALUE!</v>
      </c>
      <c r="F973" t="e">
        <f>RigheOfferte[[#This Row],[Descrizione]]</f>
        <v>#VALUE!</v>
      </c>
      <c r="G973" t="e">
        <f>RigheOfferte[[#This Row],[Q.ta'']]</f>
        <v>#VALUE!</v>
      </c>
      <c r="H973" t="e">
        <f>RigheOfferte[[#This Row],[Lavorazione]]</f>
        <v>#VALUE!</v>
      </c>
      <c r="I973" t="e">
        <f>RigheOfferte[[#This Row],[Colore]]</f>
        <v>#VALUE!</v>
      </c>
      <c r="J973" t="e">
        <f>RigheOfferte[[#This Row],[Velocità]]</f>
        <v>#VALUE!</v>
      </c>
      <c r="K973" t="e">
        <f>RigheOfferte[[#This Row],[Superf.pz Mq]]</f>
        <v>#VALUE!</v>
      </c>
      <c r="L973" t="e">
        <f>RigheOfferte[[#This Row],[passo]]</f>
        <v>#VALUE!</v>
      </c>
      <c r="M973" t="e">
        <f>RigheOfferte[[#This Row],[nr.pezzi Telaio]]</f>
        <v>#VALUE!</v>
      </c>
      <c r="N973" t="e">
        <f>RigheOfferte[[#This Row],[nr.pezzi ora-unita]]</f>
        <v>#VALUE!</v>
      </c>
      <c r="O973" t="e">
        <f>Tabella1[[#This Row],[superificie]]*Resa</f>
        <v>#VALUE!</v>
      </c>
      <c r="P973" t="e">
        <f>Tabella1[[#This Row],[KgPezzo]]*Tabella1[[#This Row],[q.ta offerta]]</f>
        <v>#VALUE!</v>
      </c>
      <c r="Q973" t="e">
        <f>RigheOfferte[[#This Row],[QtaProtez]]</f>
        <v>#VALUE!</v>
      </c>
      <c r="R973" t="e">
        <f>RigheOfferte[[#This Row],[Tipo Protezione]]</f>
        <v>#VALUE!</v>
      </c>
    </row>
    <row r="974" spans="1:18">
      <c r="A974" t="e">
        <f>RigheOfferte[[#This Row],[Nprev]]</f>
        <v>#VALUE!</v>
      </c>
      <c r="B974" t="e">
        <f>RigheOfferte[[#This Row],[Nriga]]</f>
        <v>#VALUE!</v>
      </c>
      <c r="C974" t="e">
        <f>RigheOfferte[[#This Row],[Cliente]]</f>
        <v>#VALUE!</v>
      </c>
      <c r="D974" t="e">
        <f>RigheOfferte[[#This Row],[sub_cliente]]</f>
        <v>#VALUE!</v>
      </c>
      <c r="E974" t="e">
        <f>RigheOfferte[[#This Row],[cod.Art.]]</f>
        <v>#VALUE!</v>
      </c>
      <c r="F974" t="e">
        <f>RigheOfferte[[#This Row],[Descrizione]]</f>
        <v>#VALUE!</v>
      </c>
      <c r="G974" t="e">
        <f>RigheOfferte[[#This Row],[Q.ta'']]</f>
        <v>#VALUE!</v>
      </c>
      <c r="H974" t="e">
        <f>RigheOfferte[[#This Row],[Lavorazione]]</f>
        <v>#VALUE!</v>
      </c>
      <c r="I974" t="e">
        <f>RigheOfferte[[#This Row],[Colore]]</f>
        <v>#VALUE!</v>
      </c>
      <c r="J974" t="e">
        <f>RigheOfferte[[#This Row],[Velocità]]</f>
        <v>#VALUE!</v>
      </c>
      <c r="K974" t="e">
        <f>RigheOfferte[[#This Row],[Superf.pz Mq]]</f>
        <v>#VALUE!</v>
      </c>
      <c r="L974" t="e">
        <f>RigheOfferte[[#This Row],[passo]]</f>
        <v>#VALUE!</v>
      </c>
      <c r="M974" t="e">
        <f>RigheOfferte[[#This Row],[nr.pezzi Telaio]]</f>
        <v>#VALUE!</v>
      </c>
      <c r="N974" t="e">
        <f>RigheOfferte[[#This Row],[nr.pezzi ora-unita]]</f>
        <v>#VALUE!</v>
      </c>
      <c r="O974" t="e">
        <f>Tabella1[[#This Row],[superificie]]*Resa</f>
        <v>#VALUE!</v>
      </c>
      <c r="P974" t="e">
        <f>Tabella1[[#This Row],[KgPezzo]]*Tabella1[[#This Row],[q.ta offerta]]</f>
        <v>#VALUE!</v>
      </c>
      <c r="Q974" t="e">
        <f>RigheOfferte[[#This Row],[QtaProtez]]</f>
        <v>#VALUE!</v>
      </c>
      <c r="R974" t="e">
        <f>RigheOfferte[[#This Row],[Tipo Protezione]]</f>
        <v>#VALUE!</v>
      </c>
    </row>
    <row r="975" spans="1:18">
      <c r="A975" t="e">
        <f>RigheOfferte[[#This Row],[Nprev]]</f>
        <v>#VALUE!</v>
      </c>
      <c r="B975" t="e">
        <f>RigheOfferte[[#This Row],[Nriga]]</f>
        <v>#VALUE!</v>
      </c>
      <c r="C975" t="e">
        <f>RigheOfferte[[#This Row],[Cliente]]</f>
        <v>#VALUE!</v>
      </c>
      <c r="D975" t="e">
        <f>RigheOfferte[[#This Row],[sub_cliente]]</f>
        <v>#VALUE!</v>
      </c>
      <c r="E975" t="e">
        <f>RigheOfferte[[#This Row],[cod.Art.]]</f>
        <v>#VALUE!</v>
      </c>
      <c r="F975" t="e">
        <f>RigheOfferte[[#This Row],[Descrizione]]</f>
        <v>#VALUE!</v>
      </c>
      <c r="G975" t="e">
        <f>RigheOfferte[[#This Row],[Q.ta'']]</f>
        <v>#VALUE!</v>
      </c>
      <c r="H975" t="e">
        <f>RigheOfferte[[#This Row],[Lavorazione]]</f>
        <v>#VALUE!</v>
      </c>
      <c r="I975" t="e">
        <f>RigheOfferte[[#This Row],[Colore]]</f>
        <v>#VALUE!</v>
      </c>
      <c r="J975" t="e">
        <f>RigheOfferte[[#This Row],[Velocità]]</f>
        <v>#VALUE!</v>
      </c>
      <c r="K975" t="e">
        <f>RigheOfferte[[#This Row],[Superf.pz Mq]]</f>
        <v>#VALUE!</v>
      </c>
      <c r="L975" t="e">
        <f>RigheOfferte[[#This Row],[passo]]</f>
        <v>#VALUE!</v>
      </c>
      <c r="M975" t="e">
        <f>RigheOfferte[[#This Row],[nr.pezzi Telaio]]</f>
        <v>#VALUE!</v>
      </c>
      <c r="N975" t="e">
        <f>RigheOfferte[[#This Row],[nr.pezzi ora-unita]]</f>
        <v>#VALUE!</v>
      </c>
      <c r="O975" t="e">
        <f>Tabella1[[#This Row],[superificie]]*Resa</f>
        <v>#VALUE!</v>
      </c>
      <c r="P975" t="e">
        <f>Tabella1[[#This Row],[KgPezzo]]*Tabella1[[#This Row],[q.ta offerta]]</f>
        <v>#VALUE!</v>
      </c>
      <c r="Q975" t="e">
        <f>RigheOfferte[[#This Row],[QtaProtez]]</f>
        <v>#VALUE!</v>
      </c>
      <c r="R975" t="e">
        <f>RigheOfferte[[#This Row],[Tipo Protezione]]</f>
        <v>#VALUE!</v>
      </c>
    </row>
    <row r="976" spans="1:18">
      <c r="A976" t="e">
        <f>RigheOfferte[[#This Row],[Nprev]]</f>
        <v>#VALUE!</v>
      </c>
      <c r="B976" t="e">
        <f>RigheOfferte[[#This Row],[Nriga]]</f>
        <v>#VALUE!</v>
      </c>
      <c r="C976" t="e">
        <f>RigheOfferte[[#This Row],[Cliente]]</f>
        <v>#VALUE!</v>
      </c>
      <c r="D976" t="e">
        <f>RigheOfferte[[#This Row],[sub_cliente]]</f>
        <v>#VALUE!</v>
      </c>
      <c r="E976" t="e">
        <f>RigheOfferte[[#This Row],[cod.Art.]]</f>
        <v>#VALUE!</v>
      </c>
      <c r="F976" t="e">
        <f>RigheOfferte[[#This Row],[Descrizione]]</f>
        <v>#VALUE!</v>
      </c>
      <c r="G976" t="e">
        <f>RigheOfferte[[#This Row],[Q.ta'']]</f>
        <v>#VALUE!</v>
      </c>
      <c r="H976" t="e">
        <f>RigheOfferte[[#This Row],[Lavorazione]]</f>
        <v>#VALUE!</v>
      </c>
      <c r="I976" t="e">
        <f>RigheOfferte[[#This Row],[Colore]]</f>
        <v>#VALUE!</v>
      </c>
      <c r="J976" t="e">
        <f>RigheOfferte[[#This Row],[Velocità]]</f>
        <v>#VALUE!</v>
      </c>
      <c r="K976" t="e">
        <f>RigheOfferte[[#This Row],[Superf.pz Mq]]</f>
        <v>#VALUE!</v>
      </c>
      <c r="L976" t="e">
        <f>RigheOfferte[[#This Row],[passo]]</f>
        <v>#VALUE!</v>
      </c>
      <c r="M976" t="e">
        <f>RigheOfferte[[#This Row],[nr.pezzi Telaio]]</f>
        <v>#VALUE!</v>
      </c>
      <c r="N976" t="e">
        <f>RigheOfferte[[#This Row],[nr.pezzi ora-unita]]</f>
        <v>#VALUE!</v>
      </c>
      <c r="O976" t="e">
        <f>Tabella1[[#This Row],[superificie]]*Resa</f>
        <v>#VALUE!</v>
      </c>
      <c r="P976" t="e">
        <f>Tabella1[[#This Row],[KgPezzo]]*Tabella1[[#This Row],[q.ta offerta]]</f>
        <v>#VALUE!</v>
      </c>
      <c r="Q976" t="e">
        <f>RigheOfferte[[#This Row],[QtaProtez]]</f>
        <v>#VALUE!</v>
      </c>
      <c r="R976" t="e">
        <f>RigheOfferte[[#This Row],[Tipo Protezione]]</f>
        <v>#VALUE!</v>
      </c>
    </row>
    <row r="977" spans="1:18">
      <c r="A977" t="e">
        <f>RigheOfferte[[#This Row],[Nprev]]</f>
        <v>#VALUE!</v>
      </c>
      <c r="B977" t="e">
        <f>RigheOfferte[[#This Row],[Nriga]]</f>
        <v>#VALUE!</v>
      </c>
      <c r="C977" t="e">
        <f>RigheOfferte[[#This Row],[Cliente]]</f>
        <v>#VALUE!</v>
      </c>
      <c r="D977" t="e">
        <f>RigheOfferte[[#This Row],[sub_cliente]]</f>
        <v>#VALUE!</v>
      </c>
      <c r="E977" t="e">
        <f>RigheOfferte[[#This Row],[cod.Art.]]</f>
        <v>#VALUE!</v>
      </c>
      <c r="F977" t="e">
        <f>RigheOfferte[[#This Row],[Descrizione]]</f>
        <v>#VALUE!</v>
      </c>
      <c r="G977" t="e">
        <f>RigheOfferte[[#This Row],[Q.ta'']]</f>
        <v>#VALUE!</v>
      </c>
      <c r="H977" t="e">
        <f>RigheOfferte[[#This Row],[Lavorazione]]</f>
        <v>#VALUE!</v>
      </c>
      <c r="I977" t="e">
        <f>RigheOfferte[[#This Row],[Colore]]</f>
        <v>#VALUE!</v>
      </c>
      <c r="J977" t="e">
        <f>RigheOfferte[[#This Row],[Velocità]]</f>
        <v>#VALUE!</v>
      </c>
      <c r="K977" t="e">
        <f>RigheOfferte[[#This Row],[Superf.pz Mq]]</f>
        <v>#VALUE!</v>
      </c>
      <c r="L977" t="e">
        <f>RigheOfferte[[#This Row],[passo]]</f>
        <v>#VALUE!</v>
      </c>
      <c r="M977" t="e">
        <f>RigheOfferte[[#This Row],[nr.pezzi Telaio]]</f>
        <v>#VALUE!</v>
      </c>
      <c r="N977" t="e">
        <f>RigheOfferte[[#This Row],[nr.pezzi ora-unita]]</f>
        <v>#VALUE!</v>
      </c>
      <c r="O977" t="e">
        <f>Tabella1[[#This Row],[superificie]]*Resa</f>
        <v>#VALUE!</v>
      </c>
      <c r="P977" t="e">
        <f>Tabella1[[#This Row],[KgPezzo]]*Tabella1[[#This Row],[q.ta offerta]]</f>
        <v>#VALUE!</v>
      </c>
      <c r="Q977" t="e">
        <f>RigheOfferte[[#This Row],[QtaProtez]]</f>
        <v>#VALUE!</v>
      </c>
      <c r="R977" t="e">
        <f>RigheOfferte[[#This Row],[Tipo Protezione]]</f>
        <v>#VALUE!</v>
      </c>
    </row>
    <row r="978" spans="1:18">
      <c r="A978" t="e">
        <f>RigheOfferte[[#This Row],[Nprev]]</f>
        <v>#VALUE!</v>
      </c>
      <c r="B978" t="e">
        <f>RigheOfferte[[#This Row],[Nriga]]</f>
        <v>#VALUE!</v>
      </c>
      <c r="C978" t="e">
        <f>RigheOfferte[[#This Row],[Cliente]]</f>
        <v>#VALUE!</v>
      </c>
      <c r="D978" t="e">
        <f>RigheOfferte[[#This Row],[sub_cliente]]</f>
        <v>#VALUE!</v>
      </c>
      <c r="E978" t="e">
        <f>RigheOfferte[[#This Row],[cod.Art.]]</f>
        <v>#VALUE!</v>
      </c>
      <c r="F978" t="e">
        <f>RigheOfferte[[#This Row],[Descrizione]]</f>
        <v>#VALUE!</v>
      </c>
      <c r="G978" t="e">
        <f>RigheOfferte[[#This Row],[Q.ta'']]</f>
        <v>#VALUE!</v>
      </c>
      <c r="H978" t="e">
        <f>RigheOfferte[[#This Row],[Lavorazione]]</f>
        <v>#VALUE!</v>
      </c>
      <c r="I978" t="e">
        <f>RigheOfferte[[#This Row],[Colore]]</f>
        <v>#VALUE!</v>
      </c>
      <c r="J978" t="e">
        <f>RigheOfferte[[#This Row],[Velocità]]</f>
        <v>#VALUE!</v>
      </c>
      <c r="K978" t="e">
        <f>RigheOfferte[[#This Row],[Superf.pz Mq]]</f>
        <v>#VALUE!</v>
      </c>
      <c r="L978" t="e">
        <f>RigheOfferte[[#This Row],[passo]]</f>
        <v>#VALUE!</v>
      </c>
      <c r="M978" t="e">
        <f>RigheOfferte[[#This Row],[nr.pezzi Telaio]]</f>
        <v>#VALUE!</v>
      </c>
      <c r="N978" t="e">
        <f>RigheOfferte[[#This Row],[nr.pezzi ora-unita]]</f>
        <v>#VALUE!</v>
      </c>
      <c r="O978" t="e">
        <f>Tabella1[[#This Row],[superificie]]*Resa</f>
        <v>#VALUE!</v>
      </c>
      <c r="P978" t="e">
        <f>Tabella1[[#This Row],[KgPezzo]]*Tabella1[[#This Row],[q.ta offerta]]</f>
        <v>#VALUE!</v>
      </c>
      <c r="Q978" t="e">
        <f>RigheOfferte[[#This Row],[QtaProtez]]</f>
        <v>#VALUE!</v>
      </c>
      <c r="R978" t="e">
        <f>RigheOfferte[[#This Row],[Tipo Protezione]]</f>
        <v>#VALUE!</v>
      </c>
    </row>
    <row r="979" spans="1:18">
      <c r="A979" t="e">
        <f>RigheOfferte[[#This Row],[Nprev]]</f>
        <v>#VALUE!</v>
      </c>
      <c r="B979" t="e">
        <f>RigheOfferte[[#This Row],[Nriga]]</f>
        <v>#VALUE!</v>
      </c>
      <c r="C979" t="e">
        <f>RigheOfferte[[#This Row],[Cliente]]</f>
        <v>#VALUE!</v>
      </c>
      <c r="D979" t="e">
        <f>RigheOfferte[[#This Row],[sub_cliente]]</f>
        <v>#VALUE!</v>
      </c>
      <c r="E979" t="e">
        <f>RigheOfferte[[#This Row],[cod.Art.]]</f>
        <v>#VALUE!</v>
      </c>
      <c r="F979" t="e">
        <f>RigheOfferte[[#This Row],[Descrizione]]</f>
        <v>#VALUE!</v>
      </c>
      <c r="G979" t="e">
        <f>RigheOfferte[[#This Row],[Q.ta'']]</f>
        <v>#VALUE!</v>
      </c>
      <c r="H979" t="e">
        <f>RigheOfferte[[#This Row],[Lavorazione]]</f>
        <v>#VALUE!</v>
      </c>
      <c r="I979" t="e">
        <f>RigheOfferte[[#This Row],[Colore]]</f>
        <v>#VALUE!</v>
      </c>
      <c r="J979" t="e">
        <f>RigheOfferte[[#This Row],[Velocità]]</f>
        <v>#VALUE!</v>
      </c>
      <c r="K979" t="e">
        <f>RigheOfferte[[#This Row],[Superf.pz Mq]]</f>
        <v>#VALUE!</v>
      </c>
      <c r="L979" t="e">
        <f>RigheOfferte[[#This Row],[passo]]</f>
        <v>#VALUE!</v>
      </c>
      <c r="M979" t="e">
        <f>RigheOfferte[[#This Row],[nr.pezzi Telaio]]</f>
        <v>#VALUE!</v>
      </c>
      <c r="N979" t="e">
        <f>RigheOfferte[[#This Row],[nr.pezzi ora-unita]]</f>
        <v>#VALUE!</v>
      </c>
      <c r="O979" t="e">
        <f>Tabella1[[#This Row],[superificie]]*Resa</f>
        <v>#VALUE!</v>
      </c>
      <c r="P979" t="e">
        <f>Tabella1[[#This Row],[KgPezzo]]*Tabella1[[#This Row],[q.ta offerta]]</f>
        <v>#VALUE!</v>
      </c>
      <c r="Q979" t="e">
        <f>RigheOfferte[[#This Row],[QtaProtez]]</f>
        <v>#VALUE!</v>
      </c>
      <c r="R979" t="e">
        <f>RigheOfferte[[#This Row],[Tipo Protezione]]</f>
        <v>#VALUE!</v>
      </c>
    </row>
    <row r="980" spans="1:18">
      <c r="A980" t="e">
        <f>RigheOfferte[[#This Row],[Nprev]]</f>
        <v>#VALUE!</v>
      </c>
      <c r="B980" t="e">
        <f>RigheOfferte[[#This Row],[Nriga]]</f>
        <v>#VALUE!</v>
      </c>
      <c r="C980" t="e">
        <f>RigheOfferte[[#This Row],[Cliente]]</f>
        <v>#VALUE!</v>
      </c>
      <c r="D980" t="e">
        <f>RigheOfferte[[#This Row],[sub_cliente]]</f>
        <v>#VALUE!</v>
      </c>
      <c r="E980" t="e">
        <f>RigheOfferte[[#This Row],[cod.Art.]]</f>
        <v>#VALUE!</v>
      </c>
      <c r="F980" t="e">
        <f>RigheOfferte[[#This Row],[Descrizione]]</f>
        <v>#VALUE!</v>
      </c>
      <c r="G980" t="e">
        <f>RigheOfferte[[#This Row],[Q.ta'']]</f>
        <v>#VALUE!</v>
      </c>
      <c r="H980" t="e">
        <f>RigheOfferte[[#This Row],[Lavorazione]]</f>
        <v>#VALUE!</v>
      </c>
      <c r="I980" t="e">
        <f>RigheOfferte[[#This Row],[Colore]]</f>
        <v>#VALUE!</v>
      </c>
      <c r="J980" t="e">
        <f>RigheOfferte[[#This Row],[Velocità]]</f>
        <v>#VALUE!</v>
      </c>
      <c r="K980" t="e">
        <f>RigheOfferte[[#This Row],[Superf.pz Mq]]</f>
        <v>#VALUE!</v>
      </c>
      <c r="L980" t="e">
        <f>RigheOfferte[[#This Row],[passo]]</f>
        <v>#VALUE!</v>
      </c>
      <c r="M980" t="e">
        <f>RigheOfferte[[#This Row],[nr.pezzi Telaio]]</f>
        <v>#VALUE!</v>
      </c>
      <c r="N980" t="e">
        <f>RigheOfferte[[#This Row],[nr.pezzi ora-unita]]</f>
        <v>#VALUE!</v>
      </c>
      <c r="O980" t="e">
        <f>Tabella1[[#This Row],[superificie]]*Resa</f>
        <v>#VALUE!</v>
      </c>
      <c r="P980" t="e">
        <f>Tabella1[[#This Row],[KgPezzo]]*Tabella1[[#This Row],[q.ta offerta]]</f>
        <v>#VALUE!</v>
      </c>
      <c r="Q980" t="e">
        <f>RigheOfferte[[#This Row],[QtaProtez]]</f>
        <v>#VALUE!</v>
      </c>
      <c r="R980" t="e">
        <f>RigheOfferte[[#This Row],[Tipo Protezione]]</f>
        <v>#VALUE!</v>
      </c>
    </row>
    <row r="981" spans="1:18">
      <c r="A981" t="e">
        <f>RigheOfferte[[#This Row],[Nprev]]</f>
        <v>#VALUE!</v>
      </c>
      <c r="B981" t="e">
        <f>RigheOfferte[[#This Row],[Nriga]]</f>
        <v>#VALUE!</v>
      </c>
      <c r="C981" t="e">
        <f>RigheOfferte[[#This Row],[Cliente]]</f>
        <v>#VALUE!</v>
      </c>
      <c r="D981" t="e">
        <f>RigheOfferte[[#This Row],[sub_cliente]]</f>
        <v>#VALUE!</v>
      </c>
      <c r="E981" t="e">
        <f>RigheOfferte[[#This Row],[cod.Art.]]</f>
        <v>#VALUE!</v>
      </c>
      <c r="F981" t="e">
        <f>RigheOfferte[[#This Row],[Descrizione]]</f>
        <v>#VALUE!</v>
      </c>
      <c r="G981" t="e">
        <f>RigheOfferte[[#This Row],[Q.ta'']]</f>
        <v>#VALUE!</v>
      </c>
      <c r="H981" t="e">
        <f>RigheOfferte[[#This Row],[Lavorazione]]</f>
        <v>#VALUE!</v>
      </c>
      <c r="I981" t="e">
        <f>RigheOfferte[[#This Row],[Colore]]</f>
        <v>#VALUE!</v>
      </c>
      <c r="J981" t="e">
        <f>RigheOfferte[[#This Row],[Velocità]]</f>
        <v>#VALUE!</v>
      </c>
      <c r="K981" t="e">
        <f>RigheOfferte[[#This Row],[Superf.pz Mq]]</f>
        <v>#VALUE!</v>
      </c>
      <c r="L981" t="e">
        <f>RigheOfferte[[#This Row],[passo]]</f>
        <v>#VALUE!</v>
      </c>
      <c r="M981" t="e">
        <f>RigheOfferte[[#This Row],[nr.pezzi Telaio]]</f>
        <v>#VALUE!</v>
      </c>
      <c r="N981" t="e">
        <f>RigheOfferte[[#This Row],[nr.pezzi ora-unita]]</f>
        <v>#VALUE!</v>
      </c>
      <c r="O981" t="e">
        <f>Tabella1[[#This Row],[superificie]]*Resa</f>
        <v>#VALUE!</v>
      </c>
      <c r="P981" t="e">
        <f>Tabella1[[#This Row],[KgPezzo]]*Tabella1[[#This Row],[q.ta offerta]]</f>
        <v>#VALUE!</v>
      </c>
      <c r="Q981" t="e">
        <f>RigheOfferte[[#This Row],[QtaProtez]]</f>
        <v>#VALUE!</v>
      </c>
      <c r="R981" t="e">
        <f>RigheOfferte[[#This Row],[Tipo Protezione]]</f>
        <v>#VALUE!</v>
      </c>
    </row>
    <row r="982" spans="1:18">
      <c r="A982" t="e">
        <f>RigheOfferte[[#This Row],[Nprev]]</f>
        <v>#VALUE!</v>
      </c>
      <c r="B982" t="e">
        <f>RigheOfferte[[#This Row],[Nriga]]</f>
        <v>#VALUE!</v>
      </c>
      <c r="C982" t="e">
        <f>RigheOfferte[[#This Row],[Cliente]]</f>
        <v>#VALUE!</v>
      </c>
      <c r="D982" t="e">
        <f>RigheOfferte[[#This Row],[sub_cliente]]</f>
        <v>#VALUE!</v>
      </c>
      <c r="E982" t="e">
        <f>RigheOfferte[[#This Row],[cod.Art.]]</f>
        <v>#VALUE!</v>
      </c>
      <c r="F982" t="e">
        <f>RigheOfferte[[#This Row],[Descrizione]]</f>
        <v>#VALUE!</v>
      </c>
      <c r="G982" t="e">
        <f>RigheOfferte[[#This Row],[Q.ta'']]</f>
        <v>#VALUE!</v>
      </c>
      <c r="H982" t="e">
        <f>RigheOfferte[[#This Row],[Lavorazione]]</f>
        <v>#VALUE!</v>
      </c>
      <c r="I982" t="e">
        <f>RigheOfferte[[#This Row],[Colore]]</f>
        <v>#VALUE!</v>
      </c>
      <c r="J982" t="e">
        <f>RigheOfferte[[#This Row],[Velocità]]</f>
        <v>#VALUE!</v>
      </c>
      <c r="K982" t="e">
        <f>RigheOfferte[[#This Row],[Superf.pz Mq]]</f>
        <v>#VALUE!</v>
      </c>
      <c r="L982" t="e">
        <f>RigheOfferte[[#This Row],[passo]]</f>
        <v>#VALUE!</v>
      </c>
      <c r="M982" t="e">
        <f>RigheOfferte[[#This Row],[nr.pezzi Telaio]]</f>
        <v>#VALUE!</v>
      </c>
      <c r="N982" t="e">
        <f>RigheOfferte[[#This Row],[nr.pezzi ora-unita]]</f>
        <v>#VALUE!</v>
      </c>
      <c r="O982" t="e">
        <f>Tabella1[[#This Row],[superificie]]*Resa</f>
        <v>#VALUE!</v>
      </c>
      <c r="P982" t="e">
        <f>Tabella1[[#This Row],[KgPezzo]]*Tabella1[[#This Row],[q.ta offerta]]</f>
        <v>#VALUE!</v>
      </c>
      <c r="Q982" t="e">
        <f>RigheOfferte[[#This Row],[QtaProtez]]</f>
        <v>#VALUE!</v>
      </c>
      <c r="R982" t="e">
        <f>RigheOfferte[[#This Row],[Tipo Protezione]]</f>
        <v>#VALUE!</v>
      </c>
    </row>
    <row r="983" spans="1:18">
      <c r="A983" t="e">
        <f>RigheOfferte[[#This Row],[Nprev]]</f>
        <v>#VALUE!</v>
      </c>
      <c r="B983" t="e">
        <f>RigheOfferte[[#This Row],[Nriga]]</f>
        <v>#VALUE!</v>
      </c>
      <c r="C983" t="e">
        <f>RigheOfferte[[#This Row],[Cliente]]</f>
        <v>#VALUE!</v>
      </c>
      <c r="D983" t="e">
        <f>RigheOfferte[[#This Row],[sub_cliente]]</f>
        <v>#VALUE!</v>
      </c>
      <c r="E983" t="e">
        <f>RigheOfferte[[#This Row],[cod.Art.]]</f>
        <v>#VALUE!</v>
      </c>
      <c r="F983" t="e">
        <f>RigheOfferte[[#This Row],[Descrizione]]</f>
        <v>#VALUE!</v>
      </c>
      <c r="G983" t="e">
        <f>RigheOfferte[[#This Row],[Q.ta'']]</f>
        <v>#VALUE!</v>
      </c>
      <c r="H983" t="e">
        <f>RigheOfferte[[#This Row],[Lavorazione]]</f>
        <v>#VALUE!</v>
      </c>
      <c r="I983" t="e">
        <f>RigheOfferte[[#This Row],[Colore]]</f>
        <v>#VALUE!</v>
      </c>
      <c r="J983" t="e">
        <f>RigheOfferte[[#This Row],[Velocità]]</f>
        <v>#VALUE!</v>
      </c>
      <c r="K983" t="e">
        <f>RigheOfferte[[#This Row],[Superf.pz Mq]]</f>
        <v>#VALUE!</v>
      </c>
      <c r="L983" t="e">
        <f>RigheOfferte[[#This Row],[passo]]</f>
        <v>#VALUE!</v>
      </c>
      <c r="M983" t="e">
        <f>RigheOfferte[[#This Row],[nr.pezzi Telaio]]</f>
        <v>#VALUE!</v>
      </c>
      <c r="N983" t="e">
        <f>RigheOfferte[[#This Row],[nr.pezzi ora-unita]]</f>
        <v>#VALUE!</v>
      </c>
      <c r="O983" t="e">
        <f>Tabella1[[#This Row],[superificie]]*Resa</f>
        <v>#VALUE!</v>
      </c>
      <c r="P983" t="e">
        <f>Tabella1[[#This Row],[KgPezzo]]*Tabella1[[#This Row],[q.ta offerta]]</f>
        <v>#VALUE!</v>
      </c>
      <c r="Q983" t="e">
        <f>RigheOfferte[[#This Row],[QtaProtez]]</f>
        <v>#VALUE!</v>
      </c>
      <c r="R983" t="e">
        <f>RigheOfferte[[#This Row],[Tipo Protezione]]</f>
        <v>#VALUE!</v>
      </c>
    </row>
    <row r="984" spans="1:18">
      <c r="A984" t="e">
        <f>RigheOfferte[[#This Row],[Nprev]]</f>
        <v>#VALUE!</v>
      </c>
      <c r="B984" t="e">
        <f>RigheOfferte[[#This Row],[Nriga]]</f>
        <v>#VALUE!</v>
      </c>
      <c r="C984" t="e">
        <f>RigheOfferte[[#This Row],[Cliente]]</f>
        <v>#VALUE!</v>
      </c>
      <c r="D984" t="e">
        <f>RigheOfferte[[#This Row],[sub_cliente]]</f>
        <v>#VALUE!</v>
      </c>
      <c r="E984" t="e">
        <f>RigheOfferte[[#This Row],[cod.Art.]]</f>
        <v>#VALUE!</v>
      </c>
      <c r="F984" t="e">
        <f>RigheOfferte[[#This Row],[Descrizione]]</f>
        <v>#VALUE!</v>
      </c>
      <c r="G984" t="e">
        <f>RigheOfferte[[#This Row],[Q.ta'']]</f>
        <v>#VALUE!</v>
      </c>
      <c r="H984" t="e">
        <f>RigheOfferte[[#This Row],[Lavorazione]]</f>
        <v>#VALUE!</v>
      </c>
      <c r="I984" t="e">
        <f>RigheOfferte[[#This Row],[Colore]]</f>
        <v>#VALUE!</v>
      </c>
      <c r="J984" t="e">
        <f>RigheOfferte[[#This Row],[Velocità]]</f>
        <v>#VALUE!</v>
      </c>
      <c r="K984" t="e">
        <f>RigheOfferte[[#This Row],[Superf.pz Mq]]</f>
        <v>#VALUE!</v>
      </c>
      <c r="L984" t="e">
        <f>RigheOfferte[[#This Row],[passo]]</f>
        <v>#VALUE!</v>
      </c>
      <c r="M984" t="e">
        <f>RigheOfferte[[#This Row],[nr.pezzi Telaio]]</f>
        <v>#VALUE!</v>
      </c>
      <c r="N984" t="e">
        <f>RigheOfferte[[#This Row],[nr.pezzi ora-unita]]</f>
        <v>#VALUE!</v>
      </c>
      <c r="O984" t="e">
        <f>Tabella1[[#This Row],[superificie]]*Resa</f>
        <v>#VALUE!</v>
      </c>
      <c r="P984" t="e">
        <f>Tabella1[[#This Row],[KgPezzo]]*Tabella1[[#This Row],[q.ta offerta]]</f>
        <v>#VALUE!</v>
      </c>
      <c r="Q984" t="e">
        <f>RigheOfferte[[#This Row],[QtaProtez]]</f>
        <v>#VALUE!</v>
      </c>
      <c r="R984" t="e">
        <f>RigheOfferte[[#This Row],[Tipo Protezione]]</f>
        <v>#VALUE!</v>
      </c>
    </row>
    <row r="985" spans="1:18">
      <c r="A985" t="e">
        <f>RigheOfferte[[#This Row],[Nprev]]</f>
        <v>#VALUE!</v>
      </c>
      <c r="B985" t="e">
        <f>RigheOfferte[[#This Row],[Nriga]]</f>
        <v>#VALUE!</v>
      </c>
      <c r="C985" t="e">
        <f>RigheOfferte[[#This Row],[Cliente]]</f>
        <v>#VALUE!</v>
      </c>
      <c r="D985" t="e">
        <f>RigheOfferte[[#This Row],[sub_cliente]]</f>
        <v>#VALUE!</v>
      </c>
      <c r="E985" t="e">
        <f>RigheOfferte[[#This Row],[cod.Art.]]</f>
        <v>#VALUE!</v>
      </c>
      <c r="F985" t="e">
        <f>RigheOfferte[[#This Row],[Descrizione]]</f>
        <v>#VALUE!</v>
      </c>
      <c r="G985" t="e">
        <f>RigheOfferte[[#This Row],[Q.ta'']]</f>
        <v>#VALUE!</v>
      </c>
      <c r="H985" t="e">
        <f>RigheOfferte[[#This Row],[Lavorazione]]</f>
        <v>#VALUE!</v>
      </c>
      <c r="I985" t="e">
        <f>RigheOfferte[[#This Row],[Colore]]</f>
        <v>#VALUE!</v>
      </c>
      <c r="J985" t="e">
        <f>RigheOfferte[[#This Row],[Velocità]]</f>
        <v>#VALUE!</v>
      </c>
      <c r="K985" t="e">
        <f>RigheOfferte[[#This Row],[Superf.pz Mq]]</f>
        <v>#VALUE!</v>
      </c>
      <c r="L985" t="e">
        <f>RigheOfferte[[#This Row],[passo]]</f>
        <v>#VALUE!</v>
      </c>
      <c r="M985" t="e">
        <f>RigheOfferte[[#This Row],[nr.pezzi Telaio]]</f>
        <v>#VALUE!</v>
      </c>
      <c r="N985" t="e">
        <f>RigheOfferte[[#This Row],[nr.pezzi ora-unita]]</f>
        <v>#VALUE!</v>
      </c>
      <c r="O985" t="e">
        <f>Tabella1[[#This Row],[superificie]]*Resa</f>
        <v>#VALUE!</v>
      </c>
      <c r="P985" t="e">
        <f>Tabella1[[#This Row],[KgPezzo]]*Tabella1[[#This Row],[q.ta offerta]]</f>
        <v>#VALUE!</v>
      </c>
      <c r="Q985" t="e">
        <f>RigheOfferte[[#This Row],[QtaProtez]]</f>
        <v>#VALUE!</v>
      </c>
      <c r="R985" t="e">
        <f>RigheOfferte[[#This Row],[Tipo Protezione]]</f>
        <v>#VALUE!</v>
      </c>
    </row>
    <row r="986" spans="1:18">
      <c r="A986" t="e">
        <f>RigheOfferte[[#This Row],[Nprev]]</f>
        <v>#VALUE!</v>
      </c>
      <c r="B986" t="e">
        <f>RigheOfferte[[#This Row],[Nriga]]</f>
        <v>#VALUE!</v>
      </c>
      <c r="C986" t="e">
        <f>RigheOfferte[[#This Row],[Cliente]]</f>
        <v>#VALUE!</v>
      </c>
      <c r="D986" t="e">
        <f>RigheOfferte[[#This Row],[sub_cliente]]</f>
        <v>#VALUE!</v>
      </c>
      <c r="E986" t="e">
        <f>RigheOfferte[[#This Row],[cod.Art.]]</f>
        <v>#VALUE!</v>
      </c>
      <c r="F986" t="e">
        <f>RigheOfferte[[#This Row],[Descrizione]]</f>
        <v>#VALUE!</v>
      </c>
      <c r="G986" t="e">
        <f>RigheOfferte[[#This Row],[Q.ta'']]</f>
        <v>#VALUE!</v>
      </c>
      <c r="H986" t="e">
        <f>RigheOfferte[[#This Row],[Lavorazione]]</f>
        <v>#VALUE!</v>
      </c>
      <c r="I986" t="e">
        <f>RigheOfferte[[#This Row],[Colore]]</f>
        <v>#VALUE!</v>
      </c>
      <c r="J986" t="e">
        <f>RigheOfferte[[#This Row],[Velocità]]</f>
        <v>#VALUE!</v>
      </c>
      <c r="K986" t="e">
        <f>RigheOfferte[[#This Row],[Superf.pz Mq]]</f>
        <v>#VALUE!</v>
      </c>
      <c r="L986" t="e">
        <f>RigheOfferte[[#This Row],[passo]]</f>
        <v>#VALUE!</v>
      </c>
      <c r="M986" t="e">
        <f>RigheOfferte[[#This Row],[nr.pezzi Telaio]]</f>
        <v>#VALUE!</v>
      </c>
      <c r="N986" t="e">
        <f>RigheOfferte[[#This Row],[nr.pezzi ora-unita]]</f>
        <v>#VALUE!</v>
      </c>
      <c r="O986" t="e">
        <f>Tabella1[[#This Row],[superificie]]*Resa</f>
        <v>#VALUE!</v>
      </c>
      <c r="P986" t="e">
        <f>Tabella1[[#This Row],[KgPezzo]]*Tabella1[[#This Row],[q.ta offerta]]</f>
        <v>#VALUE!</v>
      </c>
      <c r="Q986" t="e">
        <f>RigheOfferte[[#This Row],[QtaProtez]]</f>
        <v>#VALUE!</v>
      </c>
      <c r="R986" t="e">
        <f>RigheOfferte[[#This Row],[Tipo Protezione]]</f>
        <v>#VALUE!</v>
      </c>
    </row>
    <row r="987" spans="1:18">
      <c r="A987" t="e">
        <f>RigheOfferte[[#This Row],[Nprev]]</f>
        <v>#VALUE!</v>
      </c>
      <c r="B987" t="e">
        <f>RigheOfferte[[#This Row],[Nriga]]</f>
        <v>#VALUE!</v>
      </c>
      <c r="C987" t="e">
        <f>RigheOfferte[[#This Row],[Cliente]]</f>
        <v>#VALUE!</v>
      </c>
      <c r="D987" t="e">
        <f>RigheOfferte[[#This Row],[sub_cliente]]</f>
        <v>#VALUE!</v>
      </c>
      <c r="E987" t="e">
        <f>RigheOfferte[[#This Row],[cod.Art.]]</f>
        <v>#VALUE!</v>
      </c>
      <c r="F987" t="e">
        <f>RigheOfferte[[#This Row],[Descrizione]]</f>
        <v>#VALUE!</v>
      </c>
      <c r="G987" t="e">
        <f>RigheOfferte[[#This Row],[Q.ta'']]</f>
        <v>#VALUE!</v>
      </c>
      <c r="H987" t="e">
        <f>RigheOfferte[[#This Row],[Lavorazione]]</f>
        <v>#VALUE!</v>
      </c>
      <c r="I987" t="e">
        <f>RigheOfferte[[#This Row],[Colore]]</f>
        <v>#VALUE!</v>
      </c>
      <c r="J987" t="e">
        <f>RigheOfferte[[#This Row],[Velocità]]</f>
        <v>#VALUE!</v>
      </c>
      <c r="K987" t="e">
        <f>RigheOfferte[[#This Row],[Superf.pz Mq]]</f>
        <v>#VALUE!</v>
      </c>
      <c r="L987" t="e">
        <f>RigheOfferte[[#This Row],[passo]]</f>
        <v>#VALUE!</v>
      </c>
      <c r="M987" t="e">
        <f>RigheOfferte[[#This Row],[nr.pezzi Telaio]]</f>
        <v>#VALUE!</v>
      </c>
      <c r="N987" t="e">
        <f>RigheOfferte[[#This Row],[nr.pezzi ora-unita]]</f>
        <v>#VALUE!</v>
      </c>
      <c r="O987" t="e">
        <f>Tabella1[[#This Row],[superificie]]*Resa</f>
        <v>#VALUE!</v>
      </c>
      <c r="P987" t="e">
        <f>Tabella1[[#This Row],[KgPezzo]]*Tabella1[[#This Row],[q.ta offerta]]</f>
        <v>#VALUE!</v>
      </c>
      <c r="Q987" t="e">
        <f>RigheOfferte[[#This Row],[QtaProtez]]</f>
        <v>#VALUE!</v>
      </c>
      <c r="R987" t="e">
        <f>RigheOfferte[[#This Row],[Tipo Protezione]]</f>
        <v>#VALUE!</v>
      </c>
    </row>
    <row r="988" spans="1:18">
      <c r="A988" t="e">
        <f>RigheOfferte[[#This Row],[Nprev]]</f>
        <v>#VALUE!</v>
      </c>
      <c r="B988" t="e">
        <f>RigheOfferte[[#This Row],[Nriga]]</f>
        <v>#VALUE!</v>
      </c>
      <c r="C988" t="e">
        <f>RigheOfferte[[#This Row],[Cliente]]</f>
        <v>#VALUE!</v>
      </c>
      <c r="D988" t="e">
        <f>RigheOfferte[[#This Row],[sub_cliente]]</f>
        <v>#VALUE!</v>
      </c>
      <c r="E988" t="e">
        <f>RigheOfferte[[#This Row],[cod.Art.]]</f>
        <v>#VALUE!</v>
      </c>
      <c r="F988" t="e">
        <f>RigheOfferte[[#This Row],[Descrizione]]</f>
        <v>#VALUE!</v>
      </c>
      <c r="G988" t="e">
        <f>RigheOfferte[[#This Row],[Q.ta'']]</f>
        <v>#VALUE!</v>
      </c>
      <c r="H988" t="e">
        <f>RigheOfferte[[#This Row],[Lavorazione]]</f>
        <v>#VALUE!</v>
      </c>
      <c r="I988" t="e">
        <f>RigheOfferte[[#This Row],[Colore]]</f>
        <v>#VALUE!</v>
      </c>
      <c r="J988" t="e">
        <f>RigheOfferte[[#This Row],[Velocità]]</f>
        <v>#VALUE!</v>
      </c>
      <c r="K988" t="e">
        <f>RigheOfferte[[#This Row],[Superf.pz Mq]]</f>
        <v>#VALUE!</v>
      </c>
      <c r="L988" t="e">
        <f>RigheOfferte[[#This Row],[passo]]</f>
        <v>#VALUE!</v>
      </c>
      <c r="M988" t="e">
        <f>RigheOfferte[[#This Row],[nr.pezzi Telaio]]</f>
        <v>#VALUE!</v>
      </c>
      <c r="N988" t="e">
        <f>RigheOfferte[[#This Row],[nr.pezzi ora-unita]]</f>
        <v>#VALUE!</v>
      </c>
      <c r="O988" t="e">
        <f>Tabella1[[#This Row],[superificie]]*Resa</f>
        <v>#VALUE!</v>
      </c>
      <c r="P988" t="e">
        <f>Tabella1[[#This Row],[KgPezzo]]*Tabella1[[#This Row],[q.ta offerta]]</f>
        <v>#VALUE!</v>
      </c>
      <c r="Q988" t="e">
        <f>RigheOfferte[[#This Row],[QtaProtez]]</f>
        <v>#VALUE!</v>
      </c>
      <c r="R988" t="e">
        <f>RigheOfferte[[#This Row],[Tipo Protezione]]</f>
        <v>#VALUE!</v>
      </c>
    </row>
    <row r="989" spans="1:18">
      <c r="A989" t="e">
        <f>RigheOfferte[[#This Row],[Nprev]]</f>
        <v>#VALUE!</v>
      </c>
      <c r="B989" t="e">
        <f>RigheOfferte[[#This Row],[Nriga]]</f>
        <v>#VALUE!</v>
      </c>
      <c r="C989" t="e">
        <f>RigheOfferte[[#This Row],[Cliente]]</f>
        <v>#VALUE!</v>
      </c>
      <c r="D989" t="e">
        <f>RigheOfferte[[#This Row],[sub_cliente]]</f>
        <v>#VALUE!</v>
      </c>
      <c r="E989" t="e">
        <f>RigheOfferte[[#This Row],[cod.Art.]]</f>
        <v>#VALUE!</v>
      </c>
      <c r="F989" t="e">
        <f>RigheOfferte[[#This Row],[Descrizione]]</f>
        <v>#VALUE!</v>
      </c>
      <c r="G989" t="e">
        <f>RigheOfferte[[#This Row],[Q.ta'']]</f>
        <v>#VALUE!</v>
      </c>
      <c r="H989" t="e">
        <f>RigheOfferte[[#This Row],[Lavorazione]]</f>
        <v>#VALUE!</v>
      </c>
      <c r="I989" t="e">
        <f>RigheOfferte[[#This Row],[Colore]]</f>
        <v>#VALUE!</v>
      </c>
      <c r="J989" t="e">
        <f>RigheOfferte[[#This Row],[Velocità]]</f>
        <v>#VALUE!</v>
      </c>
      <c r="K989" t="e">
        <f>RigheOfferte[[#This Row],[Superf.pz Mq]]</f>
        <v>#VALUE!</v>
      </c>
      <c r="L989" t="e">
        <f>RigheOfferte[[#This Row],[passo]]</f>
        <v>#VALUE!</v>
      </c>
      <c r="M989" t="e">
        <f>RigheOfferte[[#This Row],[nr.pezzi Telaio]]</f>
        <v>#VALUE!</v>
      </c>
      <c r="N989" t="e">
        <f>RigheOfferte[[#This Row],[nr.pezzi ora-unita]]</f>
        <v>#VALUE!</v>
      </c>
      <c r="O989" t="e">
        <f>Tabella1[[#This Row],[superificie]]*Resa</f>
        <v>#VALUE!</v>
      </c>
      <c r="P989" t="e">
        <f>Tabella1[[#This Row],[KgPezzo]]*Tabella1[[#This Row],[q.ta offerta]]</f>
        <v>#VALUE!</v>
      </c>
      <c r="Q989" t="e">
        <f>RigheOfferte[[#This Row],[QtaProtez]]</f>
        <v>#VALUE!</v>
      </c>
      <c r="R989" t="e">
        <f>RigheOfferte[[#This Row],[Tipo Protezione]]</f>
        <v>#VALUE!</v>
      </c>
    </row>
    <row r="990" spans="1:18">
      <c r="A990" t="e">
        <f>RigheOfferte[[#This Row],[Nprev]]</f>
        <v>#VALUE!</v>
      </c>
      <c r="B990" t="e">
        <f>RigheOfferte[[#This Row],[Nriga]]</f>
        <v>#VALUE!</v>
      </c>
      <c r="C990" t="e">
        <f>RigheOfferte[[#This Row],[Cliente]]</f>
        <v>#VALUE!</v>
      </c>
      <c r="D990" t="e">
        <f>RigheOfferte[[#This Row],[sub_cliente]]</f>
        <v>#VALUE!</v>
      </c>
      <c r="E990" t="e">
        <f>RigheOfferte[[#This Row],[cod.Art.]]</f>
        <v>#VALUE!</v>
      </c>
      <c r="F990" t="e">
        <f>RigheOfferte[[#This Row],[Descrizione]]</f>
        <v>#VALUE!</v>
      </c>
      <c r="G990" t="e">
        <f>RigheOfferte[[#This Row],[Q.ta'']]</f>
        <v>#VALUE!</v>
      </c>
      <c r="H990" t="e">
        <f>RigheOfferte[[#This Row],[Lavorazione]]</f>
        <v>#VALUE!</v>
      </c>
      <c r="I990" t="e">
        <f>RigheOfferte[[#This Row],[Colore]]</f>
        <v>#VALUE!</v>
      </c>
      <c r="J990" t="e">
        <f>RigheOfferte[[#This Row],[Velocità]]</f>
        <v>#VALUE!</v>
      </c>
      <c r="K990" t="e">
        <f>RigheOfferte[[#This Row],[Superf.pz Mq]]</f>
        <v>#VALUE!</v>
      </c>
      <c r="L990" t="e">
        <f>RigheOfferte[[#This Row],[passo]]</f>
        <v>#VALUE!</v>
      </c>
      <c r="M990" t="e">
        <f>RigheOfferte[[#This Row],[nr.pezzi Telaio]]</f>
        <v>#VALUE!</v>
      </c>
      <c r="N990" t="e">
        <f>RigheOfferte[[#This Row],[nr.pezzi ora-unita]]</f>
        <v>#VALUE!</v>
      </c>
      <c r="O990" t="e">
        <f>Tabella1[[#This Row],[superificie]]*Resa</f>
        <v>#VALUE!</v>
      </c>
      <c r="P990" t="e">
        <f>Tabella1[[#This Row],[KgPezzo]]*Tabella1[[#This Row],[q.ta offerta]]</f>
        <v>#VALUE!</v>
      </c>
      <c r="Q990" t="e">
        <f>RigheOfferte[[#This Row],[QtaProtez]]</f>
        <v>#VALUE!</v>
      </c>
      <c r="R990" t="e">
        <f>RigheOfferte[[#This Row],[Tipo Protezione]]</f>
        <v>#VALUE!</v>
      </c>
    </row>
    <row r="991" spans="1:18">
      <c r="A991" t="e">
        <f>RigheOfferte[[#This Row],[Nprev]]</f>
        <v>#VALUE!</v>
      </c>
      <c r="B991" t="e">
        <f>RigheOfferte[[#This Row],[Nriga]]</f>
        <v>#VALUE!</v>
      </c>
      <c r="C991" t="e">
        <f>RigheOfferte[[#This Row],[Cliente]]</f>
        <v>#VALUE!</v>
      </c>
      <c r="D991" t="e">
        <f>RigheOfferte[[#This Row],[sub_cliente]]</f>
        <v>#VALUE!</v>
      </c>
      <c r="E991" t="e">
        <f>RigheOfferte[[#This Row],[cod.Art.]]</f>
        <v>#VALUE!</v>
      </c>
      <c r="F991" t="e">
        <f>RigheOfferte[[#This Row],[Descrizione]]</f>
        <v>#VALUE!</v>
      </c>
      <c r="G991" t="e">
        <f>RigheOfferte[[#This Row],[Q.ta'']]</f>
        <v>#VALUE!</v>
      </c>
      <c r="H991" t="e">
        <f>RigheOfferte[[#This Row],[Lavorazione]]</f>
        <v>#VALUE!</v>
      </c>
      <c r="I991" t="e">
        <f>RigheOfferte[[#This Row],[Colore]]</f>
        <v>#VALUE!</v>
      </c>
      <c r="J991" t="e">
        <f>RigheOfferte[[#This Row],[Velocità]]</f>
        <v>#VALUE!</v>
      </c>
      <c r="K991" t="e">
        <f>RigheOfferte[[#This Row],[Superf.pz Mq]]</f>
        <v>#VALUE!</v>
      </c>
      <c r="L991" t="e">
        <f>RigheOfferte[[#This Row],[passo]]</f>
        <v>#VALUE!</v>
      </c>
      <c r="M991" t="e">
        <f>RigheOfferte[[#This Row],[nr.pezzi Telaio]]</f>
        <v>#VALUE!</v>
      </c>
      <c r="N991" t="e">
        <f>RigheOfferte[[#This Row],[nr.pezzi ora-unita]]</f>
        <v>#VALUE!</v>
      </c>
      <c r="O991" t="e">
        <f>Tabella1[[#This Row],[superificie]]*Resa</f>
        <v>#VALUE!</v>
      </c>
      <c r="P991" t="e">
        <f>Tabella1[[#This Row],[KgPezzo]]*Tabella1[[#This Row],[q.ta offerta]]</f>
        <v>#VALUE!</v>
      </c>
      <c r="Q991" t="e">
        <f>RigheOfferte[[#This Row],[QtaProtez]]</f>
        <v>#VALUE!</v>
      </c>
      <c r="R991" t="e">
        <f>RigheOfferte[[#This Row],[Tipo Protezione]]</f>
        <v>#VALUE!</v>
      </c>
    </row>
    <row r="992" spans="1:18">
      <c r="A992" t="e">
        <f>RigheOfferte[[#This Row],[Nprev]]</f>
        <v>#VALUE!</v>
      </c>
      <c r="B992" t="e">
        <f>RigheOfferte[[#This Row],[Nriga]]</f>
        <v>#VALUE!</v>
      </c>
      <c r="C992" t="e">
        <f>RigheOfferte[[#This Row],[Cliente]]</f>
        <v>#VALUE!</v>
      </c>
      <c r="D992" t="e">
        <f>RigheOfferte[[#This Row],[sub_cliente]]</f>
        <v>#VALUE!</v>
      </c>
      <c r="E992" t="e">
        <f>RigheOfferte[[#This Row],[cod.Art.]]</f>
        <v>#VALUE!</v>
      </c>
      <c r="F992" t="e">
        <f>RigheOfferte[[#This Row],[Descrizione]]</f>
        <v>#VALUE!</v>
      </c>
      <c r="G992" t="e">
        <f>RigheOfferte[[#This Row],[Q.ta'']]</f>
        <v>#VALUE!</v>
      </c>
      <c r="H992" t="e">
        <f>RigheOfferte[[#This Row],[Lavorazione]]</f>
        <v>#VALUE!</v>
      </c>
      <c r="I992" t="e">
        <f>RigheOfferte[[#This Row],[Colore]]</f>
        <v>#VALUE!</v>
      </c>
      <c r="J992" t="e">
        <f>RigheOfferte[[#This Row],[Velocità]]</f>
        <v>#VALUE!</v>
      </c>
      <c r="K992" t="e">
        <f>RigheOfferte[[#This Row],[Superf.pz Mq]]</f>
        <v>#VALUE!</v>
      </c>
      <c r="L992" t="e">
        <f>RigheOfferte[[#This Row],[passo]]</f>
        <v>#VALUE!</v>
      </c>
      <c r="M992" t="e">
        <f>RigheOfferte[[#This Row],[nr.pezzi Telaio]]</f>
        <v>#VALUE!</v>
      </c>
      <c r="N992" t="e">
        <f>RigheOfferte[[#This Row],[nr.pezzi ora-unita]]</f>
        <v>#VALUE!</v>
      </c>
      <c r="O992" t="e">
        <f>Tabella1[[#This Row],[superificie]]*Resa</f>
        <v>#VALUE!</v>
      </c>
      <c r="P992" t="e">
        <f>Tabella1[[#This Row],[KgPezzo]]*Tabella1[[#This Row],[q.ta offerta]]</f>
        <v>#VALUE!</v>
      </c>
      <c r="Q992" t="e">
        <f>RigheOfferte[[#This Row],[QtaProtez]]</f>
        <v>#VALUE!</v>
      </c>
      <c r="R992" t="e">
        <f>RigheOfferte[[#This Row],[Tipo Protezione]]</f>
        <v>#VALUE!</v>
      </c>
    </row>
    <row r="993" spans="1:18">
      <c r="A993" t="e">
        <f>RigheOfferte[[#This Row],[Nprev]]</f>
        <v>#VALUE!</v>
      </c>
      <c r="B993" t="e">
        <f>RigheOfferte[[#This Row],[Nriga]]</f>
        <v>#VALUE!</v>
      </c>
      <c r="C993" t="e">
        <f>RigheOfferte[[#This Row],[Cliente]]</f>
        <v>#VALUE!</v>
      </c>
      <c r="D993" t="e">
        <f>RigheOfferte[[#This Row],[sub_cliente]]</f>
        <v>#VALUE!</v>
      </c>
      <c r="E993" t="e">
        <f>RigheOfferte[[#This Row],[cod.Art.]]</f>
        <v>#VALUE!</v>
      </c>
      <c r="F993" t="e">
        <f>RigheOfferte[[#This Row],[Descrizione]]</f>
        <v>#VALUE!</v>
      </c>
      <c r="G993" t="e">
        <f>RigheOfferte[[#This Row],[Q.ta'']]</f>
        <v>#VALUE!</v>
      </c>
      <c r="H993" t="e">
        <f>RigheOfferte[[#This Row],[Lavorazione]]</f>
        <v>#VALUE!</v>
      </c>
      <c r="I993" t="e">
        <f>RigheOfferte[[#This Row],[Colore]]</f>
        <v>#VALUE!</v>
      </c>
      <c r="J993" t="e">
        <f>RigheOfferte[[#This Row],[Velocità]]</f>
        <v>#VALUE!</v>
      </c>
      <c r="K993" t="e">
        <f>RigheOfferte[[#This Row],[Superf.pz Mq]]</f>
        <v>#VALUE!</v>
      </c>
      <c r="L993" t="e">
        <f>RigheOfferte[[#This Row],[passo]]</f>
        <v>#VALUE!</v>
      </c>
      <c r="M993" t="e">
        <f>RigheOfferte[[#This Row],[nr.pezzi Telaio]]</f>
        <v>#VALUE!</v>
      </c>
      <c r="N993" t="e">
        <f>RigheOfferte[[#This Row],[nr.pezzi ora-unita]]</f>
        <v>#VALUE!</v>
      </c>
      <c r="O993" t="e">
        <f>Tabella1[[#This Row],[superificie]]*Resa</f>
        <v>#VALUE!</v>
      </c>
      <c r="P993" t="e">
        <f>Tabella1[[#This Row],[KgPezzo]]*Tabella1[[#This Row],[q.ta offerta]]</f>
        <v>#VALUE!</v>
      </c>
      <c r="Q993" t="e">
        <f>RigheOfferte[[#This Row],[QtaProtez]]</f>
        <v>#VALUE!</v>
      </c>
      <c r="R993" t="e">
        <f>RigheOfferte[[#This Row],[Tipo Protezione]]</f>
        <v>#VALUE!</v>
      </c>
    </row>
    <row r="994" spans="1:18">
      <c r="A994" t="e">
        <f>RigheOfferte[[#This Row],[Nprev]]</f>
        <v>#VALUE!</v>
      </c>
      <c r="B994" t="e">
        <f>RigheOfferte[[#This Row],[Nriga]]</f>
        <v>#VALUE!</v>
      </c>
      <c r="C994" t="e">
        <f>RigheOfferte[[#This Row],[Cliente]]</f>
        <v>#VALUE!</v>
      </c>
      <c r="D994" t="e">
        <f>RigheOfferte[[#This Row],[sub_cliente]]</f>
        <v>#VALUE!</v>
      </c>
      <c r="E994" t="e">
        <f>RigheOfferte[[#This Row],[cod.Art.]]</f>
        <v>#VALUE!</v>
      </c>
      <c r="F994" t="e">
        <f>RigheOfferte[[#This Row],[Descrizione]]</f>
        <v>#VALUE!</v>
      </c>
      <c r="G994" t="e">
        <f>RigheOfferte[[#This Row],[Q.ta'']]</f>
        <v>#VALUE!</v>
      </c>
      <c r="H994" t="e">
        <f>RigheOfferte[[#This Row],[Lavorazione]]</f>
        <v>#VALUE!</v>
      </c>
      <c r="I994" t="e">
        <f>RigheOfferte[[#This Row],[Colore]]</f>
        <v>#VALUE!</v>
      </c>
      <c r="J994" t="e">
        <f>RigheOfferte[[#This Row],[Velocità]]</f>
        <v>#VALUE!</v>
      </c>
      <c r="K994" t="e">
        <f>RigheOfferte[[#This Row],[Superf.pz Mq]]</f>
        <v>#VALUE!</v>
      </c>
      <c r="L994" t="e">
        <f>RigheOfferte[[#This Row],[passo]]</f>
        <v>#VALUE!</v>
      </c>
      <c r="M994" t="e">
        <f>RigheOfferte[[#This Row],[nr.pezzi Telaio]]</f>
        <v>#VALUE!</v>
      </c>
      <c r="N994" t="e">
        <f>RigheOfferte[[#This Row],[nr.pezzi ora-unita]]</f>
        <v>#VALUE!</v>
      </c>
      <c r="O994" t="e">
        <f>Tabella1[[#This Row],[superificie]]*Resa</f>
        <v>#VALUE!</v>
      </c>
      <c r="P994" t="e">
        <f>Tabella1[[#This Row],[KgPezzo]]*Tabella1[[#This Row],[q.ta offerta]]</f>
        <v>#VALUE!</v>
      </c>
      <c r="Q994" t="e">
        <f>RigheOfferte[[#This Row],[QtaProtez]]</f>
        <v>#VALUE!</v>
      </c>
      <c r="R994" t="e">
        <f>RigheOfferte[[#This Row],[Tipo Protezione]]</f>
        <v>#VALUE!</v>
      </c>
    </row>
    <row r="995" spans="1:18">
      <c r="A995" t="e">
        <f>RigheOfferte[[#This Row],[Nprev]]</f>
        <v>#VALUE!</v>
      </c>
      <c r="B995" t="e">
        <f>RigheOfferte[[#This Row],[Nriga]]</f>
        <v>#VALUE!</v>
      </c>
      <c r="C995" t="e">
        <f>RigheOfferte[[#This Row],[Cliente]]</f>
        <v>#VALUE!</v>
      </c>
      <c r="D995" t="e">
        <f>RigheOfferte[[#This Row],[sub_cliente]]</f>
        <v>#VALUE!</v>
      </c>
      <c r="E995" t="e">
        <f>RigheOfferte[[#This Row],[cod.Art.]]</f>
        <v>#VALUE!</v>
      </c>
      <c r="F995" t="e">
        <f>RigheOfferte[[#This Row],[Descrizione]]</f>
        <v>#VALUE!</v>
      </c>
      <c r="G995" t="e">
        <f>RigheOfferte[[#This Row],[Q.ta'']]</f>
        <v>#VALUE!</v>
      </c>
      <c r="H995" t="e">
        <f>RigheOfferte[[#This Row],[Lavorazione]]</f>
        <v>#VALUE!</v>
      </c>
      <c r="I995" t="e">
        <f>RigheOfferte[[#This Row],[Colore]]</f>
        <v>#VALUE!</v>
      </c>
      <c r="J995" t="e">
        <f>RigheOfferte[[#This Row],[Velocità]]</f>
        <v>#VALUE!</v>
      </c>
      <c r="K995" t="e">
        <f>RigheOfferte[[#This Row],[Superf.pz Mq]]</f>
        <v>#VALUE!</v>
      </c>
      <c r="L995" t="e">
        <f>RigheOfferte[[#This Row],[passo]]</f>
        <v>#VALUE!</v>
      </c>
      <c r="M995" t="e">
        <f>RigheOfferte[[#This Row],[nr.pezzi Telaio]]</f>
        <v>#VALUE!</v>
      </c>
      <c r="N995" t="e">
        <f>RigheOfferte[[#This Row],[nr.pezzi ora-unita]]</f>
        <v>#VALUE!</v>
      </c>
      <c r="O995" t="e">
        <f>Tabella1[[#This Row],[superificie]]*Resa</f>
        <v>#VALUE!</v>
      </c>
      <c r="P995" t="e">
        <f>Tabella1[[#This Row],[KgPezzo]]*Tabella1[[#This Row],[q.ta offerta]]</f>
        <v>#VALUE!</v>
      </c>
      <c r="Q995" t="e">
        <f>RigheOfferte[[#This Row],[QtaProtez]]</f>
        <v>#VALUE!</v>
      </c>
      <c r="R995" t="e">
        <f>RigheOfferte[[#This Row],[Tipo Protezione]]</f>
        <v>#VALUE!</v>
      </c>
    </row>
    <row r="996" spans="1:18">
      <c r="A996" t="e">
        <f>RigheOfferte[[#This Row],[Nprev]]</f>
        <v>#VALUE!</v>
      </c>
      <c r="B996" t="e">
        <f>RigheOfferte[[#This Row],[Nriga]]</f>
        <v>#VALUE!</v>
      </c>
      <c r="C996" t="e">
        <f>RigheOfferte[[#This Row],[Cliente]]</f>
        <v>#VALUE!</v>
      </c>
      <c r="D996" t="e">
        <f>RigheOfferte[[#This Row],[sub_cliente]]</f>
        <v>#VALUE!</v>
      </c>
      <c r="E996" t="e">
        <f>RigheOfferte[[#This Row],[cod.Art.]]</f>
        <v>#VALUE!</v>
      </c>
      <c r="F996" t="e">
        <f>RigheOfferte[[#This Row],[Descrizione]]</f>
        <v>#VALUE!</v>
      </c>
      <c r="G996" t="e">
        <f>RigheOfferte[[#This Row],[Q.ta'']]</f>
        <v>#VALUE!</v>
      </c>
      <c r="H996" t="e">
        <f>RigheOfferte[[#This Row],[Lavorazione]]</f>
        <v>#VALUE!</v>
      </c>
      <c r="I996" t="e">
        <f>RigheOfferte[[#This Row],[Colore]]</f>
        <v>#VALUE!</v>
      </c>
      <c r="J996" t="e">
        <f>RigheOfferte[[#This Row],[Velocità]]</f>
        <v>#VALUE!</v>
      </c>
      <c r="K996" t="e">
        <f>RigheOfferte[[#This Row],[Superf.pz Mq]]</f>
        <v>#VALUE!</v>
      </c>
      <c r="L996" t="e">
        <f>RigheOfferte[[#This Row],[passo]]</f>
        <v>#VALUE!</v>
      </c>
      <c r="M996" t="e">
        <f>RigheOfferte[[#This Row],[nr.pezzi Telaio]]</f>
        <v>#VALUE!</v>
      </c>
      <c r="N996" t="e">
        <f>RigheOfferte[[#This Row],[nr.pezzi ora-unita]]</f>
        <v>#VALUE!</v>
      </c>
      <c r="O996" t="e">
        <f>Tabella1[[#This Row],[superificie]]*Resa</f>
        <v>#VALUE!</v>
      </c>
      <c r="P996" t="e">
        <f>Tabella1[[#This Row],[KgPezzo]]*Tabella1[[#This Row],[q.ta offerta]]</f>
        <v>#VALUE!</v>
      </c>
      <c r="Q996" t="e">
        <f>RigheOfferte[[#This Row],[QtaProtez]]</f>
        <v>#VALUE!</v>
      </c>
      <c r="R996" t="e">
        <f>RigheOfferte[[#This Row],[Tipo Protezione]]</f>
        <v>#VALUE!</v>
      </c>
    </row>
    <row r="997" spans="1:18">
      <c r="A997" t="e">
        <f>RigheOfferte[[#This Row],[Nprev]]</f>
        <v>#VALUE!</v>
      </c>
      <c r="B997" t="e">
        <f>RigheOfferte[[#This Row],[Nriga]]</f>
        <v>#VALUE!</v>
      </c>
      <c r="C997" t="e">
        <f>RigheOfferte[[#This Row],[Cliente]]</f>
        <v>#VALUE!</v>
      </c>
      <c r="D997" t="e">
        <f>RigheOfferte[[#This Row],[sub_cliente]]</f>
        <v>#VALUE!</v>
      </c>
      <c r="E997" t="e">
        <f>RigheOfferte[[#This Row],[cod.Art.]]</f>
        <v>#VALUE!</v>
      </c>
      <c r="F997" t="e">
        <f>RigheOfferte[[#This Row],[Descrizione]]</f>
        <v>#VALUE!</v>
      </c>
      <c r="G997" t="e">
        <f>RigheOfferte[[#This Row],[Q.ta'']]</f>
        <v>#VALUE!</v>
      </c>
      <c r="H997" t="e">
        <f>RigheOfferte[[#This Row],[Lavorazione]]</f>
        <v>#VALUE!</v>
      </c>
      <c r="I997" t="e">
        <f>RigheOfferte[[#This Row],[Colore]]</f>
        <v>#VALUE!</v>
      </c>
      <c r="J997" t="e">
        <f>RigheOfferte[[#This Row],[Velocità]]</f>
        <v>#VALUE!</v>
      </c>
      <c r="K997" t="e">
        <f>RigheOfferte[[#This Row],[Superf.pz Mq]]</f>
        <v>#VALUE!</v>
      </c>
      <c r="L997" t="e">
        <f>RigheOfferte[[#This Row],[passo]]</f>
        <v>#VALUE!</v>
      </c>
      <c r="M997" t="e">
        <f>RigheOfferte[[#This Row],[nr.pezzi Telaio]]</f>
        <v>#VALUE!</v>
      </c>
      <c r="N997" t="e">
        <f>RigheOfferte[[#This Row],[nr.pezzi ora-unita]]</f>
        <v>#VALUE!</v>
      </c>
      <c r="O997" t="e">
        <f>Tabella1[[#This Row],[superificie]]*Resa</f>
        <v>#VALUE!</v>
      </c>
      <c r="P997" t="e">
        <f>Tabella1[[#This Row],[KgPezzo]]*Tabella1[[#This Row],[q.ta offerta]]</f>
        <v>#VALUE!</v>
      </c>
      <c r="Q997" t="e">
        <f>RigheOfferte[[#This Row],[QtaProtez]]</f>
        <v>#VALUE!</v>
      </c>
      <c r="R997" t="e">
        <f>RigheOfferte[[#This Row],[Tipo Protezione]]</f>
        <v>#VALUE!</v>
      </c>
    </row>
    <row r="998" spans="1:18">
      <c r="A998" t="e">
        <f>RigheOfferte[[#This Row],[Nprev]]</f>
        <v>#VALUE!</v>
      </c>
      <c r="B998" t="e">
        <f>RigheOfferte[[#This Row],[Nriga]]</f>
        <v>#VALUE!</v>
      </c>
      <c r="C998" t="e">
        <f>RigheOfferte[[#This Row],[Cliente]]</f>
        <v>#VALUE!</v>
      </c>
      <c r="D998" t="e">
        <f>RigheOfferte[[#This Row],[sub_cliente]]</f>
        <v>#VALUE!</v>
      </c>
      <c r="E998" t="e">
        <f>RigheOfferte[[#This Row],[cod.Art.]]</f>
        <v>#VALUE!</v>
      </c>
      <c r="F998" t="e">
        <f>RigheOfferte[[#This Row],[Descrizione]]</f>
        <v>#VALUE!</v>
      </c>
      <c r="G998" t="e">
        <f>RigheOfferte[[#This Row],[Q.ta'']]</f>
        <v>#VALUE!</v>
      </c>
      <c r="H998" t="e">
        <f>RigheOfferte[[#This Row],[Lavorazione]]</f>
        <v>#VALUE!</v>
      </c>
      <c r="I998" t="e">
        <f>RigheOfferte[[#This Row],[Colore]]</f>
        <v>#VALUE!</v>
      </c>
      <c r="J998" t="e">
        <f>RigheOfferte[[#This Row],[Velocità]]</f>
        <v>#VALUE!</v>
      </c>
      <c r="K998" t="e">
        <f>RigheOfferte[[#This Row],[Superf.pz Mq]]</f>
        <v>#VALUE!</v>
      </c>
      <c r="L998" t="e">
        <f>RigheOfferte[[#This Row],[passo]]</f>
        <v>#VALUE!</v>
      </c>
      <c r="M998" t="e">
        <f>RigheOfferte[[#This Row],[nr.pezzi Telaio]]</f>
        <v>#VALUE!</v>
      </c>
      <c r="N998" t="e">
        <f>RigheOfferte[[#This Row],[nr.pezzi ora-unita]]</f>
        <v>#VALUE!</v>
      </c>
      <c r="O998" t="e">
        <f>Tabella1[[#This Row],[superificie]]*Resa</f>
        <v>#VALUE!</v>
      </c>
      <c r="P998" t="e">
        <f>Tabella1[[#This Row],[KgPezzo]]*Tabella1[[#This Row],[q.ta offerta]]</f>
        <v>#VALUE!</v>
      </c>
      <c r="Q998" t="e">
        <f>RigheOfferte[[#This Row],[QtaProtez]]</f>
        <v>#VALUE!</v>
      </c>
      <c r="R998" t="e">
        <f>RigheOfferte[[#This Row],[Tipo Protezione]]</f>
        <v>#VALUE!</v>
      </c>
    </row>
    <row r="999" spans="1:18">
      <c r="A999" t="e">
        <f>RigheOfferte[[#This Row],[Nprev]]</f>
        <v>#VALUE!</v>
      </c>
      <c r="B999" t="e">
        <f>RigheOfferte[[#This Row],[Nriga]]</f>
        <v>#VALUE!</v>
      </c>
      <c r="C999" t="e">
        <f>RigheOfferte[[#This Row],[Cliente]]</f>
        <v>#VALUE!</v>
      </c>
      <c r="D999" t="e">
        <f>RigheOfferte[[#This Row],[sub_cliente]]</f>
        <v>#VALUE!</v>
      </c>
      <c r="E999" t="e">
        <f>RigheOfferte[[#This Row],[cod.Art.]]</f>
        <v>#VALUE!</v>
      </c>
      <c r="F999" t="e">
        <f>RigheOfferte[[#This Row],[Descrizione]]</f>
        <v>#VALUE!</v>
      </c>
      <c r="G999" t="e">
        <f>RigheOfferte[[#This Row],[Q.ta'']]</f>
        <v>#VALUE!</v>
      </c>
      <c r="H999" t="e">
        <f>RigheOfferte[[#This Row],[Lavorazione]]</f>
        <v>#VALUE!</v>
      </c>
      <c r="I999" t="e">
        <f>RigheOfferte[[#This Row],[Colore]]</f>
        <v>#VALUE!</v>
      </c>
      <c r="J999" t="e">
        <f>RigheOfferte[[#This Row],[Velocità]]</f>
        <v>#VALUE!</v>
      </c>
      <c r="K999" t="e">
        <f>RigheOfferte[[#This Row],[Superf.pz Mq]]</f>
        <v>#VALUE!</v>
      </c>
      <c r="L999" t="e">
        <f>RigheOfferte[[#This Row],[passo]]</f>
        <v>#VALUE!</v>
      </c>
      <c r="M999" t="e">
        <f>RigheOfferte[[#This Row],[nr.pezzi Telaio]]</f>
        <v>#VALUE!</v>
      </c>
      <c r="N999" t="e">
        <f>RigheOfferte[[#This Row],[nr.pezzi ora-unita]]</f>
        <v>#VALUE!</v>
      </c>
      <c r="O999" t="e">
        <f>Tabella1[[#This Row],[superificie]]*Resa</f>
        <v>#VALUE!</v>
      </c>
      <c r="P999" t="e">
        <f>Tabella1[[#This Row],[KgPezzo]]*Tabella1[[#This Row],[q.ta offerta]]</f>
        <v>#VALUE!</v>
      </c>
      <c r="Q999" t="e">
        <f>RigheOfferte[[#This Row],[QtaProtez]]</f>
        <v>#VALUE!</v>
      </c>
      <c r="R999" t="e">
        <f>RigheOfferte[[#This Row],[Tipo Protezione]]</f>
        <v>#VALUE!</v>
      </c>
    </row>
    <row r="1000" spans="1:18">
      <c r="A1000" t="e">
        <f>RigheOfferte[[#This Row],[Nprev]]</f>
        <v>#VALUE!</v>
      </c>
      <c r="B1000" t="e">
        <f>RigheOfferte[[#This Row],[Nriga]]</f>
        <v>#VALUE!</v>
      </c>
      <c r="C1000" t="e">
        <f>RigheOfferte[[#This Row],[Cliente]]</f>
        <v>#VALUE!</v>
      </c>
      <c r="D1000" t="e">
        <f>RigheOfferte[[#This Row],[sub_cliente]]</f>
        <v>#VALUE!</v>
      </c>
      <c r="E1000" t="e">
        <f>RigheOfferte[[#This Row],[cod.Art.]]</f>
        <v>#VALUE!</v>
      </c>
      <c r="F1000" t="e">
        <f>RigheOfferte[[#This Row],[Descrizione]]</f>
        <v>#VALUE!</v>
      </c>
      <c r="G1000" t="e">
        <f>RigheOfferte[[#This Row],[Q.ta'']]</f>
        <v>#VALUE!</v>
      </c>
      <c r="H1000" t="e">
        <f>RigheOfferte[[#This Row],[Lavorazione]]</f>
        <v>#VALUE!</v>
      </c>
      <c r="I1000" t="e">
        <f>RigheOfferte[[#This Row],[Colore]]</f>
        <v>#VALUE!</v>
      </c>
      <c r="J1000" t="e">
        <f>RigheOfferte[[#This Row],[Velocità]]</f>
        <v>#VALUE!</v>
      </c>
      <c r="K1000" t="e">
        <f>RigheOfferte[[#This Row],[Superf.pz Mq]]</f>
        <v>#VALUE!</v>
      </c>
      <c r="L1000" t="e">
        <f>RigheOfferte[[#This Row],[passo]]</f>
        <v>#VALUE!</v>
      </c>
      <c r="M1000" t="e">
        <f>RigheOfferte[[#This Row],[nr.pezzi Telaio]]</f>
        <v>#VALUE!</v>
      </c>
      <c r="N1000" t="e">
        <f>RigheOfferte[[#This Row],[nr.pezzi ora-unita]]</f>
        <v>#VALUE!</v>
      </c>
      <c r="O1000" t="e">
        <f>Tabella1[[#This Row],[superificie]]*Resa</f>
        <v>#VALUE!</v>
      </c>
      <c r="P1000" t="e">
        <f>Tabella1[[#This Row],[KgPezzo]]*Tabella1[[#This Row],[q.ta offerta]]</f>
        <v>#VALUE!</v>
      </c>
      <c r="Q1000" t="e">
        <f>RigheOfferte[[#This Row],[QtaProtez]]</f>
        <v>#VALUE!</v>
      </c>
      <c r="R1000" t="e">
        <f>RigheOfferte[[#This Row],[Tipo Protezione]]</f>
        <v>#VALUE!</v>
      </c>
    </row>
    <row r="1001" spans="1:18">
      <c r="A1001" t="e">
        <f>RigheOfferte[[#This Row],[Nprev]]</f>
        <v>#VALUE!</v>
      </c>
      <c r="B1001" t="e">
        <f>RigheOfferte[[#This Row],[Nriga]]</f>
        <v>#VALUE!</v>
      </c>
      <c r="C1001" t="e">
        <f>RigheOfferte[[#This Row],[Cliente]]</f>
        <v>#VALUE!</v>
      </c>
      <c r="D1001" t="e">
        <f>RigheOfferte[[#This Row],[sub_cliente]]</f>
        <v>#VALUE!</v>
      </c>
      <c r="E1001" t="e">
        <f>RigheOfferte[[#This Row],[cod.Art.]]</f>
        <v>#VALUE!</v>
      </c>
      <c r="F1001" t="e">
        <f>RigheOfferte[[#This Row],[Descrizione]]</f>
        <v>#VALUE!</v>
      </c>
      <c r="G1001" t="e">
        <f>RigheOfferte[[#This Row],[Q.ta'']]</f>
        <v>#VALUE!</v>
      </c>
      <c r="H1001" t="e">
        <f>RigheOfferte[[#This Row],[Lavorazione]]</f>
        <v>#VALUE!</v>
      </c>
      <c r="I1001" t="e">
        <f>RigheOfferte[[#This Row],[Colore]]</f>
        <v>#VALUE!</v>
      </c>
      <c r="J1001" t="e">
        <f>RigheOfferte[[#This Row],[Velocità]]</f>
        <v>#VALUE!</v>
      </c>
      <c r="K1001" t="e">
        <f>RigheOfferte[[#This Row],[Superf.pz Mq]]</f>
        <v>#VALUE!</v>
      </c>
      <c r="L1001" t="e">
        <f>RigheOfferte[[#This Row],[passo]]</f>
        <v>#VALUE!</v>
      </c>
      <c r="M1001" t="e">
        <f>RigheOfferte[[#This Row],[nr.pezzi Telaio]]</f>
        <v>#VALUE!</v>
      </c>
      <c r="N1001" t="e">
        <f>RigheOfferte[[#This Row],[nr.pezzi ora-unita]]</f>
        <v>#VALUE!</v>
      </c>
      <c r="O1001" t="e">
        <f>Tabella1[[#This Row],[superificie]]*Resa</f>
        <v>#VALUE!</v>
      </c>
      <c r="P1001" t="e">
        <f>Tabella1[[#This Row],[KgPezzo]]*Tabella1[[#This Row],[q.ta offerta]]</f>
        <v>#VALUE!</v>
      </c>
      <c r="Q1001" t="e">
        <f>RigheOfferte[[#This Row],[QtaProtez]]</f>
        <v>#VALUE!</v>
      </c>
      <c r="R1001" t="e">
        <f>RigheOfferte[[#This Row],[Tipo Protezione]]</f>
        <v>#VALUE!</v>
      </c>
    </row>
    <row r="1002" spans="1:18">
      <c r="A1002" t="e">
        <f>RigheOfferte[[#This Row],[Nprev]]</f>
        <v>#VALUE!</v>
      </c>
      <c r="B1002" t="e">
        <f>RigheOfferte[[#This Row],[Nriga]]</f>
        <v>#VALUE!</v>
      </c>
      <c r="C1002" t="e">
        <f>RigheOfferte[[#This Row],[Cliente]]</f>
        <v>#VALUE!</v>
      </c>
      <c r="D1002" t="e">
        <f>RigheOfferte[[#This Row],[sub_cliente]]</f>
        <v>#VALUE!</v>
      </c>
      <c r="E1002" t="e">
        <f>RigheOfferte[[#This Row],[cod.Art.]]</f>
        <v>#VALUE!</v>
      </c>
      <c r="F1002" t="e">
        <f>RigheOfferte[[#This Row],[Descrizione]]</f>
        <v>#VALUE!</v>
      </c>
      <c r="G1002" t="e">
        <f>RigheOfferte[[#This Row],[Q.ta'']]</f>
        <v>#VALUE!</v>
      </c>
      <c r="H1002" t="e">
        <f>RigheOfferte[[#This Row],[Lavorazione]]</f>
        <v>#VALUE!</v>
      </c>
      <c r="I1002" t="e">
        <f>RigheOfferte[[#This Row],[Colore]]</f>
        <v>#VALUE!</v>
      </c>
      <c r="J1002" t="e">
        <f>RigheOfferte[[#This Row],[Velocità]]</f>
        <v>#VALUE!</v>
      </c>
      <c r="K1002" t="e">
        <f>RigheOfferte[[#This Row],[Superf.pz Mq]]</f>
        <v>#VALUE!</v>
      </c>
      <c r="L1002" t="e">
        <f>RigheOfferte[[#This Row],[passo]]</f>
        <v>#VALUE!</v>
      </c>
      <c r="M1002" t="e">
        <f>RigheOfferte[[#This Row],[nr.pezzi Telaio]]</f>
        <v>#VALUE!</v>
      </c>
      <c r="N1002" t="e">
        <f>RigheOfferte[[#This Row],[nr.pezzi ora-unita]]</f>
        <v>#VALUE!</v>
      </c>
      <c r="O1002" t="e">
        <f>Tabella1[[#This Row],[superificie]]*Resa</f>
        <v>#VALUE!</v>
      </c>
      <c r="P1002" t="e">
        <f>Tabella1[[#This Row],[KgPezzo]]*Tabella1[[#This Row],[q.ta offerta]]</f>
        <v>#VALUE!</v>
      </c>
      <c r="Q1002" t="e">
        <f>RigheOfferte[[#This Row],[QtaProtez]]</f>
        <v>#VALUE!</v>
      </c>
      <c r="R1002" t="e">
        <f>RigheOfferte[[#This Row],[Tipo Protezione]]</f>
        <v>#VALUE!</v>
      </c>
    </row>
    <row r="1003" spans="1:18">
      <c r="A1003" t="e">
        <f>RigheOfferte[[#This Row],[Nprev]]</f>
        <v>#VALUE!</v>
      </c>
      <c r="B1003" t="e">
        <f>RigheOfferte[[#This Row],[Nriga]]</f>
        <v>#VALUE!</v>
      </c>
      <c r="C1003" t="e">
        <f>RigheOfferte[[#This Row],[Cliente]]</f>
        <v>#VALUE!</v>
      </c>
      <c r="D1003" t="e">
        <f>RigheOfferte[[#This Row],[sub_cliente]]</f>
        <v>#VALUE!</v>
      </c>
      <c r="E1003" t="e">
        <f>RigheOfferte[[#This Row],[cod.Art.]]</f>
        <v>#VALUE!</v>
      </c>
      <c r="F1003" t="e">
        <f>RigheOfferte[[#This Row],[Descrizione]]</f>
        <v>#VALUE!</v>
      </c>
      <c r="G1003" t="e">
        <f>RigheOfferte[[#This Row],[Q.ta'']]</f>
        <v>#VALUE!</v>
      </c>
      <c r="H1003" t="e">
        <f>RigheOfferte[[#This Row],[Lavorazione]]</f>
        <v>#VALUE!</v>
      </c>
      <c r="I1003" t="e">
        <f>RigheOfferte[[#This Row],[Colore]]</f>
        <v>#VALUE!</v>
      </c>
      <c r="J1003" t="e">
        <f>RigheOfferte[[#This Row],[Velocità]]</f>
        <v>#VALUE!</v>
      </c>
      <c r="K1003" t="e">
        <f>RigheOfferte[[#This Row],[Superf.pz Mq]]</f>
        <v>#VALUE!</v>
      </c>
      <c r="L1003" t="e">
        <f>RigheOfferte[[#This Row],[passo]]</f>
        <v>#VALUE!</v>
      </c>
      <c r="M1003" t="e">
        <f>RigheOfferte[[#This Row],[nr.pezzi Telaio]]</f>
        <v>#VALUE!</v>
      </c>
      <c r="N1003" t="e">
        <f>RigheOfferte[[#This Row],[nr.pezzi ora-unita]]</f>
        <v>#VALUE!</v>
      </c>
      <c r="O1003" t="e">
        <f>Tabella1[[#This Row],[superificie]]*Resa</f>
        <v>#VALUE!</v>
      </c>
      <c r="P1003" t="e">
        <f>Tabella1[[#This Row],[KgPezzo]]*Tabella1[[#This Row],[q.ta offerta]]</f>
        <v>#VALUE!</v>
      </c>
      <c r="Q1003" t="e">
        <f>RigheOfferte[[#This Row],[QtaProtez]]</f>
        <v>#VALUE!</v>
      </c>
      <c r="R1003" t="e">
        <f>RigheOfferte[[#This Row],[Tipo Protezione]]</f>
        <v>#VALUE!</v>
      </c>
    </row>
    <row r="1004" spans="1:18">
      <c r="A1004" t="e">
        <f>RigheOfferte[[#This Row],[Nprev]]</f>
        <v>#VALUE!</v>
      </c>
      <c r="B1004" t="e">
        <f>RigheOfferte[[#This Row],[Nriga]]</f>
        <v>#VALUE!</v>
      </c>
      <c r="C1004" t="e">
        <f>RigheOfferte[[#This Row],[Cliente]]</f>
        <v>#VALUE!</v>
      </c>
      <c r="D1004" t="e">
        <f>RigheOfferte[[#This Row],[sub_cliente]]</f>
        <v>#VALUE!</v>
      </c>
      <c r="E1004" t="e">
        <f>RigheOfferte[[#This Row],[cod.Art.]]</f>
        <v>#VALUE!</v>
      </c>
      <c r="F1004" t="e">
        <f>RigheOfferte[[#This Row],[Descrizione]]</f>
        <v>#VALUE!</v>
      </c>
      <c r="G1004" t="e">
        <f>RigheOfferte[[#This Row],[Q.ta'']]</f>
        <v>#VALUE!</v>
      </c>
      <c r="H1004" t="e">
        <f>RigheOfferte[[#This Row],[Lavorazione]]</f>
        <v>#VALUE!</v>
      </c>
      <c r="I1004" t="e">
        <f>RigheOfferte[[#This Row],[Colore]]</f>
        <v>#VALUE!</v>
      </c>
      <c r="J1004" t="e">
        <f>RigheOfferte[[#This Row],[Velocità]]</f>
        <v>#VALUE!</v>
      </c>
      <c r="K1004" t="e">
        <f>RigheOfferte[[#This Row],[Superf.pz Mq]]</f>
        <v>#VALUE!</v>
      </c>
      <c r="L1004" t="e">
        <f>RigheOfferte[[#This Row],[passo]]</f>
        <v>#VALUE!</v>
      </c>
      <c r="M1004" t="e">
        <f>RigheOfferte[[#This Row],[nr.pezzi Telaio]]</f>
        <v>#VALUE!</v>
      </c>
      <c r="N1004" t="e">
        <f>RigheOfferte[[#This Row],[nr.pezzi ora-unita]]</f>
        <v>#VALUE!</v>
      </c>
      <c r="O1004" t="e">
        <f>Tabella1[[#This Row],[superificie]]*Resa</f>
        <v>#VALUE!</v>
      </c>
      <c r="P1004" t="e">
        <f>Tabella1[[#This Row],[KgPezzo]]*Tabella1[[#This Row],[q.ta offerta]]</f>
        <v>#VALUE!</v>
      </c>
      <c r="Q1004" t="e">
        <f>RigheOfferte[[#This Row],[QtaProtez]]</f>
        <v>#VALUE!</v>
      </c>
      <c r="R1004" t="e">
        <f>RigheOfferte[[#This Row],[Tipo Protezione]]</f>
        <v>#VALUE!</v>
      </c>
    </row>
    <row r="1005" spans="1:18">
      <c r="A1005" t="e">
        <f>RigheOfferte[[#This Row],[Nprev]]</f>
        <v>#VALUE!</v>
      </c>
      <c r="B1005" t="e">
        <f>RigheOfferte[[#This Row],[Nriga]]</f>
        <v>#VALUE!</v>
      </c>
      <c r="C1005" t="e">
        <f>RigheOfferte[[#This Row],[Cliente]]</f>
        <v>#VALUE!</v>
      </c>
      <c r="D1005" t="e">
        <f>RigheOfferte[[#This Row],[sub_cliente]]</f>
        <v>#VALUE!</v>
      </c>
      <c r="E1005" t="e">
        <f>RigheOfferte[[#This Row],[cod.Art.]]</f>
        <v>#VALUE!</v>
      </c>
      <c r="F1005" t="e">
        <f>RigheOfferte[[#This Row],[Descrizione]]</f>
        <v>#VALUE!</v>
      </c>
      <c r="G1005" t="e">
        <f>RigheOfferte[[#This Row],[Q.ta'']]</f>
        <v>#VALUE!</v>
      </c>
      <c r="H1005" t="e">
        <f>RigheOfferte[[#This Row],[Lavorazione]]</f>
        <v>#VALUE!</v>
      </c>
      <c r="I1005" t="e">
        <f>RigheOfferte[[#This Row],[Colore]]</f>
        <v>#VALUE!</v>
      </c>
      <c r="J1005" t="e">
        <f>RigheOfferte[[#This Row],[Velocità]]</f>
        <v>#VALUE!</v>
      </c>
      <c r="K1005" t="e">
        <f>RigheOfferte[[#This Row],[Superf.pz Mq]]</f>
        <v>#VALUE!</v>
      </c>
      <c r="L1005" t="e">
        <f>RigheOfferte[[#This Row],[passo]]</f>
        <v>#VALUE!</v>
      </c>
      <c r="M1005" t="e">
        <f>RigheOfferte[[#This Row],[nr.pezzi Telaio]]</f>
        <v>#VALUE!</v>
      </c>
      <c r="N1005" t="e">
        <f>RigheOfferte[[#This Row],[nr.pezzi ora-unita]]</f>
        <v>#VALUE!</v>
      </c>
      <c r="O1005" t="e">
        <f>Tabella1[[#This Row],[superificie]]*Resa</f>
        <v>#VALUE!</v>
      </c>
      <c r="P1005" t="e">
        <f>Tabella1[[#This Row],[KgPezzo]]*Tabella1[[#This Row],[q.ta offerta]]</f>
        <v>#VALUE!</v>
      </c>
      <c r="Q1005" t="e">
        <f>RigheOfferte[[#This Row],[QtaProtez]]</f>
        <v>#VALUE!</v>
      </c>
      <c r="R1005" t="e">
        <f>RigheOfferte[[#This Row],[Tipo Protezione]]</f>
        <v>#VALUE!</v>
      </c>
    </row>
    <row r="1006" spans="1:18">
      <c r="A1006" t="e">
        <f>RigheOfferte[[#This Row],[Nprev]]</f>
        <v>#VALUE!</v>
      </c>
      <c r="B1006" t="e">
        <f>RigheOfferte[[#This Row],[Nriga]]</f>
        <v>#VALUE!</v>
      </c>
      <c r="C1006" t="e">
        <f>RigheOfferte[[#This Row],[Cliente]]</f>
        <v>#VALUE!</v>
      </c>
      <c r="D1006" t="e">
        <f>RigheOfferte[[#This Row],[sub_cliente]]</f>
        <v>#VALUE!</v>
      </c>
      <c r="E1006" t="e">
        <f>RigheOfferte[[#This Row],[cod.Art.]]</f>
        <v>#VALUE!</v>
      </c>
      <c r="F1006" t="e">
        <f>RigheOfferte[[#This Row],[Descrizione]]</f>
        <v>#VALUE!</v>
      </c>
      <c r="G1006" t="e">
        <f>RigheOfferte[[#This Row],[Q.ta'']]</f>
        <v>#VALUE!</v>
      </c>
      <c r="H1006" t="e">
        <f>RigheOfferte[[#This Row],[Lavorazione]]</f>
        <v>#VALUE!</v>
      </c>
      <c r="I1006" t="e">
        <f>RigheOfferte[[#This Row],[Colore]]</f>
        <v>#VALUE!</v>
      </c>
      <c r="J1006" t="e">
        <f>RigheOfferte[[#This Row],[Velocità]]</f>
        <v>#VALUE!</v>
      </c>
      <c r="K1006" t="e">
        <f>RigheOfferte[[#This Row],[Superf.pz Mq]]</f>
        <v>#VALUE!</v>
      </c>
      <c r="L1006" t="e">
        <f>RigheOfferte[[#This Row],[passo]]</f>
        <v>#VALUE!</v>
      </c>
      <c r="M1006" t="e">
        <f>RigheOfferte[[#This Row],[nr.pezzi Telaio]]</f>
        <v>#VALUE!</v>
      </c>
      <c r="N1006" t="e">
        <f>RigheOfferte[[#This Row],[nr.pezzi ora-unita]]</f>
        <v>#VALUE!</v>
      </c>
      <c r="O1006" t="e">
        <f>Tabella1[[#This Row],[superificie]]*Resa</f>
        <v>#VALUE!</v>
      </c>
      <c r="P1006" t="e">
        <f>Tabella1[[#This Row],[KgPezzo]]*Tabella1[[#This Row],[q.ta offerta]]</f>
        <v>#VALUE!</v>
      </c>
      <c r="Q1006" t="e">
        <f>RigheOfferte[[#This Row],[QtaProtez]]</f>
        <v>#VALUE!</v>
      </c>
      <c r="R1006" t="e">
        <f>RigheOfferte[[#This Row],[Tipo Protezione]]</f>
        <v>#VALUE!</v>
      </c>
    </row>
    <row r="1007" spans="1:18">
      <c r="A1007" t="e">
        <f>RigheOfferte[[#This Row],[Nprev]]</f>
        <v>#VALUE!</v>
      </c>
      <c r="B1007" t="e">
        <f>RigheOfferte[[#This Row],[Nriga]]</f>
        <v>#VALUE!</v>
      </c>
      <c r="C1007" t="e">
        <f>RigheOfferte[[#This Row],[Cliente]]</f>
        <v>#VALUE!</v>
      </c>
      <c r="D1007" t="e">
        <f>RigheOfferte[[#This Row],[sub_cliente]]</f>
        <v>#VALUE!</v>
      </c>
      <c r="E1007" t="e">
        <f>RigheOfferte[[#This Row],[cod.Art.]]</f>
        <v>#VALUE!</v>
      </c>
      <c r="F1007" t="e">
        <f>RigheOfferte[[#This Row],[Descrizione]]</f>
        <v>#VALUE!</v>
      </c>
      <c r="G1007" t="e">
        <f>RigheOfferte[[#This Row],[Q.ta'']]</f>
        <v>#VALUE!</v>
      </c>
      <c r="H1007" t="e">
        <f>RigheOfferte[[#This Row],[Lavorazione]]</f>
        <v>#VALUE!</v>
      </c>
      <c r="I1007" t="e">
        <f>RigheOfferte[[#This Row],[Colore]]</f>
        <v>#VALUE!</v>
      </c>
      <c r="J1007" t="e">
        <f>RigheOfferte[[#This Row],[Velocità]]</f>
        <v>#VALUE!</v>
      </c>
      <c r="K1007" t="e">
        <f>RigheOfferte[[#This Row],[Superf.pz Mq]]</f>
        <v>#VALUE!</v>
      </c>
      <c r="L1007" t="e">
        <f>RigheOfferte[[#This Row],[passo]]</f>
        <v>#VALUE!</v>
      </c>
      <c r="M1007" t="e">
        <f>RigheOfferte[[#This Row],[nr.pezzi Telaio]]</f>
        <v>#VALUE!</v>
      </c>
      <c r="N1007" t="e">
        <f>RigheOfferte[[#This Row],[nr.pezzi ora-unita]]</f>
        <v>#VALUE!</v>
      </c>
      <c r="O1007" t="e">
        <f>Tabella1[[#This Row],[superificie]]*Resa</f>
        <v>#VALUE!</v>
      </c>
      <c r="P1007" t="e">
        <f>Tabella1[[#This Row],[KgPezzo]]*Tabella1[[#This Row],[q.ta offerta]]</f>
        <v>#VALUE!</v>
      </c>
      <c r="Q1007" t="e">
        <f>RigheOfferte[[#This Row],[QtaProtez]]</f>
        <v>#VALUE!</v>
      </c>
      <c r="R1007" t="e">
        <f>RigheOfferte[[#This Row],[Tipo Protezione]]</f>
        <v>#VALUE!</v>
      </c>
    </row>
    <row r="1008" spans="1:18">
      <c r="A1008" t="e">
        <f>RigheOfferte[[#This Row],[Nprev]]</f>
        <v>#VALUE!</v>
      </c>
      <c r="B1008" t="e">
        <f>RigheOfferte[[#This Row],[Nriga]]</f>
        <v>#VALUE!</v>
      </c>
      <c r="C1008" t="e">
        <f>RigheOfferte[[#This Row],[Cliente]]</f>
        <v>#VALUE!</v>
      </c>
      <c r="D1008" t="e">
        <f>RigheOfferte[[#This Row],[sub_cliente]]</f>
        <v>#VALUE!</v>
      </c>
      <c r="E1008" t="e">
        <f>RigheOfferte[[#This Row],[cod.Art.]]</f>
        <v>#VALUE!</v>
      </c>
      <c r="F1008" t="e">
        <f>RigheOfferte[[#This Row],[Descrizione]]</f>
        <v>#VALUE!</v>
      </c>
      <c r="G1008" t="e">
        <f>RigheOfferte[[#This Row],[Q.ta'']]</f>
        <v>#VALUE!</v>
      </c>
      <c r="H1008" t="e">
        <f>RigheOfferte[[#This Row],[Lavorazione]]</f>
        <v>#VALUE!</v>
      </c>
      <c r="I1008" t="e">
        <f>RigheOfferte[[#This Row],[Colore]]</f>
        <v>#VALUE!</v>
      </c>
      <c r="J1008" t="e">
        <f>RigheOfferte[[#This Row],[Velocità]]</f>
        <v>#VALUE!</v>
      </c>
      <c r="K1008" t="e">
        <f>RigheOfferte[[#This Row],[Superf.pz Mq]]</f>
        <v>#VALUE!</v>
      </c>
      <c r="L1008" t="e">
        <f>RigheOfferte[[#This Row],[passo]]</f>
        <v>#VALUE!</v>
      </c>
      <c r="M1008" t="e">
        <f>RigheOfferte[[#This Row],[nr.pezzi Telaio]]</f>
        <v>#VALUE!</v>
      </c>
      <c r="N1008" t="e">
        <f>RigheOfferte[[#This Row],[nr.pezzi ora-unita]]</f>
        <v>#VALUE!</v>
      </c>
      <c r="O1008" t="e">
        <f>Tabella1[[#This Row],[superificie]]*Resa</f>
        <v>#VALUE!</v>
      </c>
      <c r="P1008" t="e">
        <f>Tabella1[[#This Row],[KgPezzo]]*Tabella1[[#This Row],[q.ta offerta]]</f>
        <v>#VALUE!</v>
      </c>
      <c r="Q1008" t="e">
        <f>RigheOfferte[[#This Row],[QtaProtez]]</f>
        <v>#VALUE!</v>
      </c>
      <c r="R1008" t="e">
        <f>RigheOfferte[[#This Row],[Tipo Protezione]]</f>
        <v>#VALUE!</v>
      </c>
    </row>
    <row r="1009" spans="1:18">
      <c r="A1009" t="e">
        <f>RigheOfferte[[#This Row],[Nprev]]</f>
        <v>#VALUE!</v>
      </c>
      <c r="B1009" t="e">
        <f>RigheOfferte[[#This Row],[Nriga]]</f>
        <v>#VALUE!</v>
      </c>
      <c r="C1009" t="e">
        <f>RigheOfferte[[#This Row],[Cliente]]</f>
        <v>#VALUE!</v>
      </c>
      <c r="D1009" t="e">
        <f>RigheOfferte[[#This Row],[sub_cliente]]</f>
        <v>#VALUE!</v>
      </c>
      <c r="E1009" t="e">
        <f>RigheOfferte[[#This Row],[cod.Art.]]</f>
        <v>#VALUE!</v>
      </c>
      <c r="F1009" t="e">
        <f>RigheOfferte[[#This Row],[Descrizione]]</f>
        <v>#VALUE!</v>
      </c>
      <c r="G1009" t="e">
        <f>RigheOfferte[[#This Row],[Q.ta'']]</f>
        <v>#VALUE!</v>
      </c>
      <c r="H1009" t="e">
        <f>RigheOfferte[[#This Row],[Lavorazione]]</f>
        <v>#VALUE!</v>
      </c>
      <c r="I1009" t="e">
        <f>RigheOfferte[[#This Row],[Colore]]</f>
        <v>#VALUE!</v>
      </c>
      <c r="J1009" t="e">
        <f>RigheOfferte[[#This Row],[Velocità]]</f>
        <v>#VALUE!</v>
      </c>
      <c r="K1009" t="e">
        <f>RigheOfferte[[#This Row],[Superf.pz Mq]]</f>
        <v>#VALUE!</v>
      </c>
      <c r="L1009" t="e">
        <f>RigheOfferte[[#This Row],[passo]]</f>
        <v>#VALUE!</v>
      </c>
      <c r="M1009" t="e">
        <f>RigheOfferte[[#This Row],[nr.pezzi Telaio]]</f>
        <v>#VALUE!</v>
      </c>
      <c r="N1009" t="e">
        <f>RigheOfferte[[#This Row],[nr.pezzi ora-unita]]</f>
        <v>#VALUE!</v>
      </c>
      <c r="O1009" t="e">
        <f>Tabella1[[#This Row],[superificie]]*Resa</f>
        <v>#VALUE!</v>
      </c>
      <c r="P1009" t="e">
        <f>Tabella1[[#This Row],[KgPezzo]]*Tabella1[[#This Row],[q.ta offerta]]</f>
        <v>#VALUE!</v>
      </c>
      <c r="Q1009" t="e">
        <f>RigheOfferte[[#This Row],[QtaProtez]]</f>
        <v>#VALUE!</v>
      </c>
      <c r="R1009" t="e">
        <f>RigheOfferte[[#This Row],[Tipo Protezione]]</f>
        <v>#VALUE!</v>
      </c>
    </row>
    <row r="1010" spans="1:18">
      <c r="A1010" t="e">
        <f>RigheOfferte[[#This Row],[Nprev]]</f>
        <v>#VALUE!</v>
      </c>
      <c r="B1010" t="e">
        <f>RigheOfferte[[#This Row],[Nriga]]</f>
        <v>#VALUE!</v>
      </c>
      <c r="C1010" t="e">
        <f>RigheOfferte[[#This Row],[Cliente]]</f>
        <v>#VALUE!</v>
      </c>
      <c r="D1010" t="e">
        <f>RigheOfferte[[#This Row],[sub_cliente]]</f>
        <v>#VALUE!</v>
      </c>
      <c r="E1010" t="e">
        <f>RigheOfferte[[#This Row],[cod.Art.]]</f>
        <v>#VALUE!</v>
      </c>
      <c r="F1010" t="e">
        <f>RigheOfferte[[#This Row],[Descrizione]]</f>
        <v>#VALUE!</v>
      </c>
      <c r="G1010" t="e">
        <f>RigheOfferte[[#This Row],[Q.ta'']]</f>
        <v>#VALUE!</v>
      </c>
      <c r="H1010" t="e">
        <f>RigheOfferte[[#This Row],[Lavorazione]]</f>
        <v>#VALUE!</v>
      </c>
      <c r="I1010" t="e">
        <f>RigheOfferte[[#This Row],[Colore]]</f>
        <v>#VALUE!</v>
      </c>
      <c r="J1010" t="e">
        <f>RigheOfferte[[#This Row],[Velocità]]</f>
        <v>#VALUE!</v>
      </c>
      <c r="K1010" t="e">
        <f>RigheOfferte[[#This Row],[Superf.pz Mq]]</f>
        <v>#VALUE!</v>
      </c>
      <c r="L1010" t="e">
        <f>RigheOfferte[[#This Row],[passo]]</f>
        <v>#VALUE!</v>
      </c>
      <c r="M1010" t="e">
        <f>RigheOfferte[[#This Row],[nr.pezzi Telaio]]</f>
        <v>#VALUE!</v>
      </c>
      <c r="N1010" t="e">
        <f>RigheOfferte[[#This Row],[nr.pezzi ora-unita]]</f>
        <v>#VALUE!</v>
      </c>
      <c r="O1010" t="e">
        <f>Tabella1[[#This Row],[superificie]]*Resa</f>
        <v>#VALUE!</v>
      </c>
      <c r="P1010" t="e">
        <f>Tabella1[[#This Row],[KgPezzo]]*Tabella1[[#This Row],[q.ta offerta]]</f>
        <v>#VALUE!</v>
      </c>
      <c r="Q1010" t="e">
        <f>RigheOfferte[[#This Row],[QtaProtez]]</f>
        <v>#VALUE!</v>
      </c>
      <c r="R1010" t="e">
        <f>RigheOfferte[[#This Row],[Tipo Protezione]]</f>
        <v>#VALUE!</v>
      </c>
    </row>
    <row r="1011" spans="1:18">
      <c r="A1011" t="e">
        <f>RigheOfferte[[#This Row],[Nprev]]</f>
        <v>#VALUE!</v>
      </c>
      <c r="B1011" t="e">
        <f>RigheOfferte[[#This Row],[Nriga]]</f>
        <v>#VALUE!</v>
      </c>
      <c r="C1011" t="e">
        <f>RigheOfferte[[#This Row],[Cliente]]</f>
        <v>#VALUE!</v>
      </c>
      <c r="D1011" t="e">
        <f>RigheOfferte[[#This Row],[sub_cliente]]</f>
        <v>#VALUE!</v>
      </c>
      <c r="E1011" t="e">
        <f>RigheOfferte[[#This Row],[cod.Art.]]</f>
        <v>#VALUE!</v>
      </c>
      <c r="F1011" t="e">
        <f>RigheOfferte[[#This Row],[Descrizione]]</f>
        <v>#VALUE!</v>
      </c>
      <c r="G1011" t="e">
        <f>RigheOfferte[[#This Row],[Q.ta'']]</f>
        <v>#VALUE!</v>
      </c>
      <c r="H1011" t="e">
        <f>RigheOfferte[[#This Row],[Lavorazione]]</f>
        <v>#VALUE!</v>
      </c>
      <c r="I1011" t="e">
        <f>RigheOfferte[[#This Row],[Colore]]</f>
        <v>#VALUE!</v>
      </c>
      <c r="J1011" t="e">
        <f>RigheOfferte[[#This Row],[Velocità]]</f>
        <v>#VALUE!</v>
      </c>
      <c r="K1011" t="e">
        <f>RigheOfferte[[#This Row],[Superf.pz Mq]]</f>
        <v>#VALUE!</v>
      </c>
      <c r="L1011" t="e">
        <f>RigheOfferte[[#This Row],[passo]]</f>
        <v>#VALUE!</v>
      </c>
      <c r="M1011" t="e">
        <f>RigheOfferte[[#This Row],[nr.pezzi Telaio]]</f>
        <v>#VALUE!</v>
      </c>
      <c r="N1011" t="e">
        <f>RigheOfferte[[#This Row],[nr.pezzi ora-unita]]</f>
        <v>#VALUE!</v>
      </c>
      <c r="O1011" t="e">
        <f>Tabella1[[#This Row],[superificie]]*Resa</f>
        <v>#VALUE!</v>
      </c>
      <c r="P1011" t="e">
        <f>Tabella1[[#This Row],[KgPezzo]]*Tabella1[[#This Row],[q.ta offerta]]</f>
        <v>#VALUE!</v>
      </c>
      <c r="Q1011" t="e">
        <f>RigheOfferte[[#This Row],[QtaProtez]]</f>
        <v>#VALUE!</v>
      </c>
      <c r="R1011" t="e">
        <f>RigheOfferte[[#This Row],[Tipo Protezione]]</f>
        <v>#VALUE!</v>
      </c>
    </row>
    <row r="1012" spans="1:18">
      <c r="A1012" t="e">
        <f>RigheOfferte[[#This Row],[Nprev]]</f>
        <v>#VALUE!</v>
      </c>
      <c r="B1012" t="e">
        <f>RigheOfferte[[#This Row],[Nriga]]</f>
        <v>#VALUE!</v>
      </c>
      <c r="C1012" t="e">
        <f>RigheOfferte[[#This Row],[Cliente]]</f>
        <v>#VALUE!</v>
      </c>
      <c r="D1012" t="e">
        <f>RigheOfferte[[#This Row],[sub_cliente]]</f>
        <v>#VALUE!</v>
      </c>
      <c r="E1012" t="e">
        <f>RigheOfferte[[#This Row],[cod.Art.]]</f>
        <v>#VALUE!</v>
      </c>
      <c r="F1012" t="e">
        <f>RigheOfferte[[#This Row],[Descrizione]]</f>
        <v>#VALUE!</v>
      </c>
      <c r="G1012" t="e">
        <f>RigheOfferte[[#This Row],[Q.ta'']]</f>
        <v>#VALUE!</v>
      </c>
      <c r="H1012" t="e">
        <f>RigheOfferte[[#This Row],[Lavorazione]]</f>
        <v>#VALUE!</v>
      </c>
      <c r="I1012" t="e">
        <f>RigheOfferte[[#This Row],[Colore]]</f>
        <v>#VALUE!</v>
      </c>
      <c r="J1012" t="e">
        <f>RigheOfferte[[#This Row],[Velocità]]</f>
        <v>#VALUE!</v>
      </c>
      <c r="K1012" t="e">
        <f>RigheOfferte[[#This Row],[Superf.pz Mq]]</f>
        <v>#VALUE!</v>
      </c>
      <c r="L1012" t="e">
        <f>RigheOfferte[[#This Row],[passo]]</f>
        <v>#VALUE!</v>
      </c>
      <c r="M1012" t="e">
        <f>RigheOfferte[[#This Row],[nr.pezzi Telaio]]</f>
        <v>#VALUE!</v>
      </c>
      <c r="N1012" t="e">
        <f>RigheOfferte[[#This Row],[nr.pezzi ora-unita]]</f>
        <v>#VALUE!</v>
      </c>
      <c r="O1012" t="e">
        <f>Tabella1[[#This Row],[superificie]]*Resa</f>
        <v>#VALUE!</v>
      </c>
      <c r="P1012" t="e">
        <f>Tabella1[[#This Row],[KgPezzo]]*Tabella1[[#This Row],[q.ta offerta]]</f>
        <v>#VALUE!</v>
      </c>
      <c r="Q1012" t="e">
        <f>RigheOfferte[[#This Row],[QtaProtez]]</f>
        <v>#VALUE!</v>
      </c>
      <c r="R1012" t="e">
        <f>RigheOfferte[[#This Row],[Tipo Protezione]]</f>
        <v>#VALUE!</v>
      </c>
    </row>
    <row r="1013" spans="1:18">
      <c r="A1013" t="e">
        <f>RigheOfferte[[#This Row],[Nprev]]</f>
        <v>#VALUE!</v>
      </c>
      <c r="B1013" t="e">
        <f>RigheOfferte[[#This Row],[Nriga]]</f>
        <v>#VALUE!</v>
      </c>
      <c r="C1013" t="e">
        <f>RigheOfferte[[#This Row],[Cliente]]</f>
        <v>#VALUE!</v>
      </c>
      <c r="D1013" t="e">
        <f>RigheOfferte[[#This Row],[sub_cliente]]</f>
        <v>#VALUE!</v>
      </c>
      <c r="E1013" t="e">
        <f>RigheOfferte[[#This Row],[cod.Art.]]</f>
        <v>#VALUE!</v>
      </c>
      <c r="F1013" t="e">
        <f>RigheOfferte[[#This Row],[Descrizione]]</f>
        <v>#VALUE!</v>
      </c>
      <c r="G1013" t="e">
        <f>RigheOfferte[[#This Row],[Q.ta'']]</f>
        <v>#VALUE!</v>
      </c>
      <c r="H1013" t="e">
        <f>RigheOfferte[[#This Row],[Lavorazione]]</f>
        <v>#VALUE!</v>
      </c>
      <c r="I1013" t="e">
        <f>RigheOfferte[[#This Row],[Colore]]</f>
        <v>#VALUE!</v>
      </c>
      <c r="J1013" t="e">
        <f>RigheOfferte[[#This Row],[Velocità]]</f>
        <v>#VALUE!</v>
      </c>
      <c r="K1013" t="e">
        <f>RigheOfferte[[#This Row],[Superf.pz Mq]]</f>
        <v>#VALUE!</v>
      </c>
      <c r="L1013" t="e">
        <f>RigheOfferte[[#This Row],[passo]]</f>
        <v>#VALUE!</v>
      </c>
      <c r="M1013" t="e">
        <f>RigheOfferte[[#This Row],[nr.pezzi Telaio]]</f>
        <v>#VALUE!</v>
      </c>
      <c r="N1013" t="e">
        <f>RigheOfferte[[#This Row],[nr.pezzi ora-unita]]</f>
        <v>#VALUE!</v>
      </c>
      <c r="O1013" t="e">
        <f>Tabella1[[#This Row],[superificie]]*Resa</f>
        <v>#VALUE!</v>
      </c>
      <c r="P1013" t="e">
        <f>Tabella1[[#This Row],[KgPezzo]]*Tabella1[[#This Row],[q.ta offerta]]</f>
        <v>#VALUE!</v>
      </c>
      <c r="Q1013" t="e">
        <f>RigheOfferte[[#This Row],[QtaProtez]]</f>
        <v>#VALUE!</v>
      </c>
      <c r="R1013" t="e">
        <f>RigheOfferte[[#This Row],[Tipo Protezione]]</f>
        <v>#VALUE!</v>
      </c>
    </row>
    <row r="1014" spans="1:18">
      <c r="A1014" t="e">
        <f>RigheOfferte[[#This Row],[Nprev]]</f>
        <v>#VALUE!</v>
      </c>
      <c r="B1014" t="e">
        <f>RigheOfferte[[#This Row],[Nriga]]</f>
        <v>#VALUE!</v>
      </c>
      <c r="C1014" t="e">
        <f>RigheOfferte[[#This Row],[Cliente]]</f>
        <v>#VALUE!</v>
      </c>
      <c r="D1014" t="e">
        <f>RigheOfferte[[#This Row],[sub_cliente]]</f>
        <v>#VALUE!</v>
      </c>
      <c r="E1014" t="e">
        <f>RigheOfferte[[#This Row],[cod.Art.]]</f>
        <v>#VALUE!</v>
      </c>
      <c r="F1014" t="e">
        <f>RigheOfferte[[#This Row],[Descrizione]]</f>
        <v>#VALUE!</v>
      </c>
      <c r="G1014" t="e">
        <f>RigheOfferte[[#This Row],[Q.ta'']]</f>
        <v>#VALUE!</v>
      </c>
      <c r="H1014" t="e">
        <f>RigheOfferte[[#This Row],[Lavorazione]]</f>
        <v>#VALUE!</v>
      </c>
      <c r="I1014" t="e">
        <f>RigheOfferte[[#This Row],[Colore]]</f>
        <v>#VALUE!</v>
      </c>
      <c r="J1014" t="e">
        <f>RigheOfferte[[#This Row],[Velocità]]</f>
        <v>#VALUE!</v>
      </c>
      <c r="K1014" t="e">
        <f>RigheOfferte[[#This Row],[Superf.pz Mq]]</f>
        <v>#VALUE!</v>
      </c>
      <c r="L1014" t="e">
        <f>RigheOfferte[[#This Row],[passo]]</f>
        <v>#VALUE!</v>
      </c>
      <c r="M1014" t="e">
        <f>RigheOfferte[[#This Row],[nr.pezzi Telaio]]</f>
        <v>#VALUE!</v>
      </c>
      <c r="N1014" t="e">
        <f>RigheOfferte[[#This Row],[nr.pezzi ora-unita]]</f>
        <v>#VALUE!</v>
      </c>
      <c r="O1014" t="e">
        <f>Tabella1[[#This Row],[superificie]]*Resa</f>
        <v>#VALUE!</v>
      </c>
      <c r="P1014" t="e">
        <f>Tabella1[[#This Row],[KgPezzo]]*Tabella1[[#This Row],[q.ta offerta]]</f>
        <v>#VALUE!</v>
      </c>
      <c r="Q1014" t="e">
        <f>RigheOfferte[[#This Row],[QtaProtez]]</f>
        <v>#VALUE!</v>
      </c>
      <c r="R1014" t="e">
        <f>RigheOfferte[[#This Row],[Tipo Protezione]]</f>
        <v>#VALUE!</v>
      </c>
    </row>
    <row r="1015" spans="1:18">
      <c r="A1015" t="e">
        <f>RigheOfferte[[#This Row],[Nprev]]</f>
        <v>#VALUE!</v>
      </c>
      <c r="B1015" t="e">
        <f>RigheOfferte[[#This Row],[Nriga]]</f>
        <v>#VALUE!</v>
      </c>
      <c r="C1015" t="e">
        <f>RigheOfferte[[#This Row],[Cliente]]</f>
        <v>#VALUE!</v>
      </c>
      <c r="D1015" t="e">
        <f>RigheOfferte[[#This Row],[sub_cliente]]</f>
        <v>#VALUE!</v>
      </c>
      <c r="E1015" t="e">
        <f>RigheOfferte[[#This Row],[cod.Art.]]</f>
        <v>#VALUE!</v>
      </c>
      <c r="F1015" t="e">
        <f>RigheOfferte[[#This Row],[Descrizione]]</f>
        <v>#VALUE!</v>
      </c>
      <c r="G1015" t="e">
        <f>RigheOfferte[[#This Row],[Q.ta'']]</f>
        <v>#VALUE!</v>
      </c>
      <c r="H1015" t="e">
        <f>RigheOfferte[[#This Row],[Lavorazione]]</f>
        <v>#VALUE!</v>
      </c>
      <c r="I1015" t="e">
        <f>RigheOfferte[[#This Row],[Colore]]</f>
        <v>#VALUE!</v>
      </c>
      <c r="J1015" t="e">
        <f>RigheOfferte[[#This Row],[Velocità]]</f>
        <v>#VALUE!</v>
      </c>
      <c r="K1015" t="e">
        <f>RigheOfferte[[#This Row],[Superf.pz Mq]]</f>
        <v>#VALUE!</v>
      </c>
      <c r="L1015" t="e">
        <f>RigheOfferte[[#This Row],[passo]]</f>
        <v>#VALUE!</v>
      </c>
      <c r="M1015" t="e">
        <f>RigheOfferte[[#This Row],[nr.pezzi Telaio]]</f>
        <v>#VALUE!</v>
      </c>
      <c r="N1015" t="e">
        <f>RigheOfferte[[#This Row],[nr.pezzi ora-unita]]</f>
        <v>#VALUE!</v>
      </c>
      <c r="O1015" t="e">
        <f>Tabella1[[#This Row],[superificie]]*Resa</f>
        <v>#VALUE!</v>
      </c>
      <c r="P1015" t="e">
        <f>Tabella1[[#This Row],[KgPezzo]]*Tabella1[[#This Row],[q.ta offerta]]</f>
        <v>#VALUE!</v>
      </c>
      <c r="Q1015" t="e">
        <f>RigheOfferte[[#This Row],[QtaProtez]]</f>
        <v>#VALUE!</v>
      </c>
      <c r="R1015" t="e">
        <f>RigheOfferte[[#This Row],[Tipo Protezione]]</f>
        <v>#VALUE!</v>
      </c>
    </row>
    <row r="1016" spans="1:18">
      <c r="A1016" t="e">
        <f>RigheOfferte[[#This Row],[Nprev]]</f>
        <v>#VALUE!</v>
      </c>
      <c r="B1016" t="e">
        <f>RigheOfferte[[#This Row],[Nriga]]</f>
        <v>#VALUE!</v>
      </c>
      <c r="C1016" t="e">
        <f>RigheOfferte[[#This Row],[Cliente]]</f>
        <v>#VALUE!</v>
      </c>
      <c r="D1016" t="e">
        <f>RigheOfferte[[#This Row],[sub_cliente]]</f>
        <v>#VALUE!</v>
      </c>
      <c r="E1016" t="e">
        <f>RigheOfferte[[#This Row],[cod.Art.]]</f>
        <v>#VALUE!</v>
      </c>
      <c r="F1016" t="e">
        <f>RigheOfferte[[#This Row],[Descrizione]]</f>
        <v>#VALUE!</v>
      </c>
      <c r="G1016" t="e">
        <f>RigheOfferte[[#This Row],[Q.ta'']]</f>
        <v>#VALUE!</v>
      </c>
      <c r="H1016" t="e">
        <f>RigheOfferte[[#This Row],[Lavorazione]]</f>
        <v>#VALUE!</v>
      </c>
      <c r="I1016" t="e">
        <f>RigheOfferte[[#This Row],[Colore]]</f>
        <v>#VALUE!</v>
      </c>
      <c r="J1016" t="e">
        <f>RigheOfferte[[#This Row],[Velocità]]</f>
        <v>#VALUE!</v>
      </c>
      <c r="K1016" t="e">
        <f>RigheOfferte[[#This Row],[Superf.pz Mq]]</f>
        <v>#VALUE!</v>
      </c>
      <c r="L1016" t="e">
        <f>RigheOfferte[[#This Row],[passo]]</f>
        <v>#VALUE!</v>
      </c>
      <c r="M1016" t="e">
        <f>RigheOfferte[[#This Row],[nr.pezzi Telaio]]</f>
        <v>#VALUE!</v>
      </c>
      <c r="N1016" t="e">
        <f>RigheOfferte[[#This Row],[nr.pezzi ora-unita]]</f>
        <v>#VALUE!</v>
      </c>
      <c r="O1016" t="e">
        <f>Tabella1[[#This Row],[superificie]]*Resa</f>
        <v>#VALUE!</v>
      </c>
      <c r="P1016" t="e">
        <f>Tabella1[[#This Row],[KgPezzo]]*Tabella1[[#This Row],[q.ta offerta]]</f>
        <v>#VALUE!</v>
      </c>
      <c r="Q1016" t="e">
        <f>RigheOfferte[[#This Row],[QtaProtez]]</f>
        <v>#VALUE!</v>
      </c>
      <c r="R1016" t="e">
        <f>RigheOfferte[[#This Row],[Tipo Protezione]]</f>
        <v>#VALUE!</v>
      </c>
    </row>
    <row r="1017" spans="1:18">
      <c r="A1017" t="e">
        <f>RigheOfferte[[#This Row],[Nprev]]</f>
        <v>#VALUE!</v>
      </c>
      <c r="B1017" t="e">
        <f>RigheOfferte[[#This Row],[Nriga]]</f>
        <v>#VALUE!</v>
      </c>
      <c r="C1017" t="e">
        <f>RigheOfferte[[#This Row],[Cliente]]</f>
        <v>#VALUE!</v>
      </c>
      <c r="D1017" t="e">
        <f>RigheOfferte[[#This Row],[sub_cliente]]</f>
        <v>#VALUE!</v>
      </c>
      <c r="E1017" t="e">
        <f>RigheOfferte[[#This Row],[cod.Art.]]</f>
        <v>#VALUE!</v>
      </c>
      <c r="F1017" t="e">
        <f>RigheOfferte[[#This Row],[Descrizione]]</f>
        <v>#VALUE!</v>
      </c>
      <c r="G1017" t="e">
        <f>RigheOfferte[[#This Row],[Q.ta'']]</f>
        <v>#VALUE!</v>
      </c>
      <c r="H1017" t="e">
        <f>RigheOfferte[[#This Row],[Lavorazione]]</f>
        <v>#VALUE!</v>
      </c>
      <c r="I1017" t="e">
        <f>RigheOfferte[[#This Row],[Colore]]</f>
        <v>#VALUE!</v>
      </c>
      <c r="J1017" t="e">
        <f>RigheOfferte[[#This Row],[Velocità]]</f>
        <v>#VALUE!</v>
      </c>
      <c r="K1017" t="e">
        <f>RigheOfferte[[#This Row],[Superf.pz Mq]]</f>
        <v>#VALUE!</v>
      </c>
      <c r="L1017" t="e">
        <f>RigheOfferte[[#This Row],[passo]]</f>
        <v>#VALUE!</v>
      </c>
      <c r="M1017" t="e">
        <f>RigheOfferte[[#This Row],[nr.pezzi Telaio]]</f>
        <v>#VALUE!</v>
      </c>
      <c r="N1017" t="e">
        <f>RigheOfferte[[#This Row],[nr.pezzi ora-unita]]</f>
        <v>#VALUE!</v>
      </c>
      <c r="O1017" t="e">
        <f>Tabella1[[#This Row],[superificie]]*Resa</f>
        <v>#VALUE!</v>
      </c>
      <c r="P1017" t="e">
        <f>Tabella1[[#This Row],[KgPezzo]]*Tabella1[[#This Row],[q.ta offerta]]</f>
        <v>#VALUE!</v>
      </c>
      <c r="Q1017" t="e">
        <f>RigheOfferte[[#This Row],[QtaProtez]]</f>
        <v>#VALUE!</v>
      </c>
      <c r="R1017" t="e">
        <f>RigheOfferte[[#This Row],[Tipo Protezione]]</f>
        <v>#VALUE!</v>
      </c>
    </row>
    <row r="1018" spans="1:18">
      <c r="A1018" t="e">
        <f>RigheOfferte[[#This Row],[Nprev]]</f>
        <v>#VALUE!</v>
      </c>
      <c r="B1018" t="e">
        <f>RigheOfferte[[#This Row],[Nriga]]</f>
        <v>#VALUE!</v>
      </c>
      <c r="C1018" t="e">
        <f>RigheOfferte[[#This Row],[Cliente]]</f>
        <v>#VALUE!</v>
      </c>
      <c r="D1018" t="e">
        <f>RigheOfferte[[#This Row],[sub_cliente]]</f>
        <v>#VALUE!</v>
      </c>
      <c r="E1018" t="e">
        <f>RigheOfferte[[#This Row],[cod.Art.]]</f>
        <v>#VALUE!</v>
      </c>
      <c r="F1018" t="e">
        <f>RigheOfferte[[#This Row],[Descrizione]]</f>
        <v>#VALUE!</v>
      </c>
      <c r="G1018" t="e">
        <f>RigheOfferte[[#This Row],[Q.ta'']]</f>
        <v>#VALUE!</v>
      </c>
      <c r="H1018" t="e">
        <f>RigheOfferte[[#This Row],[Lavorazione]]</f>
        <v>#VALUE!</v>
      </c>
      <c r="I1018" t="e">
        <f>RigheOfferte[[#This Row],[Colore]]</f>
        <v>#VALUE!</v>
      </c>
      <c r="J1018" t="e">
        <f>RigheOfferte[[#This Row],[Velocità]]</f>
        <v>#VALUE!</v>
      </c>
      <c r="K1018" t="e">
        <f>RigheOfferte[[#This Row],[Superf.pz Mq]]</f>
        <v>#VALUE!</v>
      </c>
      <c r="L1018" t="e">
        <f>RigheOfferte[[#This Row],[passo]]</f>
        <v>#VALUE!</v>
      </c>
      <c r="M1018" t="e">
        <f>RigheOfferte[[#This Row],[nr.pezzi Telaio]]</f>
        <v>#VALUE!</v>
      </c>
      <c r="N1018" t="e">
        <f>RigheOfferte[[#This Row],[nr.pezzi ora-unita]]</f>
        <v>#VALUE!</v>
      </c>
      <c r="O1018" t="e">
        <f>Tabella1[[#This Row],[superificie]]*Resa</f>
        <v>#VALUE!</v>
      </c>
      <c r="P1018" t="e">
        <f>Tabella1[[#This Row],[KgPezzo]]*Tabella1[[#This Row],[q.ta offerta]]</f>
        <v>#VALUE!</v>
      </c>
      <c r="Q1018" t="e">
        <f>RigheOfferte[[#This Row],[QtaProtez]]</f>
        <v>#VALUE!</v>
      </c>
      <c r="R1018" t="e">
        <f>RigheOfferte[[#This Row],[Tipo Protezione]]</f>
        <v>#VALUE!</v>
      </c>
    </row>
    <row r="1019" spans="1:18">
      <c r="A1019" t="e">
        <f>RigheOfferte[[#This Row],[Nprev]]</f>
        <v>#VALUE!</v>
      </c>
      <c r="B1019" t="e">
        <f>RigheOfferte[[#This Row],[Nriga]]</f>
        <v>#VALUE!</v>
      </c>
      <c r="C1019" t="e">
        <f>RigheOfferte[[#This Row],[Cliente]]</f>
        <v>#VALUE!</v>
      </c>
      <c r="D1019" t="e">
        <f>RigheOfferte[[#This Row],[sub_cliente]]</f>
        <v>#VALUE!</v>
      </c>
      <c r="E1019" t="e">
        <f>RigheOfferte[[#This Row],[cod.Art.]]</f>
        <v>#VALUE!</v>
      </c>
      <c r="F1019" t="e">
        <f>RigheOfferte[[#This Row],[Descrizione]]</f>
        <v>#VALUE!</v>
      </c>
      <c r="G1019" t="e">
        <f>RigheOfferte[[#This Row],[Q.ta'']]</f>
        <v>#VALUE!</v>
      </c>
      <c r="H1019" t="e">
        <f>RigheOfferte[[#This Row],[Lavorazione]]</f>
        <v>#VALUE!</v>
      </c>
      <c r="I1019" t="e">
        <f>RigheOfferte[[#This Row],[Colore]]</f>
        <v>#VALUE!</v>
      </c>
      <c r="J1019" t="e">
        <f>RigheOfferte[[#This Row],[Velocità]]</f>
        <v>#VALUE!</v>
      </c>
      <c r="K1019" t="e">
        <f>RigheOfferte[[#This Row],[Superf.pz Mq]]</f>
        <v>#VALUE!</v>
      </c>
      <c r="L1019" t="e">
        <f>RigheOfferte[[#This Row],[passo]]</f>
        <v>#VALUE!</v>
      </c>
      <c r="M1019" t="e">
        <f>RigheOfferte[[#This Row],[nr.pezzi Telaio]]</f>
        <v>#VALUE!</v>
      </c>
      <c r="N1019" t="e">
        <f>RigheOfferte[[#This Row],[nr.pezzi ora-unita]]</f>
        <v>#VALUE!</v>
      </c>
      <c r="O1019" t="e">
        <f>Tabella1[[#This Row],[superificie]]*Resa</f>
        <v>#VALUE!</v>
      </c>
      <c r="P1019" t="e">
        <f>Tabella1[[#This Row],[KgPezzo]]*Tabella1[[#This Row],[q.ta offerta]]</f>
        <v>#VALUE!</v>
      </c>
      <c r="Q1019" t="e">
        <f>RigheOfferte[[#This Row],[QtaProtez]]</f>
        <v>#VALUE!</v>
      </c>
      <c r="R1019" t="e">
        <f>RigheOfferte[[#This Row],[Tipo Protezione]]</f>
        <v>#VALUE!</v>
      </c>
    </row>
    <row r="1020" spans="1:18">
      <c r="A1020" t="e">
        <f>RigheOfferte[[#This Row],[Nprev]]</f>
        <v>#VALUE!</v>
      </c>
      <c r="B1020" t="e">
        <f>RigheOfferte[[#This Row],[Nriga]]</f>
        <v>#VALUE!</v>
      </c>
      <c r="C1020" t="e">
        <f>RigheOfferte[[#This Row],[Cliente]]</f>
        <v>#VALUE!</v>
      </c>
      <c r="D1020" t="e">
        <f>RigheOfferte[[#This Row],[sub_cliente]]</f>
        <v>#VALUE!</v>
      </c>
      <c r="E1020" t="e">
        <f>RigheOfferte[[#This Row],[cod.Art.]]</f>
        <v>#VALUE!</v>
      </c>
      <c r="F1020" t="e">
        <f>RigheOfferte[[#This Row],[Descrizione]]</f>
        <v>#VALUE!</v>
      </c>
      <c r="G1020" t="e">
        <f>RigheOfferte[[#This Row],[Q.ta'']]</f>
        <v>#VALUE!</v>
      </c>
      <c r="H1020" t="e">
        <f>RigheOfferte[[#This Row],[Lavorazione]]</f>
        <v>#VALUE!</v>
      </c>
      <c r="I1020" t="e">
        <f>RigheOfferte[[#This Row],[Colore]]</f>
        <v>#VALUE!</v>
      </c>
      <c r="J1020" t="e">
        <f>RigheOfferte[[#This Row],[Velocità]]</f>
        <v>#VALUE!</v>
      </c>
      <c r="K1020" t="e">
        <f>RigheOfferte[[#This Row],[Superf.pz Mq]]</f>
        <v>#VALUE!</v>
      </c>
      <c r="L1020" t="e">
        <f>RigheOfferte[[#This Row],[passo]]</f>
        <v>#VALUE!</v>
      </c>
      <c r="M1020" t="e">
        <f>RigheOfferte[[#This Row],[nr.pezzi Telaio]]</f>
        <v>#VALUE!</v>
      </c>
      <c r="N1020" t="e">
        <f>RigheOfferte[[#This Row],[nr.pezzi ora-unita]]</f>
        <v>#VALUE!</v>
      </c>
      <c r="O1020" t="e">
        <f>Tabella1[[#This Row],[superificie]]*Resa</f>
        <v>#VALUE!</v>
      </c>
      <c r="P1020" t="e">
        <f>Tabella1[[#This Row],[KgPezzo]]*Tabella1[[#This Row],[q.ta offerta]]</f>
        <v>#VALUE!</v>
      </c>
      <c r="Q1020" t="e">
        <f>RigheOfferte[[#This Row],[QtaProtez]]</f>
        <v>#VALUE!</v>
      </c>
      <c r="R1020" t="e">
        <f>RigheOfferte[[#This Row],[Tipo Protezione]]</f>
        <v>#VALUE!</v>
      </c>
    </row>
    <row r="1021" spans="1:18">
      <c r="A1021" t="e">
        <f>RigheOfferte[[#This Row],[Nprev]]</f>
        <v>#VALUE!</v>
      </c>
      <c r="B1021" t="e">
        <f>RigheOfferte[[#This Row],[Nriga]]</f>
        <v>#VALUE!</v>
      </c>
      <c r="C1021" t="e">
        <f>RigheOfferte[[#This Row],[Cliente]]</f>
        <v>#VALUE!</v>
      </c>
      <c r="D1021" t="e">
        <f>RigheOfferte[[#This Row],[sub_cliente]]</f>
        <v>#VALUE!</v>
      </c>
      <c r="E1021" t="e">
        <f>RigheOfferte[[#This Row],[cod.Art.]]</f>
        <v>#VALUE!</v>
      </c>
      <c r="F1021" t="e">
        <f>RigheOfferte[[#This Row],[Descrizione]]</f>
        <v>#VALUE!</v>
      </c>
      <c r="G1021" t="e">
        <f>RigheOfferte[[#This Row],[Q.ta'']]</f>
        <v>#VALUE!</v>
      </c>
      <c r="H1021" t="e">
        <f>RigheOfferte[[#This Row],[Lavorazione]]</f>
        <v>#VALUE!</v>
      </c>
      <c r="I1021" t="e">
        <f>RigheOfferte[[#This Row],[Colore]]</f>
        <v>#VALUE!</v>
      </c>
      <c r="J1021" t="e">
        <f>RigheOfferte[[#This Row],[Velocità]]</f>
        <v>#VALUE!</v>
      </c>
      <c r="K1021" t="e">
        <f>RigheOfferte[[#This Row],[Superf.pz Mq]]</f>
        <v>#VALUE!</v>
      </c>
      <c r="L1021" t="e">
        <f>RigheOfferte[[#This Row],[passo]]</f>
        <v>#VALUE!</v>
      </c>
      <c r="M1021" t="e">
        <f>RigheOfferte[[#This Row],[nr.pezzi Telaio]]</f>
        <v>#VALUE!</v>
      </c>
      <c r="N1021" t="e">
        <f>RigheOfferte[[#This Row],[nr.pezzi ora-unita]]</f>
        <v>#VALUE!</v>
      </c>
      <c r="O1021" t="e">
        <f>Tabella1[[#This Row],[superificie]]*Resa</f>
        <v>#VALUE!</v>
      </c>
      <c r="P1021" t="e">
        <f>Tabella1[[#This Row],[KgPezzo]]*Tabella1[[#This Row],[q.ta offerta]]</f>
        <v>#VALUE!</v>
      </c>
      <c r="Q1021" t="e">
        <f>RigheOfferte[[#This Row],[QtaProtez]]</f>
        <v>#VALUE!</v>
      </c>
      <c r="R1021" t="e">
        <f>RigheOfferte[[#This Row],[Tipo Protezione]]</f>
        <v>#VALUE!</v>
      </c>
    </row>
    <row r="1022" spans="1:18">
      <c r="A1022" t="e">
        <f>RigheOfferte[[#This Row],[Nprev]]</f>
        <v>#VALUE!</v>
      </c>
      <c r="B1022" t="e">
        <f>RigheOfferte[[#This Row],[Nriga]]</f>
        <v>#VALUE!</v>
      </c>
      <c r="C1022" t="e">
        <f>RigheOfferte[[#This Row],[Cliente]]</f>
        <v>#VALUE!</v>
      </c>
      <c r="D1022" t="e">
        <f>RigheOfferte[[#This Row],[sub_cliente]]</f>
        <v>#VALUE!</v>
      </c>
      <c r="E1022" t="e">
        <f>RigheOfferte[[#This Row],[cod.Art.]]</f>
        <v>#VALUE!</v>
      </c>
      <c r="F1022" t="e">
        <f>RigheOfferte[[#This Row],[Descrizione]]</f>
        <v>#VALUE!</v>
      </c>
      <c r="G1022" t="e">
        <f>RigheOfferte[[#This Row],[Q.ta'']]</f>
        <v>#VALUE!</v>
      </c>
      <c r="H1022" t="e">
        <f>RigheOfferte[[#This Row],[Lavorazione]]</f>
        <v>#VALUE!</v>
      </c>
      <c r="I1022" t="e">
        <f>RigheOfferte[[#This Row],[Colore]]</f>
        <v>#VALUE!</v>
      </c>
      <c r="J1022" t="e">
        <f>RigheOfferte[[#This Row],[Velocità]]</f>
        <v>#VALUE!</v>
      </c>
      <c r="K1022" t="e">
        <f>RigheOfferte[[#This Row],[Superf.pz Mq]]</f>
        <v>#VALUE!</v>
      </c>
      <c r="L1022" t="e">
        <f>RigheOfferte[[#This Row],[passo]]</f>
        <v>#VALUE!</v>
      </c>
      <c r="M1022" t="e">
        <f>RigheOfferte[[#This Row],[nr.pezzi Telaio]]</f>
        <v>#VALUE!</v>
      </c>
      <c r="N1022" t="e">
        <f>RigheOfferte[[#This Row],[nr.pezzi ora-unita]]</f>
        <v>#VALUE!</v>
      </c>
      <c r="O1022" t="e">
        <f>Tabella1[[#This Row],[superificie]]*Resa</f>
        <v>#VALUE!</v>
      </c>
      <c r="P1022" t="e">
        <f>Tabella1[[#This Row],[KgPezzo]]*Tabella1[[#This Row],[q.ta offerta]]</f>
        <v>#VALUE!</v>
      </c>
      <c r="Q1022" t="e">
        <f>RigheOfferte[[#This Row],[QtaProtez]]</f>
        <v>#VALUE!</v>
      </c>
      <c r="R1022" t="e">
        <f>RigheOfferte[[#This Row],[Tipo Protezione]]</f>
        <v>#VALUE!</v>
      </c>
    </row>
    <row r="1023" spans="1:18">
      <c r="A1023" t="e">
        <f>RigheOfferte[[#This Row],[Nprev]]</f>
        <v>#VALUE!</v>
      </c>
      <c r="B1023" t="e">
        <f>RigheOfferte[[#This Row],[Nriga]]</f>
        <v>#VALUE!</v>
      </c>
      <c r="C1023" t="e">
        <f>RigheOfferte[[#This Row],[Cliente]]</f>
        <v>#VALUE!</v>
      </c>
      <c r="D1023" t="e">
        <f>RigheOfferte[[#This Row],[sub_cliente]]</f>
        <v>#VALUE!</v>
      </c>
      <c r="E1023" t="e">
        <f>RigheOfferte[[#This Row],[cod.Art.]]</f>
        <v>#VALUE!</v>
      </c>
      <c r="F1023" t="e">
        <f>RigheOfferte[[#This Row],[Descrizione]]</f>
        <v>#VALUE!</v>
      </c>
      <c r="G1023" t="e">
        <f>RigheOfferte[[#This Row],[Q.ta'']]</f>
        <v>#VALUE!</v>
      </c>
      <c r="H1023" t="e">
        <f>RigheOfferte[[#This Row],[Lavorazione]]</f>
        <v>#VALUE!</v>
      </c>
      <c r="I1023" t="e">
        <f>RigheOfferte[[#This Row],[Colore]]</f>
        <v>#VALUE!</v>
      </c>
      <c r="J1023" t="e">
        <f>RigheOfferte[[#This Row],[Velocità]]</f>
        <v>#VALUE!</v>
      </c>
      <c r="K1023" t="e">
        <f>RigheOfferte[[#This Row],[Superf.pz Mq]]</f>
        <v>#VALUE!</v>
      </c>
      <c r="L1023" t="e">
        <f>RigheOfferte[[#This Row],[passo]]</f>
        <v>#VALUE!</v>
      </c>
      <c r="M1023" t="e">
        <f>RigheOfferte[[#This Row],[nr.pezzi Telaio]]</f>
        <v>#VALUE!</v>
      </c>
      <c r="N1023" t="e">
        <f>RigheOfferte[[#This Row],[nr.pezzi ora-unita]]</f>
        <v>#VALUE!</v>
      </c>
      <c r="O1023" t="e">
        <f>Tabella1[[#This Row],[superificie]]*Resa</f>
        <v>#VALUE!</v>
      </c>
      <c r="P1023" t="e">
        <f>Tabella1[[#This Row],[KgPezzo]]*Tabella1[[#This Row],[q.ta offerta]]</f>
        <v>#VALUE!</v>
      </c>
      <c r="Q1023" t="e">
        <f>RigheOfferte[[#This Row],[QtaProtez]]</f>
        <v>#VALUE!</v>
      </c>
      <c r="R1023" t="e">
        <f>RigheOfferte[[#This Row],[Tipo Protezione]]</f>
        <v>#VALUE!</v>
      </c>
    </row>
    <row r="1024" spans="1:18">
      <c r="A1024" t="e">
        <f>RigheOfferte[[#This Row],[Nprev]]</f>
        <v>#VALUE!</v>
      </c>
      <c r="B1024" t="e">
        <f>RigheOfferte[[#This Row],[Nriga]]</f>
        <v>#VALUE!</v>
      </c>
      <c r="C1024" t="e">
        <f>RigheOfferte[[#This Row],[Cliente]]</f>
        <v>#VALUE!</v>
      </c>
      <c r="D1024" t="e">
        <f>RigheOfferte[[#This Row],[sub_cliente]]</f>
        <v>#VALUE!</v>
      </c>
      <c r="E1024" t="e">
        <f>RigheOfferte[[#This Row],[cod.Art.]]</f>
        <v>#VALUE!</v>
      </c>
      <c r="F1024" t="e">
        <f>RigheOfferte[[#This Row],[Descrizione]]</f>
        <v>#VALUE!</v>
      </c>
      <c r="G1024" t="e">
        <f>RigheOfferte[[#This Row],[Q.ta'']]</f>
        <v>#VALUE!</v>
      </c>
      <c r="H1024" t="e">
        <f>RigheOfferte[[#This Row],[Lavorazione]]</f>
        <v>#VALUE!</v>
      </c>
      <c r="I1024" t="e">
        <f>RigheOfferte[[#This Row],[Colore]]</f>
        <v>#VALUE!</v>
      </c>
      <c r="J1024" t="e">
        <f>RigheOfferte[[#This Row],[Velocità]]</f>
        <v>#VALUE!</v>
      </c>
      <c r="K1024" t="e">
        <f>RigheOfferte[[#This Row],[Superf.pz Mq]]</f>
        <v>#VALUE!</v>
      </c>
      <c r="L1024" t="e">
        <f>RigheOfferte[[#This Row],[passo]]</f>
        <v>#VALUE!</v>
      </c>
      <c r="M1024" t="e">
        <f>RigheOfferte[[#This Row],[nr.pezzi Telaio]]</f>
        <v>#VALUE!</v>
      </c>
      <c r="N1024" t="e">
        <f>RigheOfferte[[#This Row],[nr.pezzi ora-unita]]</f>
        <v>#VALUE!</v>
      </c>
      <c r="O1024" t="e">
        <f>Tabella1[[#This Row],[superificie]]*Resa</f>
        <v>#VALUE!</v>
      </c>
      <c r="P1024" t="e">
        <f>Tabella1[[#This Row],[KgPezzo]]*Tabella1[[#This Row],[q.ta offerta]]</f>
        <v>#VALUE!</v>
      </c>
      <c r="Q1024" t="e">
        <f>RigheOfferte[[#This Row],[QtaProtez]]</f>
        <v>#VALUE!</v>
      </c>
      <c r="R1024" t="e">
        <f>RigheOfferte[[#This Row],[Tipo Protezione]]</f>
        <v>#VALUE!</v>
      </c>
    </row>
    <row r="1025" spans="1:18">
      <c r="A1025" t="e">
        <f>RigheOfferte[[#This Row],[Nprev]]</f>
        <v>#VALUE!</v>
      </c>
      <c r="B1025" t="e">
        <f>RigheOfferte[[#This Row],[Nriga]]</f>
        <v>#VALUE!</v>
      </c>
      <c r="C1025" t="e">
        <f>RigheOfferte[[#This Row],[Cliente]]</f>
        <v>#VALUE!</v>
      </c>
      <c r="D1025" t="e">
        <f>RigheOfferte[[#This Row],[sub_cliente]]</f>
        <v>#VALUE!</v>
      </c>
      <c r="E1025" t="e">
        <f>RigheOfferte[[#This Row],[cod.Art.]]</f>
        <v>#VALUE!</v>
      </c>
      <c r="F1025" t="e">
        <f>RigheOfferte[[#This Row],[Descrizione]]</f>
        <v>#VALUE!</v>
      </c>
      <c r="G1025" t="e">
        <f>RigheOfferte[[#This Row],[Q.ta'']]</f>
        <v>#VALUE!</v>
      </c>
      <c r="H1025" t="e">
        <f>RigheOfferte[[#This Row],[Lavorazione]]</f>
        <v>#VALUE!</v>
      </c>
      <c r="I1025" t="e">
        <f>RigheOfferte[[#This Row],[Colore]]</f>
        <v>#VALUE!</v>
      </c>
      <c r="J1025" t="e">
        <f>RigheOfferte[[#This Row],[Velocità]]</f>
        <v>#VALUE!</v>
      </c>
      <c r="K1025" t="e">
        <f>RigheOfferte[[#This Row],[Superf.pz Mq]]</f>
        <v>#VALUE!</v>
      </c>
      <c r="L1025" t="e">
        <f>RigheOfferte[[#This Row],[passo]]</f>
        <v>#VALUE!</v>
      </c>
      <c r="M1025" t="e">
        <f>RigheOfferte[[#This Row],[nr.pezzi Telaio]]</f>
        <v>#VALUE!</v>
      </c>
      <c r="N1025" t="e">
        <f>RigheOfferte[[#This Row],[nr.pezzi ora-unita]]</f>
        <v>#VALUE!</v>
      </c>
      <c r="O1025" t="e">
        <f>Tabella1[[#This Row],[superificie]]*Resa</f>
        <v>#VALUE!</v>
      </c>
      <c r="P1025" t="e">
        <f>Tabella1[[#This Row],[KgPezzo]]*Tabella1[[#This Row],[q.ta offerta]]</f>
        <v>#VALUE!</v>
      </c>
      <c r="Q1025" t="e">
        <f>RigheOfferte[[#This Row],[QtaProtez]]</f>
        <v>#VALUE!</v>
      </c>
      <c r="R1025" t="e">
        <f>RigheOfferte[[#This Row],[Tipo Protezione]]</f>
        <v>#VALUE!</v>
      </c>
    </row>
    <row r="1026" spans="1:18">
      <c r="A1026" t="e">
        <f>RigheOfferte[[#This Row],[Nprev]]</f>
        <v>#VALUE!</v>
      </c>
      <c r="B1026" t="e">
        <f>RigheOfferte[[#This Row],[Nriga]]</f>
        <v>#VALUE!</v>
      </c>
      <c r="C1026" t="e">
        <f>RigheOfferte[[#This Row],[Cliente]]</f>
        <v>#VALUE!</v>
      </c>
      <c r="D1026" t="e">
        <f>RigheOfferte[[#This Row],[sub_cliente]]</f>
        <v>#VALUE!</v>
      </c>
      <c r="E1026" t="e">
        <f>RigheOfferte[[#This Row],[cod.Art.]]</f>
        <v>#VALUE!</v>
      </c>
      <c r="F1026" t="e">
        <f>RigheOfferte[[#This Row],[Descrizione]]</f>
        <v>#VALUE!</v>
      </c>
      <c r="G1026" t="e">
        <f>RigheOfferte[[#This Row],[Q.ta'']]</f>
        <v>#VALUE!</v>
      </c>
      <c r="H1026" t="e">
        <f>RigheOfferte[[#This Row],[Lavorazione]]</f>
        <v>#VALUE!</v>
      </c>
      <c r="I1026" t="e">
        <f>RigheOfferte[[#This Row],[Colore]]</f>
        <v>#VALUE!</v>
      </c>
      <c r="J1026" t="e">
        <f>RigheOfferte[[#This Row],[Velocità]]</f>
        <v>#VALUE!</v>
      </c>
      <c r="K1026" t="e">
        <f>RigheOfferte[[#This Row],[Superf.pz Mq]]</f>
        <v>#VALUE!</v>
      </c>
      <c r="L1026" t="e">
        <f>RigheOfferte[[#This Row],[passo]]</f>
        <v>#VALUE!</v>
      </c>
      <c r="M1026" t="e">
        <f>RigheOfferte[[#This Row],[nr.pezzi Telaio]]</f>
        <v>#VALUE!</v>
      </c>
      <c r="N1026" t="e">
        <f>RigheOfferte[[#This Row],[nr.pezzi ora-unita]]</f>
        <v>#VALUE!</v>
      </c>
      <c r="O1026" t="e">
        <f>Tabella1[[#This Row],[superificie]]*Resa</f>
        <v>#VALUE!</v>
      </c>
      <c r="P1026" t="e">
        <f>Tabella1[[#This Row],[KgPezzo]]*Tabella1[[#This Row],[q.ta offerta]]</f>
        <v>#VALUE!</v>
      </c>
      <c r="Q1026" t="e">
        <f>RigheOfferte[[#This Row],[QtaProtez]]</f>
        <v>#VALUE!</v>
      </c>
      <c r="R1026" t="e">
        <f>RigheOfferte[[#This Row],[Tipo Protezione]]</f>
        <v>#VALUE!</v>
      </c>
    </row>
    <row r="1027" spans="1:18">
      <c r="A1027" t="e">
        <f>RigheOfferte[[#This Row],[Nprev]]</f>
        <v>#VALUE!</v>
      </c>
      <c r="B1027" t="e">
        <f>RigheOfferte[[#This Row],[Nriga]]</f>
        <v>#VALUE!</v>
      </c>
      <c r="C1027" t="e">
        <f>RigheOfferte[[#This Row],[Cliente]]</f>
        <v>#VALUE!</v>
      </c>
      <c r="D1027" t="e">
        <f>RigheOfferte[[#This Row],[sub_cliente]]</f>
        <v>#VALUE!</v>
      </c>
      <c r="E1027" t="e">
        <f>RigheOfferte[[#This Row],[cod.Art.]]</f>
        <v>#VALUE!</v>
      </c>
      <c r="F1027" t="e">
        <f>RigheOfferte[[#This Row],[Descrizione]]</f>
        <v>#VALUE!</v>
      </c>
      <c r="G1027" t="e">
        <f>RigheOfferte[[#This Row],[Q.ta'']]</f>
        <v>#VALUE!</v>
      </c>
      <c r="H1027" t="e">
        <f>RigheOfferte[[#This Row],[Lavorazione]]</f>
        <v>#VALUE!</v>
      </c>
      <c r="I1027" t="e">
        <f>RigheOfferte[[#This Row],[Colore]]</f>
        <v>#VALUE!</v>
      </c>
      <c r="J1027" t="e">
        <f>RigheOfferte[[#This Row],[Velocità]]</f>
        <v>#VALUE!</v>
      </c>
      <c r="K1027" t="e">
        <f>RigheOfferte[[#This Row],[Superf.pz Mq]]</f>
        <v>#VALUE!</v>
      </c>
      <c r="L1027" t="e">
        <f>RigheOfferte[[#This Row],[passo]]</f>
        <v>#VALUE!</v>
      </c>
      <c r="M1027" t="e">
        <f>RigheOfferte[[#This Row],[nr.pezzi Telaio]]</f>
        <v>#VALUE!</v>
      </c>
      <c r="N1027" t="e">
        <f>RigheOfferte[[#This Row],[nr.pezzi ora-unita]]</f>
        <v>#VALUE!</v>
      </c>
      <c r="O1027" t="e">
        <f>Tabella1[[#This Row],[superificie]]*Resa</f>
        <v>#VALUE!</v>
      </c>
      <c r="P1027" t="e">
        <f>Tabella1[[#This Row],[KgPezzo]]*Tabella1[[#This Row],[q.ta offerta]]</f>
        <v>#VALUE!</v>
      </c>
      <c r="Q1027" t="e">
        <f>RigheOfferte[[#This Row],[QtaProtez]]</f>
        <v>#VALUE!</v>
      </c>
      <c r="R1027" t="e">
        <f>RigheOfferte[[#This Row],[Tipo Protezione]]</f>
        <v>#VALUE!</v>
      </c>
    </row>
    <row r="1028" spans="1:18">
      <c r="A1028" t="e">
        <f>RigheOfferte[[#This Row],[Nprev]]</f>
        <v>#VALUE!</v>
      </c>
      <c r="B1028" t="e">
        <f>RigheOfferte[[#This Row],[Nriga]]</f>
        <v>#VALUE!</v>
      </c>
      <c r="C1028" t="e">
        <f>RigheOfferte[[#This Row],[Cliente]]</f>
        <v>#VALUE!</v>
      </c>
      <c r="D1028" t="e">
        <f>RigheOfferte[[#This Row],[sub_cliente]]</f>
        <v>#VALUE!</v>
      </c>
      <c r="E1028" t="e">
        <f>RigheOfferte[[#This Row],[cod.Art.]]</f>
        <v>#VALUE!</v>
      </c>
      <c r="F1028" t="e">
        <f>RigheOfferte[[#This Row],[Descrizione]]</f>
        <v>#VALUE!</v>
      </c>
      <c r="G1028" t="e">
        <f>RigheOfferte[[#This Row],[Q.ta'']]</f>
        <v>#VALUE!</v>
      </c>
      <c r="H1028" t="e">
        <f>RigheOfferte[[#This Row],[Lavorazione]]</f>
        <v>#VALUE!</v>
      </c>
      <c r="I1028" t="e">
        <f>RigheOfferte[[#This Row],[Colore]]</f>
        <v>#VALUE!</v>
      </c>
      <c r="J1028" t="e">
        <f>RigheOfferte[[#This Row],[Velocità]]</f>
        <v>#VALUE!</v>
      </c>
      <c r="K1028" t="e">
        <f>RigheOfferte[[#This Row],[Superf.pz Mq]]</f>
        <v>#VALUE!</v>
      </c>
      <c r="L1028" t="e">
        <f>RigheOfferte[[#This Row],[passo]]</f>
        <v>#VALUE!</v>
      </c>
      <c r="M1028" t="e">
        <f>RigheOfferte[[#This Row],[nr.pezzi Telaio]]</f>
        <v>#VALUE!</v>
      </c>
      <c r="N1028" t="e">
        <f>RigheOfferte[[#This Row],[nr.pezzi ora-unita]]</f>
        <v>#VALUE!</v>
      </c>
      <c r="O1028" t="e">
        <f>Tabella1[[#This Row],[superificie]]*Resa</f>
        <v>#VALUE!</v>
      </c>
      <c r="P1028" t="e">
        <f>Tabella1[[#This Row],[KgPezzo]]*Tabella1[[#This Row],[q.ta offerta]]</f>
        <v>#VALUE!</v>
      </c>
      <c r="Q1028" t="e">
        <f>RigheOfferte[[#This Row],[QtaProtez]]</f>
        <v>#VALUE!</v>
      </c>
      <c r="R1028" t="e">
        <f>RigheOfferte[[#This Row],[Tipo Protezione]]</f>
        <v>#VALUE!</v>
      </c>
    </row>
    <row r="1029" spans="1:18">
      <c r="A1029" t="e">
        <f>RigheOfferte[[#This Row],[Nprev]]</f>
        <v>#VALUE!</v>
      </c>
      <c r="B1029" t="e">
        <f>RigheOfferte[[#This Row],[Nriga]]</f>
        <v>#VALUE!</v>
      </c>
      <c r="C1029" t="e">
        <f>RigheOfferte[[#This Row],[Cliente]]</f>
        <v>#VALUE!</v>
      </c>
      <c r="D1029" t="e">
        <f>RigheOfferte[[#This Row],[sub_cliente]]</f>
        <v>#VALUE!</v>
      </c>
      <c r="E1029" t="e">
        <f>RigheOfferte[[#This Row],[cod.Art.]]</f>
        <v>#VALUE!</v>
      </c>
      <c r="F1029" t="e">
        <f>RigheOfferte[[#This Row],[Descrizione]]</f>
        <v>#VALUE!</v>
      </c>
      <c r="G1029" t="e">
        <f>RigheOfferte[[#This Row],[Q.ta'']]</f>
        <v>#VALUE!</v>
      </c>
      <c r="H1029" t="e">
        <f>RigheOfferte[[#This Row],[Lavorazione]]</f>
        <v>#VALUE!</v>
      </c>
      <c r="I1029" t="e">
        <f>RigheOfferte[[#This Row],[Colore]]</f>
        <v>#VALUE!</v>
      </c>
      <c r="J1029" t="e">
        <f>RigheOfferte[[#This Row],[Velocità]]</f>
        <v>#VALUE!</v>
      </c>
      <c r="K1029" t="e">
        <f>RigheOfferte[[#This Row],[Superf.pz Mq]]</f>
        <v>#VALUE!</v>
      </c>
      <c r="L1029" t="e">
        <f>RigheOfferte[[#This Row],[passo]]</f>
        <v>#VALUE!</v>
      </c>
      <c r="M1029" t="e">
        <f>RigheOfferte[[#This Row],[nr.pezzi Telaio]]</f>
        <v>#VALUE!</v>
      </c>
      <c r="N1029" t="e">
        <f>RigheOfferte[[#This Row],[nr.pezzi ora-unita]]</f>
        <v>#VALUE!</v>
      </c>
      <c r="O1029" t="e">
        <f>Tabella1[[#This Row],[superificie]]*Resa</f>
        <v>#VALUE!</v>
      </c>
      <c r="P1029" t="e">
        <f>Tabella1[[#This Row],[KgPezzo]]*Tabella1[[#This Row],[q.ta offerta]]</f>
        <v>#VALUE!</v>
      </c>
      <c r="Q1029" t="e">
        <f>RigheOfferte[[#This Row],[QtaProtez]]</f>
        <v>#VALUE!</v>
      </c>
      <c r="R1029" t="e">
        <f>RigheOfferte[[#This Row],[Tipo Protezione]]</f>
        <v>#VALUE!</v>
      </c>
    </row>
    <row r="1030" spans="1:18">
      <c r="A1030" t="e">
        <f>RigheOfferte[[#This Row],[Nprev]]</f>
        <v>#VALUE!</v>
      </c>
      <c r="B1030" t="e">
        <f>RigheOfferte[[#This Row],[Nriga]]</f>
        <v>#VALUE!</v>
      </c>
      <c r="C1030" t="e">
        <f>RigheOfferte[[#This Row],[Cliente]]</f>
        <v>#VALUE!</v>
      </c>
      <c r="D1030" t="e">
        <f>RigheOfferte[[#This Row],[sub_cliente]]</f>
        <v>#VALUE!</v>
      </c>
      <c r="E1030" t="e">
        <f>RigheOfferte[[#This Row],[cod.Art.]]</f>
        <v>#VALUE!</v>
      </c>
      <c r="F1030" t="e">
        <f>RigheOfferte[[#This Row],[Descrizione]]</f>
        <v>#VALUE!</v>
      </c>
      <c r="G1030" t="e">
        <f>RigheOfferte[[#This Row],[Q.ta'']]</f>
        <v>#VALUE!</v>
      </c>
      <c r="H1030" t="e">
        <f>RigheOfferte[[#This Row],[Lavorazione]]</f>
        <v>#VALUE!</v>
      </c>
      <c r="I1030" t="e">
        <f>RigheOfferte[[#This Row],[Colore]]</f>
        <v>#VALUE!</v>
      </c>
      <c r="J1030" t="e">
        <f>RigheOfferte[[#This Row],[Velocità]]</f>
        <v>#VALUE!</v>
      </c>
      <c r="K1030" t="e">
        <f>RigheOfferte[[#This Row],[Superf.pz Mq]]</f>
        <v>#VALUE!</v>
      </c>
      <c r="L1030" t="e">
        <f>RigheOfferte[[#This Row],[passo]]</f>
        <v>#VALUE!</v>
      </c>
      <c r="M1030" t="e">
        <f>RigheOfferte[[#This Row],[nr.pezzi Telaio]]</f>
        <v>#VALUE!</v>
      </c>
      <c r="N1030" t="e">
        <f>RigheOfferte[[#This Row],[nr.pezzi ora-unita]]</f>
        <v>#VALUE!</v>
      </c>
      <c r="O1030" t="e">
        <f>Tabella1[[#This Row],[superificie]]*Resa</f>
        <v>#VALUE!</v>
      </c>
      <c r="P1030" t="e">
        <f>Tabella1[[#This Row],[KgPezzo]]*Tabella1[[#This Row],[q.ta offerta]]</f>
        <v>#VALUE!</v>
      </c>
      <c r="Q1030" t="e">
        <f>RigheOfferte[[#This Row],[QtaProtez]]</f>
        <v>#VALUE!</v>
      </c>
      <c r="R1030" t="e">
        <f>RigheOfferte[[#This Row],[Tipo Protezione]]</f>
        <v>#VALUE!</v>
      </c>
    </row>
    <row r="1031" spans="1:18">
      <c r="A1031" t="e">
        <f>RigheOfferte[[#This Row],[Nprev]]</f>
        <v>#VALUE!</v>
      </c>
      <c r="B1031" t="e">
        <f>RigheOfferte[[#This Row],[Nriga]]</f>
        <v>#VALUE!</v>
      </c>
      <c r="C1031" t="e">
        <f>RigheOfferte[[#This Row],[Cliente]]</f>
        <v>#VALUE!</v>
      </c>
      <c r="D1031" t="e">
        <f>RigheOfferte[[#This Row],[sub_cliente]]</f>
        <v>#VALUE!</v>
      </c>
      <c r="E1031" t="e">
        <f>RigheOfferte[[#This Row],[cod.Art.]]</f>
        <v>#VALUE!</v>
      </c>
      <c r="F1031" t="e">
        <f>RigheOfferte[[#This Row],[Descrizione]]</f>
        <v>#VALUE!</v>
      </c>
      <c r="G1031" t="e">
        <f>RigheOfferte[[#This Row],[Q.ta'']]</f>
        <v>#VALUE!</v>
      </c>
      <c r="H1031" t="e">
        <f>RigheOfferte[[#This Row],[Lavorazione]]</f>
        <v>#VALUE!</v>
      </c>
      <c r="I1031" t="e">
        <f>RigheOfferte[[#This Row],[Colore]]</f>
        <v>#VALUE!</v>
      </c>
      <c r="J1031" t="e">
        <f>RigheOfferte[[#This Row],[Velocità]]</f>
        <v>#VALUE!</v>
      </c>
      <c r="K1031" t="e">
        <f>RigheOfferte[[#This Row],[Superf.pz Mq]]</f>
        <v>#VALUE!</v>
      </c>
      <c r="L1031" t="e">
        <f>RigheOfferte[[#This Row],[passo]]</f>
        <v>#VALUE!</v>
      </c>
      <c r="M1031" t="e">
        <f>RigheOfferte[[#This Row],[nr.pezzi Telaio]]</f>
        <v>#VALUE!</v>
      </c>
      <c r="N1031" t="e">
        <f>RigheOfferte[[#This Row],[nr.pezzi ora-unita]]</f>
        <v>#VALUE!</v>
      </c>
      <c r="O1031" t="e">
        <f>Tabella1[[#This Row],[superificie]]*Resa</f>
        <v>#VALUE!</v>
      </c>
      <c r="P1031" t="e">
        <f>Tabella1[[#This Row],[KgPezzo]]*Tabella1[[#This Row],[q.ta offerta]]</f>
        <v>#VALUE!</v>
      </c>
      <c r="Q1031" t="e">
        <f>RigheOfferte[[#This Row],[QtaProtez]]</f>
        <v>#VALUE!</v>
      </c>
      <c r="R1031" t="e">
        <f>RigheOfferte[[#This Row],[Tipo Protezione]]</f>
        <v>#VALUE!</v>
      </c>
    </row>
    <row r="1032" spans="1:18">
      <c r="A1032" t="e">
        <f>RigheOfferte[[#This Row],[Nprev]]</f>
        <v>#VALUE!</v>
      </c>
      <c r="B1032" t="e">
        <f>RigheOfferte[[#This Row],[Nriga]]</f>
        <v>#VALUE!</v>
      </c>
      <c r="C1032" t="e">
        <f>RigheOfferte[[#This Row],[Cliente]]</f>
        <v>#VALUE!</v>
      </c>
      <c r="D1032" t="e">
        <f>RigheOfferte[[#This Row],[sub_cliente]]</f>
        <v>#VALUE!</v>
      </c>
      <c r="E1032" t="e">
        <f>RigheOfferte[[#This Row],[cod.Art.]]</f>
        <v>#VALUE!</v>
      </c>
      <c r="F1032" t="e">
        <f>RigheOfferte[[#This Row],[Descrizione]]</f>
        <v>#VALUE!</v>
      </c>
      <c r="G1032" t="e">
        <f>RigheOfferte[[#This Row],[Q.ta'']]</f>
        <v>#VALUE!</v>
      </c>
      <c r="H1032" t="e">
        <f>RigheOfferte[[#This Row],[Lavorazione]]</f>
        <v>#VALUE!</v>
      </c>
      <c r="I1032" t="e">
        <f>RigheOfferte[[#This Row],[Colore]]</f>
        <v>#VALUE!</v>
      </c>
      <c r="J1032" t="e">
        <f>RigheOfferte[[#This Row],[Velocità]]</f>
        <v>#VALUE!</v>
      </c>
      <c r="K1032" t="e">
        <f>RigheOfferte[[#This Row],[Superf.pz Mq]]</f>
        <v>#VALUE!</v>
      </c>
      <c r="L1032" t="e">
        <f>RigheOfferte[[#This Row],[passo]]</f>
        <v>#VALUE!</v>
      </c>
      <c r="M1032" t="e">
        <f>RigheOfferte[[#This Row],[nr.pezzi Telaio]]</f>
        <v>#VALUE!</v>
      </c>
      <c r="N1032" t="e">
        <f>RigheOfferte[[#This Row],[nr.pezzi ora-unita]]</f>
        <v>#VALUE!</v>
      </c>
      <c r="O1032" t="e">
        <f>Tabella1[[#This Row],[superificie]]*Resa</f>
        <v>#VALUE!</v>
      </c>
      <c r="P1032" t="e">
        <f>Tabella1[[#This Row],[KgPezzo]]*Tabella1[[#This Row],[q.ta offerta]]</f>
        <v>#VALUE!</v>
      </c>
      <c r="Q1032" t="e">
        <f>RigheOfferte[[#This Row],[QtaProtez]]</f>
        <v>#VALUE!</v>
      </c>
      <c r="R1032" t="e">
        <f>RigheOfferte[[#This Row],[Tipo Protezione]]</f>
        <v>#VALUE!</v>
      </c>
    </row>
    <row r="1033" spans="1:18">
      <c r="A1033" t="e">
        <f>RigheOfferte[[#This Row],[Nprev]]</f>
        <v>#VALUE!</v>
      </c>
      <c r="B1033" t="e">
        <f>RigheOfferte[[#This Row],[Nriga]]</f>
        <v>#VALUE!</v>
      </c>
      <c r="C1033" t="e">
        <f>RigheOfferte[[#This Row],[Cliente]]</f>
        <v>#VALUE!</v>
      </c>
      <c r="D1033" t="e">
        <f>RigheOfferte[[#This Row],[sub_cliente]]</f>
        <v>#VALUE!</v>
      </c>
      <c r="E1033" t="e">
        <f>RigheOfferte[[#This Row],[cod.Art.]]</f>
        <v>#VALUE!</v>
      </c>
      <c r="F1033" t="e">
        <f>RigheOfferte[[#This Row],[Descrizione]]</f>
        <v>#VALUE!</v>
      </c>
      <c r="G1033" t="e">
        <f>RigheOfferte[[#This Row],[Q.ta'']]</f>
        <v>#VALUE!</v>
      </c>
      <c r="H1033" t="e">
        <f>RigheOfferte[[#This Row],[Lavorazione]]</f>
        <v>#VALUE!</v>
      </c>
      <c r="I1033" t="e">
        <f>RigheOfferte[[#This Row],[Colore]]</f>
        <v>#VALUE!</v>
      </c>
      <c r="J1033" t="e">
        <f>RigheOfferte[[#This Row],[Velocità]]</f>
        <v>#VALUE!</v>
      </c>
      <c r="K1033" t="e">
        <f>RigheOfferte[[#This Row],[Superf.pz Mq]]</f>
        <v>#VALUE!</v>
      </c>
      <c r="L1033" t="e">
        <f>RigheOfferte[[#This Row],[passo]]</f>
        <v>#VALUE!</v>
      </c>
      <c r="M1033" t="e">
        <f>RigheOfferte[[#This Row],[nr.pezzi Telaio]]</f>
        <v>#VALUE!</v>
      </c>
      <c r="N1033" t="e">
        <f>RigheOfferte[[#This Row],[nr.pezzi ora-unita]]</f>
        <v>#VALUE!</v>
      </c>
      <c r="O1033" t="e">
        <f>Tabella1[[#This Row],[superificie]]*Resa</f>
        <v>#VALUE!</v>
      </c>
      <c r="P1033" t="e">
        <f>Tabella1[[#This Row],[KgPezzo]]*Tabella1[[#This Row],[q.ta offerta]]</f>
        <v>#VALUE!</v>
      </c>
      <c r="Q1033" t="e">
        <f>RigheOfferte[[#This Row],[QtaProtez]]</f>
        <v>#VALUE!</v>
      </c>
      <c r="R1033" t="e">
        <f>RigheOfferte[[#This Row],[Tipo Protezione]]</f>
        <v>#VALUE!</v>
      </c>
    </row>
    <row r="1034" spans="1:18">
      <c r="A1034" t="e">
        <f>RigheOfferte[[#This Row],[Nprev]]</f>
        <v>#VALUE!</v>
      </c>
      <c r="B1034" t="e">
        <f>RigheOfferte[[#This Row],[Nriga]]</f>
        <v>#VALUE!</v>
      </c>
      <c r="C1034" t="e">
        <f>RigheOfferte[[#This Row],[Cliente]]</f>
        <v>#VALUE!</v>
      </c>
      <c r="D1034" t="e">
        <f>RigheOfferte[[#This Row],[sub_cliente]]</f>
        <v>#VALUE!</v>
      </c>
      <c r="E1034" t="e">
        <f>RigheOfferte[[#This Row],[cod.Art.]]</f>
        <v>#VALUE!</v>
      </c>
      <c r="F1034" t="e">
        <f>RigheOfferte[[#This Row],[Descrizione]]</f>
        <v>#VALUE!</v>
      </c>
      <c r="G1034" t="e">
        <f>RigheOfferte[[#This Row],[Q.ta'']]</f>
        <v>#VALUE!</v>
      </c>
      <c r="H1034" t="e">
        <f>RigheOfferte[[#This Row],[Lavorazione]]</f>
        <v>#VALUE!</v>
      </c>
      <c r="I1034" t="e">
        <f>RigheOfferte[[#This Row],[Colore]]</f>
        <v>#VALUE!</v>
      </c>
      <c r="J1034" t="e">
        <f>RigheOfferte[[#This Row],[Velocità]]</f>
        <v>#VALUE!</v>
      </c>
      <c r="K1034" t="e">
        <f>RigheOfferte[[#This Row],[Superf.pz Mq]]</f>
        <v>#VALUE!</v>
      </c>
      <c r="L1034" t="e">
        <f>RigheOfferte[[#This Row],[passo]]</f>
        <v>#VALUE!</v>
      </c>
      <c r="M1034" t="e">
        <f>RigheOfferte[[#This Row],[nr.pezzi Telaio]]</f>
        <v>#VALUE!</v>
      </c>
      <c r="N1034" t="e">
        <f>RigheOfferte[[#This Row],[nr.pezzi ora-unita]]</f>
        <v>#VALUE!</v>
      </c>
      <c r="O1034" t="e">
        <f>Tabella1[[#This Row],[superificie]]*Resa</f>
        <v>#VALUE!</v>
      </c>
      <c r="P1034" t="e">
        <f>Tabella1[[#This Row],[KgPezzo]]*Tabella1[[#This Row],[q.ta offerta]]</f>
        <v>#VALUE!</v>
      </c>
      <c r="Q1034" t="e">
        <f>RigheOfferte[[#This Row],[QtaProtez]]</f>
        <v>#VALUE!</v>
      </c>
      <c r="R1034" t="e">
        <f>RigheOfferte[[#This Row],[Tipo Protezione]]</f>
        <v>#VALUE!</v>
      </c>
    </row>
    <row r="1035" spans="1:18">
      <c r="A1035" t="e">
        <f>RigheOfferte[[#This Row],[Nprev]]</f>
        <v>#VALUE!</v>
      </c>
      <c r="B1035" t="e">
        <f>RigheOfferte[[#This Row],[Nriga]]</f>
        <v>#VALUE!</v>
      </c>
      <c r="C1035" t="e">
        <f>RigheOfferte[[#This Row],[Cliente]]</f>
        <v>#VALUE!</v>
      </c>
      <c r="D1035" t="e">
        <f>RigheOfferte[[#This Row],[sub_cliente]]</f>
        <v>#VALUE!</v>
      </c>
      <c r="E1035" t="e">
        <f>RigheOfferte[[#This Row],[cod.Art.]]</f>
        <v>#VALUE!</v>
      </c>
      <c r="F1035" t="e">
        <f>RigheOfferte[[#This Row],[Descrizione]]</f>
        <v>#VALUE!</v>
      </c>
      <c r="G1035" t="e">
        <f>RigheOfferte[[#This Row],[Q.ta'']]</f>
        <v>#VALUE!</v>
      </c>
      <c r="H1035" t="e">
        <f>RigheOfferte[[#This Row],[Lavorazione]]</f>
        <v>#VALUE!</v>
      </c>
      <c r="I1035" t="e">
        <f>RigheOfferte[[#This Row],[Colore]]</f>
        <v>#VALUE!</v>
      </c>
      <c r="J1035" t="e">
        <f>RigheOfferte[[#This Row],[Velocità]]</f>
        <v>#VALUE!</v>
      </c>
      <c r="K1035" t="e">
        <f>RigheOfferte[[#This Row],[Superf.pz Mq]]</f>
        <v>#VALUE!</v>
      </c>
      <c r="L1035" t="e">
        <f>RigheOfferte[[#This Row],[passo]]</f>
        <v>#VALUE!</v>
      </c>
      <c r="M1035" t="e">
        <f>RigheOfferte[[#This Row],[nr.pezzi Telaio]]</f>
        <v>#VALUE!</v>
      </c>
      <c r="N1035" t="e">
        <f>RigheOfferte[[#This Row],[nr.pezzi ora-unita]]</f>
        <v>#VALUE!</v>
      </c>
      <c r="O1035" t="e">
        <f>Tabella1[[#This Row],[superificie]]*Resa</f>
        <v>#VALUE!</v>
      </c>
      <c r="P1035" t="e">
        <f>Tabella1[[#This Row],[KgPezzo]]*Tabella1[[#This Row],[q.ta offerta]]</f>
        <v>#VALUE!</v>
      </c>
      <c r="Q1035" t="e">
        <f>RigheOfferte[[#This Row],[QtaProtez]]</f>
        <v>#VALUE!</v>
      </c>
      <c r="R1035" t="e">
        <f>RigheOfferte[[#This Row],[Tipo Protezione]]</f>
        <v>#VALUE!</v>
      </c>
    </row>
    <row r="1036" spans="1:18">
      <c r="A1036" t="e">
        <f>RigheOfferte[[#This Row],[Nprev]]</f>
        <v>#VALUE!</v>
      </c>
      <c r="B1036" t="e">
        <f>RigheOfferte[[#This Row],[Nriga]]</f>
        <v>#VALUE!</v>
      </c>
      <c r="C1036" t="e">
        <f>RigheOfferte[[#This Row],[Cliente]]</f>
        <v>#VALUE!</v>
      </c>
      <c r="D1036" t="e">
        <f>RigheOfferte[[#This Row],[sub_cliente]]</f>
        <v>#VALUE!</v>
      </c>
      <c r="E1036" t="e">
        <f>RigheOfferte[[#This Row],[cod.Art.]]</f>
        <v>#VALUE!</v>
      </c>
      <c r="F1036" t="e">
        <f>RigheOfferte[[#This Row],[Descrizione]]</f>
        <v>#VALUE!</v>
      </c>
      <c r="G1036" t="e">
        <f>RigheOfferte[[#This Row],[Q.ta'']]</f>
        <v>#VALUE!</v>
      </c>
      <c r="H1036" t="e">
        <f>RigheOfferte[[#This Row],[Lavorazione]]</f>
        <v>#VALUE!</v>
      </c>
      <c r="I1036" t="e">
        <f>RigheOfferte[[#This Row],[Colore]]</f>
        <v>#VALUE!</v>
      </c>
      <c r="J1036" t="e">
        <f>RigheOfferte[[#This Row],[Velocità]]</f>
        <v>#VALUE!</v>
      </c>
      <c r="K1036" t="e">
        <f>RigheOfferte[[#This Row],[Superf.pz Mq]]</f>
        <v>#VALUE!</v>
      </c>
      <c r="L1036" t="e">
        <f>RigheOfferte[[#This Row],[passo]]</f>
        <v>#VALUE!</v>
      </c>
      <c r="M1036" t="e">
        <f>RigheOfferte[[#This Row],[nr.pezzi Telaio]]</f>
        <v>#VALUE!</v>
      </c>
      <c r="N1036" t="e">
        <f>RigheOfferte[[#This Row],[nr.pezzi ora-unita]]</f>
        <v>#VALUE!</v>
      </c>
      <c r="O1036" t="e">
        <f>Tabella1[[#This Row],[superificie]]*Resa</f>
        <v>#VALUE!</v>
      </c>
      <c r="P1036" t="e">
        <f>Tabella1[[#This Row],[KgPezzo]]*Tabella1[[#This Row],[q.ta offerta]]</f>
        <v>#VALUE!</v>
      </c>
      <c r="Q1036" t="e">
        <f>RigheOfferte[[#This Row],[QtaProtez]]</f>
        <v>#VALUE!</v>
      </c>
      <c r="R1036" t="e">
        <f>RigheOfferte[[#This Row],[Tipo Protezione]]</f>
        <v>#VALUE!</v>
      </c>
    </row>
    <row r="1037" spans="1:18">
      <c r="A1037" t="e">
        <f>RigheOfferte[[#This Row],[Nprev]]</f>
        <v>#VALUE!</v>
      </c>
      <c r="B1037" t="e">
        <f>RigheOfferte[[#This Row],[Nriga]]</f>
        <v>#VALUE!</v>
      </c>
      <c r="C1037" t="e">
        <f>RigheOfferte[[#This Row],[Cliente]]</f>
        <v>#VALUE!</v>
      </c>
      <c r="D1037" t="e">
        <f>RigheOfferte[[#This Row],[sub_cliente]]</f>
        <v>#VALUE!</v>
      </c>
      <c r="E1037" t="e">
        <f>RigheOfferte[[#This Row],[cod.Art.]]</f>
        <v>#VALUE!</v>
      </c>
      <c r="F1037" t="e">
        <f>RigheOfferte[[#This Row],[Descrizione]]</f>
        <v>#VALUE!</v>
      </c>
      <c r="G1037" t="e">
        <f>RigheOfferte[[#This Row],[Q.ta'']]</f>
        <v>#VALUE!</v>
      </c>
      <c r="H1037" t="e">
        <f>RigheOfferte[[#This Row],[Lavorazione]]</f>
        <v>#VALUE!</v>
      </c>
      <c r="I1037" t="e">
        <f>RigheOfferte[[#This Row],[Colore]]</f>
        <v>#VALUE!</v>
      </c>
      <c r="J1037" t="e">
        <f>RigheOfferte[[#This Row],[Velocità]]</f>
        <v>#VALUE!</v>
      </c>
      <c r="K1037" t="e">
        <f>RigheOfferte[[#This Row],[Superf.pz Mq]]</f>
        <v>#VALUE!</v>
      </c>
      <c r="L1037" t="e">
        <f>RigheOfferte[[#This Row],[passo]]</f>
        <v>#VALUE!</v>
      </c>
      <c r="M1037" t="e">
        <f>RigheOfferte[[#This Row],[nr.pezzi Telaio]]</f>
        <v>#VALUE!</v>
      </c>
      <c r="N1037" t="e">
        <f>RigheOfferte[[#This Row],[nr.pezzi ora-unita]]</f>
        <v>#VALUE!</v>
      </c>
      <c r="O1037" t="e">
        <f>Tabella1[[#This Row],[superificie]]*Resa</f>
        <v>#VALUE!</v>
      </c>
      <c r="P1037" t="e">
        <f>Tabella1[[#This Row],[KgPezzo]]*Tabella1[[#This Row],[q.ta offerta]]</f>
        <v>#VALUE!</v>
      </c>
      <c r="Q1037" t="e">
        <f>RigheOfferte[[#This Row],[QtaProtez]]</f>
        <v>#VALUE!</v>
      </c>
      <c r="R1037" t="e">
        <f>RigheOfferte[[#This Row],[Tipo Protezione]]</f>
        <v>#VALUE!</v>
      </c>
    </row>
    <row r="1038" spans="1:18">
      <c r="A1038" t="e">
        <f>RigheOfferte[[#This Row],[Nprev]]</f>
        <v>#VALUE!</v>
      </c>
      <c r="B1038" t="e">
        <f>RigheOfferte[[#This Row],[Nriga]]</f>
        <v>#VALUE!</v>
      </c>
      <c r="C1038" t="e">
        <f>RigheOfferte[[#This Row],[Cliente]]</f>
        <v>#VALUE!</v>
      </c>
      <c r="D1038" t="e">
        <f>RigheOfferte[[#This Row],[sub_cliente]]</f>
        <v>#VALUE!</v>
      </c>
      <c r="E1038" t="e">
        <f>RigheOfferte[[#This Row],[cod.Art.]]</f>
        <v>#VALUE!</v>
      </c>
      <c r="F1038" t="e">
        <f>RigheOfferte[[#This Row],[Descrizione]]</f>
        <v>#VALUE!</v>
      </c>
      <c r="G1038" t="e">
        <f>RigheOfferte[[#This Row],[Q.ta'']]</f>
        <v>#VALUE!</v>
      </c>
      <c r="H1038" t="e">
        <f>RigheOfferte[[#This Row],[Lavorazione]]</f>
        <v>#VALUE!</v>
      </c>
      <c r="I1038" t="e">
        <f>RigheOfferte[[#This Row],[Colore]]</f>
        <v>#VALUE!</v>
      </c>
      <c r="J1038" t="e">
        <f>RigheOfferte[[#This Row],[Velocità]]</f>
        <v>#VALUE!</v>
      </c>
      <c r="K1038" t="e">
        <f>RigheOfferte[[#This Row],[Superf.pz Mq]]</f>
        <v>#VALUE!</v>
      </c>
      <c r="L1038" t="e">
        <f>RigheOfferte[[#This Row],[passo]]</f>
        <v>#VALUE!</v>
      </c>
      <c r="M1038" t="e">
        <f>RigheOfferte[[#This Row],[nr.pezzi Telaio]]</f>
        <v>#VALUE!</v>
      </c>
      <c r="N1038" t="e">
        <f>RigheOfferte[[#This Row],[nr.pezzi ora-unita]]</f>
        <v>#VALUE!</v>
      </c>
      <c r="O1038" t="e">
        <f>Tabella1[[#This Row],[superificie]]*Resa</f>
        <v>#VALUE!</v>
      </c>
      <c r="P1038" t="e">
        <f>Tabella1[[#This Row],[KgPezzo]]*Tabella1[[#This Row],[q.ta offerta]]</f>
        <v>#VALUE!</v>
      </c>
      <c r="Q1038" t="e">
        <f>RigheOfferte[[#This Row],[QtaProtez]]</f>
        <v>#VALUE!</v>
      </c>
      <c r="R1038" t="e">
        <f>RigheOfferte[[#This Row],[Tipo Protezione]]</f>
        <v>#VALUE!</v>
      </c>
    </row>
    <row r="1039" spans="1:18">
      <c r="A1039" t="e">
        <f>RigheOfferte[[#This Row],[Nprev]]</f>
        <v>#VALUE!</v>
      </c>
      <c r="B1039" t="e">
        <f>RigheOfferte[[#This Row],[Nriga]]</f>
        <v>#VALUE!</v>
      </c>
      <c r="C1039" t="e">
        <f>RigheOfferte[[#This Row],[Cliente]]</f>
        <v>#VALUE!</v>
      </c>
      <c r="D1039" t="e">
        <f>RigheOfferte[[#This Row],[sub_cliente]]</f>
        <v>#VALUE!</v>
      </c>
      <c r="E1039" t="e">
        <f>RigheOfferte[[#This Row],[cod.Art.]]</f>
        <v>#VALUE!</v>
      </c>
      <c r="F1039" t="e">
        <f>RigheOfferte[[#This Row],[Descrizione]]</f>
        <v>#VALUE!</v>
      </c>
      <c r="G1039" t="e">
        <f>RigheOfferte[[#This Row],[Q.ta'']]</f>
        <v>#VALUE!</v>
      </c>
      <c r="H1039" t="e">
        <f>RigheOfferte[[#This Row],[Lavorazione]]</f>
        <v>#VALUE!</v>
      </c>
      <c r="I1039" t="e">
        <f>RigheOfferte[[#This Row],[Colore]]</f>
        <v>#VALUE!</v>
      </c>
      <c r="J1039" t="e">
        <f>RigheOfferte[[#This Row],[Velocità]]</f>
        <v>#VALUE!</v>
      </c>
      <c r="K1039" t="e">
        <f>RigheOfferte[[#This Row],[Superf.pz Mq]]</f>
        <v>#VALUE!</v>
      </c>
      <c r="L1039" t="e">
        <f>RigheOfferte[[#This Row],[passo]]</f>
        <v>#VALUE!</v>
      </c>
      <c r="M1039" t="e">
        <f>RigheOfferte[[#This Row],[nr.pezzi Telaio]]</f>
        <v>#VALUE!</v>
      </c>
      <c r="N1039" t="e">
        <f>RigheOfferte[[#This Row],[nr.pezzi ora-unita]]</f>
        <v>#VALUE!</v>
      </c>
      <c r="O1039" t="e">
        <f>Tabella1[[#This Row],[superificie]]*Resa</f>
        <v>#VALUE!</v>
      </c>
      <c r="P1039" t="e">
        <f>Tabella1[[#This Row],[KgPezzo]]*Tabella1[[#This Row],[q.ta offerta]]</f>
        <v>#VALUE!</v>
      </c>
      <c r="Q1039" t="e">
        <f>RigheOfferte[[#This Row],[QtaProtez]]</f>
        <v>#VALUE!</v>
      </c>
      <c r="R1039" t="e">
        <f>RigheOfferte[[#This Row],[Tipo Protezione]]</f>
        <v>#VALUE!</v>
      </c>
    </row>
    <row r="1040" spans="1:18">
      <c r="A1040" t="e">
        <f>RigheOfferte[[#This Row],[Nprev]]</f>
        <v>#VALUE!</v>
      </c>
      <c r="B1040" t="e">
        <f>RigheOfferte[[#This Row],[Nriga]]</f>
        <v>#VALUE!</v>
      </c>
      <c r="C1040" t="e">
        <f>RigheOfferte[[#This Row],[Cliente]]</f>
        <v>#VALUE!</v>
      </c>
      <c r="D1040" t="e">
        <f>RigheOfferte[[#This Row],[sub_cliente]]</f>
        <v>#VALUE!</v>
      </c>
      <c r="E1040" t="e">
        <f>RigheOfferte[[#This Row],[cod.Art.]]</f>
        <v>#VALUE!</v>
      </c>
      <c r="F1040" t="e">
        <f>RigheOfferte[[#This Row],[Descrizione]]</f>
        <v>#VALUE!</v>
      </c>
      <c r="G1040" t="e">
        <f>RigheOfferte[[#This Row],[Q.ta'']]</f>
        <v>#VALUE!</v>
      </c>
      <c r="H1040" t="e">
        <f>RigheOfferte[[#This Row],[Lavorazione]]</f>
        <v>#VALUE!</v>
      </c>
      <c r="I1040" t="e">
        <f>RigheOfferte[[#This Row],[Colore]]</f>
        <v>#VALUE!</v>
      </c>
      <c r="J1040" t="e">
        <f>RigheOfferte[[#This Row],[Velocità]]</f>
        <v>#VALUE!</v>
      </c>
      <c r="K1040" t="e">
        <f>RigheOfferte[[#This Row],[Superf.pz Mq]]</f>
        <v>#VALUE!</v>
      </c>
      <c r="L1040" t="e">
        <f>RigheOfferte[[#This Row],[passo]]</f>
        <v>#VALUE!</v>
      </c>
      <c r="M1040" t="e">
        <f>RigheOfferte[[#This Row],[nr.pezzi Telaio]]</f>
        <v>#VALUE!</v>
      </c>
      <c r="N1040" t="e">
        <f>RigheOfferte[[#This Row],[nr.pezzi ora-unita]]</f>
        <v>#VALUE!</v>
      </c>
      <c r="O1040" t="e">
        <f>Tabella1[[#This Row],[superificie]]*Resa</f>
        <v>#VALUE!</v>
      </c>
      <c r="P1040" t="e">
        <f>Tabella1[[#This Row],[KgPezzo]]*Tabella1[[#This Row],[q.ta offerta]]</f>
        <v>#VALUE!</v>
      </c>
      <c r="Q1040" t="e">
        <f>RigheOfferte[[#This Row],[QtaProtez]]</f>
        <v>#VALUE!</v>
      </c>
      <c r="R1040" t="e">
        <f>RigheOfferte[[#This Row],[Tipo Protezione]]</f>
        <v>#VALUE!</v>
      </c>
    </row>
    <row r="1041" spans="1:18">
      <c r="A1041" t="e">
        <f>RigheOfferte[[#This Row],[Nprev]]</f>
        <v>#VALUE!</v>
      </c>
      <c r="B1041" t="e">
        <f>RigheOfferte[[#This Row],[Nriga]]</f>
        <v>#VALUE!</v>
      </c>
      <c r="C1041" t="e">
        <f>RigheOfferte[[#This Row],[Cliente]]</f>
        <v>#VALUE!</v>
      </c>
      <c r="D1041" t="e">
        <f>RigheOfferte[[#This Row],[sub_cliente]]</f>
        <v>#VALUE!</v>
      </c>
      <c r="E1041" t="e">
        <f>RigheOfferte[[#This Row],[cod.Art.]]</f>
        <v>#VALUE!</v>
      </c>
      <c r="F1041" t="e">
        <f>RigheOfferte[[#This Row],[Descrizione]]</f>
        <v>#VALUE!</v>
      </c>
      <c r="G1041" t="e">
        <f>RigheOfferte[[#This Row],[Q.ta'']]</f>
        <v>#VALUE!</v>
      </c>
      <c r="H1041" t="e">
        <f>RigheOfferte[[#This Row],[Lavorazione]]</f>
        <v>#VALUE!</v>
      </c>
      <c r="I1041" t="e">
        <f>RigheOfferte[[#This Row],[Colore]]</f>
        <v>#VALUE!</v>
      </c>
      <c r="J1041" t="e">
        <f>RigheOfferte[[#This Row],[Velocità]]</f>
        <v>#VALUE!</v>
      </c>
      <c r="K1041" t="e">
        <f>RigheOfferte[[#This Row],[Superf.pz Mq]]</f>
        <v>#VALUE!</v>
      </c>
      <c r="L1041" t="e">
        <f>RigheOfferte[[#This Row],[passo]]</f>
        <v>#VALUE!</v>
      </c>
      <c r="M1041" t="e">
        <f>RigheOfferte[[#This Row],[nr.pezzi Telaio]]</f>
        <v>#VALUE!</v>
      </c>
      <c r="N1041" t="e">
        <f>RigheOfferte[[#This Row],[nr.pezzi ora-unita]]</f>
        <v>#VALUE!</v>
      </c>
      <c r="O1041" t="e">
        <f>Tabella1[[#This Row],[superificie]]*Resa</f>
        <v>#VALUE!</v>
      </c>
      <c r="P1041" t="e">
        <f>Tabella1[[#This Row],[KgPezzo]]*Tabella1[[#This Row],[q.ta offerta]]</f>
        <v>#VALUE!</v>
      </c>
      <c r="Q1041" t="e">
        <f>RigheOfferte[[#This Row],[QtaProtez]]</f>
        <v>#VALUE!</v>
      </c>
      <c r="R1041" t="e">
        <f>RigheOfferte[[#This Row],[Tipo Protezione]]</f>
        <v>#VALUE!</v>
      </c>
    </row>
    <row r="1042" spans="1:18">
      <c r="A1042" t="e">
        <f>RigheOfferte[[#This Row],[Nprev]]</f>
        <v>#VALUE!</v>
      </c>
      <c r="B1042" t="e">
        <f>RigheOfferte[[#This Row],[Nriga]]</f>
        <v>#VALUE!</v>
      </c>
      <c r="C1042" t="e">
        <f>RigheOfferte[[#This Row],[Cliente]]</f>
        <v>#VALUE!</v>
      </c>
      <c r="D1042" t="e">
        <f>RigheOfferte[[#This Row],[sub_cliente]]</f>
        <v>#VALUE!</v>
      </c>
      <c r="E1042" t="e">
        <f>RigheOfferte[[#This Row],[cod.Art.]]</f>
        <v>#VALUE!</v>
      </c>
      <c r="F1042" t="e">
        <f>RigheOfferte[[#This Row],[Descrizione]]</f>
        <v>#VALUE!</v>
      </c>
      <c r="G1042" t="e">
        <f>RigheOfferte[[#This Row],[Q.ta'']]</f>
        <v>#VALUE!</v>
      </c>
      <c r="H1042" t="e">
        <f>RigheOfferte[[#This Row],[Lavorazione]]</f>
        <v>#VALUE!</v>
      </c>
      <c r="I1042" t="e">
        <f>RigheOfferte[[#This Row],[Colore]]</f>
        <v>#VALUE!</v>
      </c>
      <c r="J1042" t="e">
        <f>RigheOfferte[[#This Row],[Velocità]]</f>
        <v>#VALUE!</v>
      </c>
      <c r="K1042" t="e">
        <f>RigheOfferte[[#This Row],[Superf.pz Mq]]</f>
        <v>#VALUE!</v>
      </c>
      <c r="L1042" t="e">
        <f>RigheOfferte[[#This Row],[passo]]</f>
        <v>#VALUE!</v>
      </c>
      <c r="M1042" t="e">
        <f>RigheOfferte[[#This Row],[nr.pezzi Telaio]]</f>
        <v>#VALUE!</v>
      </c>
      <c r="N1042" t="e">
        <f>RigheOfferte[[#This Row],[nr.pezzi ora-unita]]</f>
        <v>#VALUE!</v>
      </c>
      <c r="O1042" t="e">
        <f>Tabella1[[#This Row],[superificie]]*Resa</f>
        <v>#VALUE!</v>
      </c>
      <c r="P1042" t="e">
        <f>Tabella1[[#This Row],[KgPezzo]]*Tabella1[[#This Row],[q.ta offerta]]</f>
        <v>#VALUE!</v>
      </c>
      <c r="Q1042" t="e">
        <f>RigheOfferte[[#This Row],[QtaProtez]]</f>
        <v>#VALUE!</v>
      </c>
      <c r="R1042" t="e">
        <f>RigheOfferte[[#This Row],[Tipo Protezione]]</f>
        <v>#VALUE!</v>
      </c>
    </row>
    <row r="1043" spans="1:18">
      <c r="A1043" t="e">
        <f>RigheOfferte[[#This Row],[Nprev]]</f>
        <v>#VALUE!</v>
      </c>
      <c r="B1043" t="e">
        <f>RigheOfferte[[#This Row],[Nriga]]</f>
        <v>#VALUE!</v>
      </c>
      <c r="C1043" t="e">
        <f>RigheOfferte[[#This Row],[Cliente]]</f>
        <v>#VALUE!</v>
      </c>
      <c r="D1043" t="e">
        <f>RigheOfferte[[#This Row],[sub_cliente]]</f>
        <v>#VALUE!</v>
      </c>
      <c r="E1043" t="e">
        <f>RigheOfferte[[#This Row],[cod.Art.]]</f>
        <v>#VALUE!</v>
      </c>
      <c r="F1043" t="e">
        <f>RigheOfferte[[#This Row],[Descrizione]]</f>
        <v>#VALUE!</v>
      </c>
      <c r="G1043" t="e">
        <f>RigheOfferte[[#This Row],[Q.ta'']]</f>
        <v>#VALUE!</v>
      </c>
      <c r="H1043" t="e">
        <f>RigheOfferte[[#This Row],[Lavorazione]]</f>
        <v>#VALUE!</v>
      </c>
      <c r="I1043" t="e">
        <f>RigheOfferte[[#This Row],[Colore]]</f>
        <v>#VALUE!</v>
      </c>
      <c r="J1043" t="e">
        <f>RigheOfferte[[#This Row],[Velocità]]</f>
        <v>#VALUE!</v>
      </c>
      <c r="K1043" t="e">
        <f>RigheOfferte[[#This Row],[Superf.pz Mq]]</f>
        <v>#VALUE!</v>
      </c>
      <c r="L1043" t="e">
        <f>RigheOfferte[[#This Row],[passo]]</f>
        <v>#VALUE!</v>
      </c>
      <c r="M1043" t="e">
        <f>RigheOfferte[[#This Row],[nr.pezzi Telaio]]</f>
        <v>#VALUE!</v>
      </c>
      <c r="N1043" t="e">
        <f>RigheOfferte[[#This Row],[nr.pezzi ora-unita]]</f>
        <v>#VALUE!</v>
      </c>
      <c r="O1043" t="e">
        <f>Tabella1[[#This Row],[superificie]]*Resa</f>
        <v>#VALUE!</v>
      </c>
      <c r="P1043" t="e">
        <f>Tabella1[[#This Row],[KgPezzo]]*Tabella1[[#This Row],[q.ta offerta]]</f>
        <v>#VALUE!</v>
      </c>
      <c r="Q1043" t="e">
        <f>RigheOfferte[[#This Row],[QtaProtez]]</f>
        <v>#VALUE!</v>
      </c>
      <c r="R1043" t="e">
        <f>RigheOfferte[[#This Row],[Tipo Protezione]]</f>
        <v>#VALUE!</v>
      </c>
    </row>
    <row r="1044" spans="1:18">
      <c r="A1044" t="e">
        <f>RigheOfferte[[#This Row],[Nprev]]</f>
        <v>#VALUE!</v>
      </c>
      <c r="B1044" t="e">
        <f>RigheOfferte[[#This Row],[Nriga]]</f>
        <v>#VALUE!</v>
      </c>
      <c r="C1044" t="e">
        <f>RigheOfferte[[#This Row],[Cliente]]</f>
        <v>#VALUE!</v>
      </c>
      <c r="D1044" t="e">
        <f>RigheOfferte[[#This Row],[sub_cliente]]</f>
        <v>#VALUE!</v>
      </c>
      <c r="E1044" t="e">
        <f>RigheOfferte[[#This Row],[cod.Art.]]</f>
        <v>#VALUE!</v>
      </c>
      <c r="F1044" t="e">
        <f>RigheOfferte[[#This Row],[Descrizione]]</f>
        <v>#VALUE!</v>
      </c>
      <c r="G1044" t="e">
        <f>RigheOfferte[[#This Row],[Q.ta'']]</f>
        <v>#VALUE!</v>
      </c>
      <c r="H1044" t="e">
        <f>RigheOfferte[[#This Row],[Lavorazione]]</f>
        <v>#VALUE!</v>
      </c>
      <c r="I1044" t="e">
        <f>RigheOfferte[[#This Row],[Colore]]</f>
        <v>#VALUE!</v>
      </c>
      <c r="J1044" t="e">
        <f>RigheOfferte[[#This Row],[Velocità]]</f>
        <v>#VALUE!</v>
      </c>
      <c r="K1044" t="e">
        <f>RigheOfferte[[#This Row],[Superf.pz Mq]]</f>
        <v>#VALUE!</v>
      </c>
      <c r="L1044" t="e">
        <f>RigheOfferte[[#This Row],[passo]]</f>
        <v>#VALUE!</v>
      </c>
      <c r="M1044" t="e">
        <f>RigheOfferte[[#This Row],[nr.pezzi Telaio]]</f>
        <v>#VALUE!</v>
      </c>
      <c r="N1044" t="e">
        <f>RigheOfferte[[#This Row],[nr.pezzi ora-unita]]</f>
        <v>#VALUE!</v>
      </c>
      <c r="O1044" t="e">
        <f>Tabella1[[#This Row],[superificie]]*Resa</f>
        <v>#VALUE!</v>
      </c>
      <c r="P1044" t="e">
        <f>Tabella1[[#This Row],[KgPezzo]]*Tabella1[[#This Row],[q.ta offerta]]</f>
        <v>#VALUE!</v>
      </c>
      <c r="Q1044" t="e">
        <f>RigheOfferte[[#This Row],[QtaProtez]]</f>
        <v>#VALUE!</v>
      </c>
      <c r="R1044" t="e">
        <f>RigheOfferte[[#This Row],[Tipo Protezione]]</f>
        <v>#VALUE!</v>
      </c>
    </row>
    <row r="1045" spans="1:18">
      <c r="A1045" t="e">
        <f>RigheOfferte[[#This Row],[Nprev]]</f>
        <v>#VALUE!</v>
      </c>
      <c r="B1045" t="e">
        <f>RigheOfferte[[#This Row],[Nriga]]</f>
        <v>#VALUE!</v>
      </c>
      <c r="C1045" t="e">
        <f>RigheOfferte[[#This Row],[Cliente]]</f>
        <v>#VALUE!</v>
      </c>
      <c r="D1045" t="e">
        <f>RigheOfferte[[#This Row],[sub_cliente]]</f>
        <v>#VALUE!</v>
      </c>
      <c r="E1045" t="e">
        <f>RigheOfferte[[#This Row],[cod.Art.]]</f>
        <v>#VALUE!</v>
      </c>
      <c r="F1045" t="e">
        <f>RigheOfferte[[#This Row],[Descrizione]]</f>
        <v>#VALUE!</v>
      </c>
      <c r="G1045" t="e">
        <f>RigheOfferte[[#This Row],[Q.ta'']]</f>
        <v>#VALUE!</v>
      </c>
      <c r="H1045" t="e">
        <f>RigheOfferte[[#This Row],[Lavorazione]]</f>
        <v>#VALUE!</v>
      </c>
      <c r="I1045" t="e">
        <f>RigheOfferte[[#This Row],[Colore]]</f>
        <v>#VALUE!</v>
      </c>
      <c r="J1045" t="e">
        <f>RigheOfferte[[#This Row],[Velocità]]</f>
        <v>#VALUE!</v>
      </c>
      <c r="K1045" t="e">
        <f>RigheOfferte[[#This Row],[Superf.pz Mq]]</f>
        <v>#VALUE!</v>
      </c>
      <c r="L1045" t="e">
        <f>RigheOfferte[[#This Row],[passo]]</f>
        <v>#VALUE!</v>
      </c>
      <c r="M1045" t="e">
        <f>RigheOfferte[[#This Row],[nr.pezzi Telaio]]</f>
        <v>#VALUE!</v>
      </c>
      <c r="N1045" t="e">
        <f>RigheOfferte[[#This Row],[nr.pezzi ora-unita]]</f>
        <v>#VALUE!</v>
      </c>
      <c r="O1045" t="e">
        <f>Tabella1[[#This Row],[superificie]]*Resa</f>
        <v>#VALUE!</v>
      </c>
      <c r="P1045" t="e">
        <f>Tabella1[[#This Row],[KgPezzo]]*Tabella1[[#This Row],[q.ta offerta]]</f>
        <v>#VALUE!</v>
      </c>
      <c r="Q1045" t="e">
        <f>RigheOfferte[[#This Row],[QtaProtez]]</f>
        <v>#VALUE!</v>
      </c>
      <c r="R1045" t="e">
        <f>RigheOfferte[[#This Row],[Tipo Protezione]]</f>
        <v>#VALUE!</v>
      </c>
    </row>
    <row r="1046" spans="1:18">
      <c r="A1046" t="e">
        <f>RigheOfferte[[#This Row],[Nprev]]</f>
        <v>#VALUE!</v>
      </c>
      <c r="B1046" t="e">
        <f>RigheOfferte[[#This Row],[Nriga]]</f>
        <v>#VALUE!</v>
      </c>
      <c r="C1046" t="e">
        <f>RigheOfferte[[#This Row],[Cliente]]</f>
        <v>#VALUE!</v>
      </c>
      <c r="D1046" t="e">
        <f>RigheOfferte[[#This Row],[sub_cliente]]</f>
        <v>#VALUE!</v>
      </c>
      <c r="E1046" t="e">
        <f>RigheOfferte[[#This Row],[cod.Art.]]</f>
        <v>#VALUE!</v>
      </c>
      <c r="F1046" t="e">
        <f>RigheOfferte[[#This Row],[Descrizione]]</f>
        <v>#VALUE!</v>
      </c>
      <c r="G1046" t="e">
        <f>RigheOfferte[[#This Row],[Q.ta'']]</f>
        <v>#VALUE!</v>
      </c>
      <c r="H1046" t="e">
        <f>RigheOfferte[[#This Row],[Lavorazione]]</f>
        <v>#VALUE!</v>
      </c>
      <c r="I1046" t="e">
        <f>RigheOfferte[[#This Row],[Colore]]</f>
        <v>#VALUE!</v>
      </c>
      <c r="J1046" t="e">
        <f>RigheOfferte[[#This Row],[Velocità]]</f>
        <v>#VALUE!</v>
      </c>
      <c r="K1046" t="e">
        <f>RigheOfferte[[#This Row],[Superf.pz Mq]]</f>
        <v>#VALUE!</v>
      </c>
      <c r="L1046" t="e">
        <f>RigheOfferte[[#This Row],[passo]]</f>
        <v>#VALUE!</v>
      </c>
      <c r="M1046" t="e">
        <f>RigheOfferte[[#This Row],[nr.pezzi Telaio]]</f>
        <v>#VALUE!</v>
      </c>
      <c r="N1046" t="e">
        <f>RigheOfferte[[#This Row],[nr.pezzi ora-unita]]</f>
        <v>#VALUE!</v>
      </c>
      <c r="O1046" t="e">
        <f>Tabella1[[#This Row],[superificie]]*Resa</f>
        <v>#VALUE!</v>
      </c>
      <c r="P1046" t="e">
        <f>Tabella1[[#This Row],[KgPezzo]]*Tabella1[[#This Row],[q.ta offerta]]</f>
        <v>#VALUE!</v>
      </c>
      <c r="Q1046" t="e">
        <f>RigheOfferte[[#This Row],[QtaProtez]]</f>
        <v>#VALUE!</v>
      </c>
      <c r="R1046" t="e">
        <f>RigheOfferte[[#This Row],[Tipo Protezione]]</f>
        <v>#VALUE!</v>
      </c>
    </row>
    <row r="1047" spans="1:18">
      <c r="A1047" t="e">
        <f>RigheOfferte[[#This Row],[Nprev]]</f>
        <v>#VALUE!</v>
      </c>
      <c r="B1047" t="e">
        <f>RigheOfferte[[#This Row],[Nriga]]</f>
        <v>#VALUE!</v>
      </c>
      <c r="C1047" t="e">
        <f>RigheOfferte[[#This Row],[Cliente]]</f>
        <v>#VALUE!</v>
      </c>
      <c r="D1047" t="e">
        <f>RigheOfferte[[#This Row],[sub_cliente]]</f>
        <v>#VALUE!</v>
      </c>
      <c r="E1047" t="e">
        <f>RigheOfferte[[#This Row],[cod.Art.]]</f>
        <v>#VALUE!</v>
      </c>
      <c r="F1047" t="e">
        <f>RigheOfferte[[#This Row],[Descrizione]]</f>
        <v>#VALUE!</v>
      </c>
      <c r="G1047" t="e">
        <f>RigheOfferte[[#This Row],[Q.ta'']]</f>
        <v>#VALUE!</v>
      </c>
      <c r="H1047" t="e">
        <f>RigheOfferte[[#This Row],[Lavorazione]]</f>
        <v>#VALUE!</v>
      </c>
      <c r="I1047" t="e">
        <f>RigheOfferte[[#This Row],[Colore]]</f>
        <v>#VALUE!</v>
      </c>
      <c r="J1047" t="e">
        <f>RigheOfferte[[#This Row],[Velocità]]</f>
        <v>#VALUE!</v>
      </c>
      <c r="K1047" t="e">
        <f>RigheOfferte[[#This Row],[Superf.pz Mq]]</f>
        <v>#VALUE!</v>
      </c>
      <c r="L1047" t="e">
        <f>RigheOfferte[[#This Row],[passo]]</f>
        <v>#VALUE!</v>
      </c>
      <c r="M1047" t="e">
        <f>RigheOfferte[[#This Row],[nr.pezzi Telaio]]</f>
        <v>#VALUE!</v>
      </c>
      <c r="N1047" t="e">
        <f>RigheOfferte[[#This Row],[nr.pezzi ora-unita]]</f>
        <v>#VALUE!</v>
      </c>
      <c r="O1047" t="e">
        <f>Tabella1[[#This Row],[superificie]]*Resa</f>
        <v>#VALUE!</v>
      </c>
      <c r="P1047" t="e">
        <f>Tabella1[[#This Row],[KgPezzo]]*Tabella1[[#This Row],[q.ta offerta]]</f>
        <v>#VALUE!</v>
      </c>
      <c r="Q1047" t="e">
        <f>RigheOfferte[[#This Row],[QtaProtez]]</f>
        <v>#VALUE!</v>
      </c>
      <c r="R1047" t="e">
        <f>RigheOfferte[[#This Row],[Tipo Protezione]]</f>
        <v>#VALUE!</v>
      </c>
    </row>
    <row r="1048" spans="1:18">
      <c r="A1048" t="e">
        <f>RigheOfferte[[#This Row],[Nprev]]</f>
        <v>#VALUE!</v>
      </c>
      <c r="B1048" t="e">
        <f>RigheOfferte[[#This Row],[Nriga]]</f>
        <v>#VALUE!</v>
      </c>
      <c r="C1048" t="e">
        <f>RigheOfferte[[#This Row],[Cliente]]</f>
        <v>#VALUE!</v>
      </c>
      <c r="D1048" t="e">
        <f>RigheOfferte[[#This Row],[sub_cliente]]</f>
        <v>#VALUE!</v>
      </c>
      <c r="E1048" t="e">
        <f>RigheOfferte[[#This Row],[cod.Art.]]</f>
        <v>#VALUE!</v>
      </c>
      <c r="F1048" t="e">
        <f>RigheOfferte[[#This Row],[Descrizione]]</f>
        <v>#VALUE!</v>
      </c>
      <c r="G1048" t="e">
        <f>RigheOfferte[[#This Row],[Q.ta'']]</f>
        <v>#VALUE!</v>
      </c>
      <c r="H1048" t="e">
        <f>RigheOfferte[[#This Row],[Lavorazione]]</f>
        <v>#VALUE!</v>
      </c>
      <c r="I1048" t="e">
        <f>RigheOfferte[[#This Row],[Colore]]</f>
        <v>#VALUE!</v>
      </c>
      <c r="J1048" t="e">
        <f>RigheOfferte[[#This Row],[Velocità]]</f>
        <v>#VALUE!</v>
      </c>
      <c r="K1048" t="e">
        <f>RigheOfferte[[#This Row],[Superf.pz Mq]]</f>
        <v>#VALUE!</v>
      </c>
      <c r="L1048" t="e">
        <f>RigheOfferte[[#This Row],[passo]]</f>
        <v>#VALUE!</v>
      </c>
      <c r="M1048" t="e">
        <f>RigheOfferte[[#This Row],[nr.pezzi Telaio]]</f>
        <v>#VALUE!</v>
      </c>
      <c r="N1048" t="e">
        <f>RigheOfferte[[#This Row],[nr.pezzi ora-unita]]</f>
        <v>#VALUE!</v>
      </c>
      <c r="O1048" t="e">
        <f>Tabella1[[#This Row],[superificie]]*Resa</f>
        <v>#VALUE!</v>
      </c>
      <c r="P1048" t="e">
        <f>Tabella1[[#This Row],[KgPezzo]]*Tabella1[[#This Row],[q.ta offerta]]</f>
        <v>#VALUE!</v>
      </c>
      <c r="Q1048" t="e">
        <f>RigheOfferte[[#This Row],[QtaProtez]]</f>
        <v>#VALUE!</v>
      </c>
      <c r="R1048" t="e">
        <f>RigheOfferte[[#This Row],[Tipo Protezione]]</f>
        <v>#VALUE!</v>
      </c>
    </row>
    <row r="1049" spans="1:18">
      <c r="A1049" t="e">
        <f>RigheOfferte[[#This Row],[Nprev]]</f>
        <v>#VALUE!</v>
      </c>
      <c r="B1049" t="e">
        <f>RigheOfferte[[#This Row],[Nriga]]</f>
        <v>#VALUE!</v>
      </c>
      <c r="C1049" t="e">
        <f>RigheOfferte[[#This Row],[Cliente]]</f>
        <v>#VALUE!</v>
      </c>
      <c r="D1049" t="e">
        <f>RigheOfferte[[#This Row],[sub_cliente]]</f>
        <v>#VALUE!</v>
      </c>
      <c r="E1049" t="e">
        <f>RigheOfferte[[#This Row],[cod.Art.]]</f>
        <v>#VALUE!</v>
      </c>
      <c r="F1049" t="e">
        <f>RigheOfferte[[#This Row],[Descrizione]]</f>
        <v>#VALUE!</v>
      </c>
      <c r="G1049" t="e">
        <f>RigheOfferte[[#This Row],[Q.ta'']]</f>
        <v>#VALUE!</v>
      </c>
      <c r="H1049" t="e">
        <f>RigheOfferte[[#This Row],[Lavorazione]]</f>
        <v>#VALUE!</v>
      </c>
      <c r="I1049" t="e">
        <f>RigheOfferte[[#This Row],[Colore]]</f>
        <v>#VALUE!</v>
      </c>
      <c r="J1049" t="e">
        <f>RigheOfferte[[#This Row],[Velocità]]</f>
        <v>#VALUE!</v>
      </c>
      <c r="K1049" t="e">
        <f>RigheOfferte[[#This Row],[Superf.pz Mq]]</f>
        <v>#VALUE!</v>
      </c>
      <c r="L1049" t="e">
        <f>RigheOfferte[[#This Row],[passo]]</f>
        <v>#VALUE!</v>
      </c>
      <c r="M1049" t="e">
        <f>RigheOfferte[[#This Row],[nr.pezzi Telaio]]</f>
        <v>#VALUE!</v>
      </c>
      <c r="N1049" t="e">
        <f>RigheOfferte[[#This Row],[nr.pezzi ora-unita]]</f>
        <v>#VALUE!</v>
      </c>
      <c r="O1049" t="e">
        <f>Tabella1[[#This Row],[superificie]]*Resa</f>
        <v>#VALUE!</v>
      </c>
      <c r="P1049" t="e">
        <f>Tabella1[[#This Row],[KgPezzo]]*Tabella1[[#This Row],[q.ta offerta]]</f>
        <v>#VALUE!</v>
      </c>
      <c r="Q1049" t="e">
        <f>RigheOfferte[[#This Row],[QtaProtez]]</f>
        <v>#VALUE!</v>
      </c>
      <c r="R1049" t="e">
        <f>RigheOfferte[[#This Row],[Tipo Protezione]]</f>
        <v>#VALUE!</v>
      </c>
    </row>
    <row r="1050" spans="1:18">
      <c r="A1050" t="e">
        <f>RigheOfferte[[#This Row],[Nprev]]</f>
        <v>#VALUE!</v>
      </c>
      <c r="B1050" t="e">
        <f>RigheOfferte[[#This Row],[Nriga]]</f>
        <v>#VALUE!</v>
      </c>
      <c r="C1050" t="e">
        <f>RigheOfferte[[#This Row],[Cliente]]</f>
        <v>#VALUE!</v>
      </c>
      <c r="D1050" t="e">
        <f>RigheOfferte[[#This Row],[sub_cliente]]</f>
        <v>#VALUE!</v>
      </c>
      <c r="E1050" t="e">
        <f>RigheOfferte[[#This Row],[cod.Art.]]</f>
        <v>#VALUE!</v>
      </c>
      <c r="F1050" t="e">
        <f>RigheOfferte[[#This Row],[Descrizione]]</f>
        <v>#VALUE!</v>
      </c>
      <c r="G1050" t="e">
        <f>RigheOfferte[[#This Row],[Q.ta'']]</f>
        <v>#VALUE!</v>
      </c>
      <c r="H1050" t="e">
        <f>RigheOfferte[[#This Row],[Lavorazione]]</f>
        <v>#VALUE!</v>
      </c>
      <c r="I1050" t="e">
        <f>RigheOfferte[[#This Row],[Colore]]</f>
        <v>#VALUE!</v>
      </c>
      <c r="J1050" t="e">
        <f>RigheOfferte[[#This Row],[Velocità]]</f>
        <v>#VALUE!</v>
      </c>
      <c r="K1050" t="e">
        <f>RigheOfferte[[#This Row],[Superf.pz Mq]]</f>
        <v>#VALUE!</v>
      </c>
      <c r="L1050" t="e">
        <f>RigheOfferte[[#This Row],[passo]]</f>
        <v>#VALUE!</v>
      </c>
      <c r="M1050" t="e">
        <f>RigheOfferte[[#This Row],[nr.pezzi Telaio]]</f>
        <v>#VALUE!</v>
      </c>
      <c r="N1050" t="e">
        <f>RigheOfferte[[#This Row],[nr.pezzi ora-unita]]</f>
        <v>#VALUE!</v>
      </c>
      <c r="O1050" t="e">
        <f>Tabella1[[#This Row],[superificie]]*Resa</f>
        <v>#VALUE!</v>
      </c>
      <c r="P1050" t="e">
        <f>Tabella1[[#This Row],[KgPezzo]]*Tabella1[[#This Row],[q.ta offerta]]</f>
        <v>#VALUE!</v>
      </c>
      <c r="Q1050" t="e">
        <f>RigheOfferte[[#This Row],[QtaProtez]]</f>
        <v>#VALUE!</v>
      </c>
      <c r="R1050" t="e">
        <f>RigheOfferte[[#This Row],[Tipo Protezione]]</f>
        <v>#VALUE!</v>
      </c>
    </row>
    <row r="1051" spans="1:18">
      <c r="A1051" t="e">
        <f>RigheOfferte[[#This Row],[Nprev]]</f>
        <v>#VALUE!</v>
      </c>
      <c r="B1051" t="e">
        <f>RigheOfferte[[#This Row],[Nriga]]</f>
        <v>#VALUE!</v>
      </c>
      <c r="C1051" t="e">
        <f>RigheOfferte[[#This Row],[Cliente]]</f>
        <v>#VALUE!</v>
      </c>
      <c r="D1051" t="e">
        <f>RigheOfferte[[#This Row],[sub_cliente]]</f>
        <v>#VALUE!</v>
      </c>
      <c r="E1051" t="e">
        <f>RigheOfferte[[#This Row],[cod.Art.]]</f>
        <v>#VALUE!</v>
      </c>
      <c r="F1051" t="e">
        <f>RigheOfferte[[#This Row],[Descrizione]]</f>
        <v>#VALUE!</v>
      </c>
      <c r="G1051" t="e">
        <f>RigheOfferte[[#This Row],[Q.ta'']]</f>
        <v>#VALUE!</v>
      </c>
      <c r="H1051" t="e">
        <f>RigheOfferte[[#This Row],[Lavorazione]]</f>
        <v>#VALUE!</v>
      </c>
      <c r="I1051" t="e">
        <f>RigheOfferte[[#This Row],[Colore]]</f>
        <v>#VALUE!</v>
      </c>
      <c r="J1051" t="e">
        <f>RigheOfferte[[#This Row],[Velocità]]</f>
        <v>#VALUE!</v>
      </c>
      <c r="K1051" t="e">
        <f>RigheOfferte[[#This Row],[Superf.pz Mq]]</f>
        <v>#VALUE!</v>
      </c>
      <c r="L1051" t="e">
        <f>RigheOfferte[[#This Row],[passo]]</f>
        <v>#VALUE!</v>
      </c>
      <c r="M1051" t="e">
        <f>RigheOfferte[[#This Row],[nr.pezzi Telaio]]</f>
        <v>#VALUE!</v>
      </c>
      <c r="N1051" t="e">
        <f>RigheOfferte[[#This Row],[nr.pezzi ora-unita]]</f>
        <v>#VALUE!</v>
      </c>
      <c r="O1051" t="e">
        <f>Tabella1[[#This Row],[superificie]]*Resa</f>
        <v>#VALUE!</v>
      </c>
      <c r="P1051" t="e">
        <f>Tabella1[[#This Row],[KgPezzo]]*Tabella1[[#This Row],[q.ta offerta]]</f>
        <v>#VALUE!</v>
      </c>
      <c r="Q1051" t="e">
        <f>RigheOfferte[[#This Row],[QtaProtez]]</f>
        <v>#VALUE!</v>
      </c>
      <c r="R1051" t="e">
        <f>RigheOfferte[[#This Row],[Tipo Protezione]]</f>
        <v>#VALUE!</v>
      </c>
    </row>
    <row r="1052" spans="1:18">
      <c r="A1052" t="e">
        <f>RigheOfferte[[#This Row],[Nprev]]</f>
        <v>#VALUE!</v>
      </c>
      <c r="B1052" t="e">
        <f>RigheOfferte[[#This Row],[Nriga]]</f>
        <v>#VALUE!</v>
      </c>
      <c r="C1052" t="e">
        <f>RigheOfferte[[#This Row],[Cliente]]</f>
        <v>#VALUE!</v>
      </c>
      <c r="D1052" t="e">
        <f>RigheOfferte[[#This Row],[sub_cliente]]</f>
        <v>#VALUE!</v>
      </c>
      <c r="E1052" t="e">
        <f>RigheOfferte[[#This Row],[cod.Art.]]</f>
        <v>#VALUE!</v>
      </c>
      <c r="F1052" t="e">
        <f>RigheOfferte[[#This Row],[Descrizione]]</f>
        <v>#VALUE!</v>
      </c>
      <c r="G1052" t="e">
        <f>RigheOfferte[[#This Row],[Q.ta'']]</f>
        <v>#VALUE!</v>
      </c>
      <c r="H1052" t="e">
        <f>RigheOfferte[[#This Row],[Lavorazione]]</f>
        <v>#VALUE!</v>
      </c>
      <c r="I1052" t="e">
        <f>RigheOfferte[[#This Row],[Colore]]</f>
        <v>#VALUE!</v>
      </c>
      <c r="J1052" t="e">
        <f>RigheOfferte[[#This Row],[Velocità]]</f>
        <v>#VALUE!</v>
      </c>
      <c r="K1052" t="e">
        <f>RigheOfferte[[#This Row],[Superf.pz Mq]]</f>
        <v>#VALUE!</v>
      </c>
      <c r="L1052" t="e">
        <f>RigheOfferte[[#This Row],[passo]]</f>
        <v>#VALUE!</v>
      </c>
      <c r="M1052" t="e">
        <f>RigheOfferte[[#This Row],[nr.pezzi Telaio]]</f>
        <v>#VALUE!</v>
      </c>
      <c r="N1052" t="e">
        <f>RigheOfferte[[#This Row],[nr.pezzi ora-unita]]</f>
        <v>#VALUE!</v>
      </c>
      <c r="O1052" t="e">
        <f>Tabella1[[#This Row],[superificie]]*Resa</f>
        <v>#VALUE!</v>
      </c>
      <c r="P1052" t="e">
        <f>Tabella1[[#This Row],[KgPezzo]]*Tabella1[[#This Row],[q.ta offerta]]</f>
        <v>#VALUE!</v>
      </c>
      <c r="Q1052" t="e">
        <f>RigheOfferte[[#This Row],[QtaProtez]]</f>
        <v>#VALUE!</v>
      </c>
      <c r="R1052" t="e">
        <f>RigheOfferte[[#This Row],[Tipo Protezione]]</f>
        <v>#VALUE!</v>
      </c>
    </row>
    <row r="1053" spans="1:18">
      <c r="A1053" t="e">
        <f>RigheOfferte[[#This Row],[Nprev]]</f>
        <v>#VALUE!</v>
      </c>
      <c r="B1053" t="e">
        <f>RigheOfferte[[#This Row],[Nriga]]</f>
        <v>#VALUE!</v>
      </c>
      <c r="C1053" t="e">
        <f>RigheOfferte[[#This Row],[Cliente]]</f>
        <v>#VALUE!</v>
      </c>
      <c r="D1053" t="e">
        <f>RigheOfferte[[#This Row],[sub_cliente]]</f>
        <v>#VALUE!</v>
      </c>
      <c r="E1053" t="e">
        <f>RigheOfferte[[#This Row],[cod.Art.]]</f>
        <v>#VALUE!</v>
      </c>
      <c r="F1053" t="e">
        <f>RigheOfferte[[#This Row],[Descrizione]]</f>
        <v>#VALUE!</v>
      </c>
      <c r="G1053" t="e">
        <f>RigheOfferte[[#This Row],[Q.ta'']]</f>
        <v>#VALUE!</v>
      </c>
      <c r="H1053" t="e">
        <f>RigheOfferte[[#This Row],[Lavorazione]]</f>
        <v>#VALUE!</v>
      </c>
      <c r="I1053" t="e">
        <f>RigheOfferte[[#This Row],[Colore]]</f>
        <v>#VALUE!</v>
      </c>
      <c r="J1053" t="e">
        <f>RigheOfferte[[#This Row],[Velocità]]</f>
        <v>#VALUE!</v>
      </c>
      <c r="K1053" t="e">
        <f>RigheOfferte[[#This Row],[Superf.pz Mq]]</f>
        <v>#VALUE!</v>
      </c>
      <c r="L1053" t="e">
        <f>RigheOfferte[[#This Row],[passo]]</f>
        <v>#VALUE!</v>
      </c>
      <c r="M1053" t="e">
        <f>RigheOfferte[[#This Row],[nr.pezzi Telaio]]</f>
        <v>#VALUE!</v>
      </c>
      <c r="N1053" t="e">
        <f>RigheOfferte[[#This Row],[nr.pezzi ora-unita]]</f>
        <v>#VALUE!</v>
      </c>
      <c r="O1053" t="e">
        <f>Tabella1[[#This Row],[superificie]]*Resa</f>
        <v>#VALUE!</v>
      </c>
      <c r="P1053" t="e">
        <f>Tabella1[[#This Row],[KgPezzo]]*Tabella1[[#This Row],[q.ta offerta]]</f>
        <v>#VALUE!</v>
      </c>
      <c r="Q1053" t="e">
        <f>RigheOfferte[[#This Row],[QtaProtez]]</f>
        <v>#VALUE!</v>
      </c>
      <c r="R1053" t="e">
        <f>RigheOfferte[[#This Row],[Tipo Protezione]]</f>
        <v>#VALUE!</v>
      </c>
    </row>
    <row r="1054" spans="1:18">
      <c r="A1054" t="e">
        <f>RigheOfferte[[#This Row],[Nprev]]</f>
        <v>#VALUE!</v>
      </c>
      <c r="B1054" t="e">
        <f>RigheOfferte[[#This Row],[Nriga]]</f>
        <v>#VALUE!</v>
      </c>
      <c r="C1054" t="e">
        <f>RigheOfferte[[#This Row],[Cliente]]</f>
        <v>#VALUE!</v>
      </c>
      <c r="D1054" t="e">
        <f>RigheOfferte[[#This Row],[sub_cliente]]</f>
        <v>#VALUE!</v>
      </c>
      <c r="E1054" t="e">
        <f>RigheOfferte[[#This Row],[cod.Art.]]</f>
        <v>#VALUE!</v>
      </c>
      <c r="F1054" t="e">
        <f>RigheOfferte[[#This Row],[Descrizione]]</f>
        <v>#VALUE!</v>
      </c>
      <c r="G1054" t="e">
        <f>RigheOfferte[[#This Row],[Q.ta'']]</f>
        <v>#VALUE!</v>
      </c>
      <c r="H1054" t="e">
        <f>RigheOfferte[[#This Row],[Lavorazione]]</f>
        <v>#VALUE!</v>
      </c>
      <c r="I1054" t="e">
        <f>RigheOfferte[[#This Row],[Colore]]</f>
        <v>#VALUE!</v>
      </c>
      <c r="J1054" t="e">
        <f>RigheOfferte[[#This Row],[Velocità]]</f>
        <v>#VALUE!</v>
      </c>
      <c r="K1054" t="e">
        <f>RigheOfferte[[#This Row],[Superf.pz Mq]]</f>
        <v>#VALUE!</v>
      </c>
      <c r="L1054" t="e">
        <f>RigheOfferte[[#This Row],[passo]]</f>
        <v>#VALUE!</v>
      </c>
      <c r="M1054" t="e">
        <f>RigheOfferte[[#This Row],[nr.pezzi Telaio]]</f>
        <v>#VALUE!</v>
      </c>
      <c r="N1054" t="e">
        <f>RigheOfferte[[#This Row],[nr.pezzi ora-unita]]</f>
        <v>#VALUE!</v>
      </c>
      <c r="O1054" t="e">
        <f>Tabella1[[#This Row],[superificie]]*Resa</f>
        <v>#VALUE!</v>
      </c>
      <c r="P1054" t="e">
        <f>Tabella1[[#This Row],[KgPezzo]]*Tabella1[[#This Row],[q.ta offerta]]</f>
        <v>#VALUE!</v>
      </c>
      <c r="Q1054" t="e">
        <f>RigheOfferte[[#This Row],[QtaProtez]]</f>
        <v>#VALUE!</v>
      </c>
      <c r="R1054" t="e">
        <f>RigheOfferte[[#This Row],[Tipo Protezione]]</f>
        <v>#VALUE!</v>
      </c>
    </row>
    <row r="1055" spans="1:18">
      <c r="A1055" t="e">
        <f>RigheOfferte[[#This Row],[Nprev]]</f>
        <v>#VALUE!</v>
      </c>
      <c r="B1055" t="e">
        <f>RigheOfferte[[#This Row],[Nriga]]</f>
        <v>#VALUE!</v>
      </c>
      <c r="C1055" t="e">
        <f>RigheOfferte[[#This Row],[Cliente]]</f>
        <v>#VALUE!</v>
      </c>
      <c r="D1055" t="e">
        <f>RigheOfferte[[#This Row],[sub_cliente]]</f>
        <v>#VALUE!</v>
      </c>
      <c r="E1055" t="e">
        <f>RigheOfferte[[#This Row],[cod.Art.]]</f>
        <v>#VALUE!</v>
      </c>
      <c r="F1055" t="e">
        <f>RigheOfferte[[#This Row],[Descrizione]]</f>
        <v>#VALUE!</v>
      </c>
      <c r="G1055" t="e">
        <f>RigheOfferte[[#This Row],[Q.ta'']]</f>
        <v>#VALUE!</v>
      </c>
      <c r="H1055" t="e">
        <f>RigheOfferte[[#This Row],[Lavorazione]]</f>
        <v>#VALUE!</v>
      </c>
      <c r="I1055" t="e">
        <f>RigheOfferte[[#This Row],[Colore]]</f>
        <v>#VALUE!</v>
      </c>
      <c r="J1055" t="e">
        <f>RigheOfferte[[#This Row],[Velocità]]</f>
        <v>#VALUE!</v>
      </c>
      <c r="K1055" t="e">
        <f>RigheOfferte[[#This Row],[Superf.pz Mq]]</f>
        <v>#VALUE!</v>
      </c>
      <c r="L1055" t="e">
        <f>RigheOfferte[[#This Row],[passo]]</f>
        <v>#VALUE!</v>
      </c>
      <c r="M1055" t="e">
        <f>RigheOfferte[[#This Row],[nr.pezzi Telaio]]</f>
        <v>#VALUE!</v>
      </c>
      <c r="N1055" t="e">
        <f>RigheOfferte[[#This Row],[nr.pezzi ora-unita]]</f>
        <v>#VALUE!</v>
      </c>
      <c r="O1055" t="e">
        <f>Tabella1[[#This Row],[superificie]]*Resa</f>
        <v>#VALUE!</v>
      </c>
      <c r="P1055" t="e">
        <f>Tabella1[[#This Row],[KgPezzo]]*Tabella1[[#This Row],[q.ta offerta]]</f>
        <v>#VALUE!</v>
      </c>
      <c r="Q1055" t="e">
        <f>RigheOfferte[[#This Row],[QtaProtez]]</f>
        <v>#VALUE!</v>
      </c>
      <c r="R1055" t="e">
        <f>RigheOfferte[[#This Row],[Tipo Protezione]]</f>
        <v>#VALUE!</v>
      </c>
    </row>
    <row r="1056" spans="1:18">
      <c r="A1056" t="e">
        <f>RigheOfferte[[#This Row],[Nprev]]</f>
        <v>#VALUE!</v>
      </c>
      <c r="B1056" t="e">
        <f>RigheOfferte[[#This Row],[Nriga]]</f>
        <v>#VALUE!</v>
      </c>
      <c r="C1056" t="e">
        <f>RigheOfferte[[#This Row],[Cliente]]</f>
        <v>#VALUE!</v>
      </c>
      <c r="D1056" t="e">
        <f>RigheOfferte[[#This Row],[sub_cliente]]</f>
        <v>#VALUE!</v>
      </c>
      <c r="E1056" t="e">
        <f>RigheOfferte[[#This Row],[cod.Art.]]</f>
        <v>#VALUE!</v>
      </c>
      <c r="F1056" t="e">
        <f>RigheOfferte[[#This Row],[Descrizione]]</f>
        <v>#VALUE!</v>
      </c>
      <c r="G1056" t="e">
        <f>RigheOfferte[[#This Row],[Q.ta'']]</f>
        <v>#VALUE!</v>
      </c>
      <c r="H1056" t="e">
        <f>RigheOfferte[[#This Row],[Lavorazione]]</f>
        <v>#VALUE!</v>
      </c>
      <c r="I1056" t="e">
        <f>RigheOfferte[[#This Row],[Colore]]</f>
        <v>#VALUE!</v>
      </c>
      <c r="J1056" t="e">
        <f>RigheOfferte[[#This Row],[Velocità]]</f>
        <v>#VALUE!</v>
      </c>
      <c r="K1056" t="e">
        <f>RigheOfferte[[#This Row],[Superf.pz Mq]]</f>
        <v>#VALUE!</v>
      </c>
      <c r="L1056" t="e">
        <f>RigheOfferte[[#This Row],[passo]]</f>
        <v>#VALUE!</v>
      </c>
      <c r="M1056" t="e">
        <f>RigheOfferte[[#This Row],[nr.pezzi Telaio]]</f>
        <v>#VALUE!</v>
      </c>
      <c r="N1056" t="e">
        <f>RigheOfferte[[#This Row],[nr.pezzi ora-unita]]</f>
        <v>#VALUE!</v>
      </c>
      <c r="O1056" t="e">
        <f>Tabella1[[#This Row],[superificie]]*Resa</f>
        <v>#VALUE!</v>
      </c>
      <c r="P1056" t="e">
        <f>Tabella1[[#This Row],[KgPezzo]]*Tabella1[[#This Row],[q.ta offerta]]</f>
        <v>#VALUE!</v>
      </c>
      <c r="Q1056" t="e">
        <f>RigheOfferte[[#This Row],[QtaProtez]]</f>
        <v>#VALUE!</v>
      </c>
      <c r="R1056" t="e">
        <f>RigheOfferte[[#This Row],[Tipo Protezione]]</f>
        <v>#VALUE!</v>
      </c>
    </row>
    <row r="1057" spans="1:18">
      <c r="A1057" t="e">
        <f>RigheOfferte[[#This Row],[Nprev]]</f>
        <v>#VALUE!</v>
      </c>
      <c r="B1057" t="e">
        <f>RigheOfferte[[#This Row],[Nriga]]</f>
        <v>#VALUE!</v>
      </c>
      <c r="C1057" t="e">
        <f>RigheOfferte[[#This Row],[Cliente]]</f>
        <v>#VALUE!</v>
      </c>
      <c r="D1057" t="e">
        <f>RigheOfferte[[#This Row],[sub_cliente]]</f>
        <v>#VALUE!</v>
      </c>
      <c r="E1057" t="e">
        <f>RigheOfferte[[#This Row],[cod.Art.]]</f>
        <v>#VALUE!</v>
      </c>
      <c r="F1057" t="e">
        <f>RigheOfferte[[#This Row],[Descrizione]]</f>
        <v>#VALUE!</v>
      </c>
      <c r="G1057" t="e">
        <f>RigheOfferte[[#This Row],[Q.ta'']]</f>
        <v>#VALUE!</v>
      </c>
      <c r="H1057" t="e">
        <f>RigheOfferte[[#This Row],[Lavorazione]]</f>
        <v>#VALUE!</v>
      </c>
      <c r="I1057" t="e">
        <f>RigheOfferte[[#This Row],[Colore]]</f>
        <v>#VALUE!</v>
      </c>
      <c r="J1057" t="e">
        <f>RigheOfferte[[#This Row],[Velocità]]</f>
        <v>#VALUE!</v>
      </c>
      <c r="K1057" t="e">
        <f>RigheOfferte[[#This Row],[Superf.pz Mq]]</f>
        <v>#VALUE!</v>
      </c>
      <c r="L1057" t="e">
        <f>RigheOfferte[[#This Row],[passo]]</f>
        <v>#VALUE!</v>
      </c>
      <c r="M1057" t="e">
        <f>RigheOfferte[[#This Row],[nr.pezzi Telaio]]</f>
        <v>#VALUE!</v>
      </c>
      <c r="N1057" t="e">
        <f>RigheOfferte[[#This Row],[nr.pezzi ora-unita]]</f>
        <v>#VALUE!</v>
      </c>
      <c r="O1057" t="e">
        <f>Tabella1[[#This Row],[superificie]]*Resa</f>
        <v>#VALUE!</v>
      </c>
      <c r="P1057" t="e">
        <f>Tabella1[[#This Row],[KgPezzo]]*Tabella1[[#This Row],[q.ta offerta]]</f>
        <v>#VALUE!</v>
      </c>
      <c r="Q1057" t="e">
        <f>RigheOfferte[[#This Row],[QtaProtez]]</f>
        <v>#VALUE!</v>
      </c>
      <c r="R1057" t="e">
        <f>RigheOfferte[[#This Row],[Tipo Protezione]]</f>
        <v>#VALUE!</v>
      </c>
    </row>
    <row r="1058" spans="1:18">
      <c r="A1058" t="e">
        <f>RigheOfferte[[#This Row],[Nprev]]</f>
        <v>#VALUE!</v>
      </c>
      <c r="B1058" t="e">
        <f>RigheOfferte[[#This Row],[Nriga]]</f>
        <v>#VALUE!</v>
      </c>
      <c r="C1058" t="e">
        <f>RigheOfferte[[#This Row],[Cliente]]</f>
        <v>#VALUE!</v>
      </c>
      <c r="D1058" t="e">
        <f>RigheOfferte[[#This Row],[sub_cliente]]</f>
        <v>#VALUE!</v>
      </c>
      <c r="E1058" t="e">
        <f>RigheOfferte[[#This Row],[cod.Art.]]</f>
        <v>#VALUE!</v>
      </c>
      <c r="F1058" t="e">
        <f>RigheOfferte[[#This Row],[Descrizione]]</f>
        <v>#VALUE!</v>
      </c>
      <c r="G1058" t="e">
        <f>RigheOfferte[[#This Row],[Q.ta'']]</f>
        <v>#VALUE!</v>
      </c>
      <c r="H1058" t="e">
        <f>RigheOfferte[[#This Row],[Lavorazione]]</f>
        <v>#VALUE!</v>
      </c>
      <c r="I1058" t="e">
        <f>RigheOfferte[[#This Row],[Colore]]</f>
        <v>#VALUE!</v>
      </c>
      <c r="J1058" t="e">
        <f>RigheOfferte[[#This Row],[Velocità]]</f>
        <v>#VALUE!</v>
      </c>
      <c r="K1058" t="e">
        <f>RigheOfferte[[#This Row],[Superf.pz Mq]]</f>
        <v>#VALUE!</v>
      </c>
      <c r="L1058" t="e">
        <f>RigheOfferte[[#This Row],[passo]]</f>
        <v>#VALUE!</v>
      </c>
      <c r="M1058" t="e">
        <f>RigheOfferte[[#This Row],[nr.pezzi Telaio]]</f>
        <v>#VALUE!</v>
      </c>
      <c r="N1058" t="e">
        <f>RigheOfferte[[#This Row],[nr.pezzi ora-unita]]</f>
        <v>#VALUE!</v>
      </c>
      <c r="O1058" t="e">
        <f>Tabella1[[#This Row],[superificie]]*Resa</f>
        <v>#VALUE!</v>
      </c>
      <c r="P1058" t="e">
        <f>Tabella1[[#This Row],[KgPezzo]]*Tabella1[[#This Row],[q.ta offerta]]</f>
        <v>#VALUE!</v>
      </c>
      <c r="Q1058" t="e">
        <f>RigheOfferte[[#This Row],[QtaProtez]]</f>
        <v>#VALUE!</v>
      </c>
      <c r="R1058" t="e">
        <f>RigheOfferte[[#This Row],[Tipo Protezione]]</f>
        <v>#VALUE!</v>
      </c>
    </row>
    <row r="1059" spans="1:18">
      <c r="A1059" t="e">
        <f>RigheOfferte[[#This Row],[Nprev]]</f>
        <v>#VALUE!</v>
      </c>
      <c r="B1059" t="e">
        <f>RigheOfferte[[#This Row],[Nriga]]</f>
        <v>#VALUE!</v>
      </c>
      <c r="C1059" t="e">
        <f>RigheOfferte[[#This Row],[Cliente]]</f>
        <v>#VALUE!</v>
      </c>
      <c r="D1059" t="e">
        <f>RigheOfferte[[#This Row],[sub_cliente]]</f>
        <v>#VALUE!</v>
      </c>
      <c r="E1059" t="e">
        <f>RigheOfferte[[#This Row],[cod.Art.]]</f>
        <v>#VALUE!</v>
      </c>
      <c r="F1059" t="e">
        <f>RigheOfferte[[#This Row],[Descrizione]]</f>
        <v>#VALUE!</v>
      </c>
      <c r="G1059" t="e">
        <f>RigheOfferte[[#This Row],[Q.ta'']]</f>
        <v>#VALUE!</v>
      </c>
      <c r="H1059" t="e">
        <f>RigheOfferte[[#This Row],[Lavorazione]]</f>
        <v>#VALUE!</v>
      </c>
      <c r="I1059" t="e">
        <f>RigheOfferte[[#This Row],[Colore]]</f>
        <v>#VALUE!</v>
      </c>
      <c r="J1059" t="e">
        <f>RigheOfferte[[#This Row],[Velocità]]</f>
        <v>#VALUE!</v>
      </c>
      <c r="K1059" t="e">
        <f>RigheOfferte[[#This Row],[Superf.pz Mq]]</f>
        <v>#VALUE!</v>
      </c>
      <c r="L1059" t="e">
        <f>RigheOfferte[[#This Row],[passo]]</f>
        <v>#VALUE!</v>
      </c>
      <c r="M1059" t="e">
        <f>RigheOfferte[[#This Row],[nr.pezzi Telaio]]</f>
        <v>#VALUE!</v>
      </c>
      <c r="N1059" t="e">
        <f>RigheOfferte[[#This Row],[nr.pezzi ora-unita]]</f>
        <v>#VALUE!</v>
      </c>
      <c r="O1059" t="e">
        <f>Tabella1[[#This Row],[superificie]]*Resa</f>
        <v>#VALUE!</v>
      </c>
      <c r="P1059" t="e">
        <f>Tabella1[[#This Row],[KgPezzo]]*Tabella1[[#This Row],[q.ta offerta]]</f>
        <v>#VALUE!</v>
      </c>
      <c r="Q1059" t="e">
        <f>RigheOfferte[[#This Row],[QtaProtez]]</f>
        <v>#VALUE!</v>
      </c>
      <c r="R1059" t="e">
        <f>RigheOfferte[[#This Row],[Tipo Protezione]]</f>
        <v>#VALUE!</v>
      </c>
    </row>
    <row r="1060" spans="1:18">
      <c r="A1060" t="e">
        <f>RigheOfferte[[#This Row],[Nprev]]</f>
        <v>#VALUE!</v>
      </c>
      <c r="B1060" t="e">
        <f>RigheOfferte[[#This Row],[Nriga]]</f>
        <v>#VALUE!</v>
      </c>
      <c r="C1060" t="e">
        <f>RigheOfferte[[#This Row],[Cliente]]</f>
        <v>#VALUE!</v>
      </c>
      <c r="D1060" t="e">
        <f>RigheOfferte[[#This Row],[sub_cliente]]</f>
        <v>#VALUE!</v>
      </c>
      <c r="E1060" t="e">
        <f>RigheOfferte[[#This Row],[cod.Art.]]</f>
        <v>#VALUE!</v>
      </c>
      <c r="F1060" t="e">
        <f>RigheOfferte[[#This Row],[Descrizione]]</f>
        <v>#VALUE!</v>
      </c>
      <c r="G1060" t="e">
        <f>RigheOfferte[[#This Row],[Q.ta'']]</f>
        <v>#VALUE!</v>
      </c>
      <c r="H1060" t="e">
        <f>RigheOfferte[[#This Row],[Lavorazione]]</f>
        <v>#VALUE!</v>
      </c>
      <c r="I1060" t="e">
        <f>RigheOfferte[[#This Row],[Colore]]</f>
        <v>#VALUE!</v>
      </c>
      <c r="J1060" t="e">
        <f>RigheOfferte[[#This Row],[Velocità]]</f>
        <v>#VALUE!</v>
      </c>
      <c r="K1060" t="e">
        <f>RigheOfferte[[#This Row],[Superf.pz Mq]]</f>
        <v>#VALUE!</v>
      </c>
      <c r="L1060" t="e">
        <f>RigheOfferte[[#This Row],[passo]]</f>
        <v>#VALUE!</v>
      </c>
      <c r="M1060" t="e">
        <f>RigheOfferte[[#This Row],[nr.pezzi Telaio]]</f>
        <v>#VALUE!</v>
      </c>
      <c r="N1060" t="e">
        <f>RigheOfferte[[#This Row],[nr.pezzi ora-unita]]</f>
        <v>#VALUE!</v>
      </c>
      <c r="O1060" t="e">
        <f>Tabella1[[#This Row],[superificie]]*Resa</f>
        <v>#VALUE!</v>
      </c>
      <c r="P1060" t="e">
        <f>Tabella1[[#This Row],[KgPezzo]]*Tabella1[[#This Row],[q.ta offerta]]</f>
        <v>#VALUE!</v>
      </c>
      <c r="Q1060" t="e">
        <f>RigheOfferte[[#This Row],[QtaProtez]]</f>
        <v>#VALUE!</v>
      </c>
      <c r="R1060" t="e">
        <f>RigheOfferte[[#This Row],[Tipo Protezione]]</f>
        <v>#VALUE!</v>
      </c>
    </row>
    <row r="1061" spans="1:18">
      <c r="A1061" t="e">
        <f>RigheOfferte[[#This Row],[Nprev]]</f>
        <v>#VALUE!</v>
      </c>
      <c r="B1061" t="e">
        <f>RigheOfferte[[#This Row],[Nriga]]</f>
        <v>#VALUE!</v>
      </c>
      <c r="C1061" t="e">
        <f>RigheOfferte[[#This Row],[Cliente]]</f>
        <v>#VALUE!</v>
      </c>
      <c r="D1061" t="e">
        <f>RigheOfferte[[#This Row],[sub_cliente]]</f>
        <v>#VALUE!</v>
      </c>
      <c r="E1061" t="e">
        <f>RigheOfferte[[#This Row],[cod.Art.]]</f>
        <v>#VALUE!</v>
      </c>
      <c r="F1061" t="e">
        <f>RigheOfferte[[#This Row],[Descrizione]]</f>
        <v>#VALUE!</v>
      </c>
      <c r="G1061" t="e">
        <f>RigheOfferte[[#This Row],[Q.ta'']]</f>
        <v>#VALUE!</v>
      </c>
      <c r="H1061" t="e">
        <f>RigheOfferte[[#This Row],[Lavorazione]]</f>
        <v>#VALUE!</v>
      </c>
      <c r="I1061" t="e">
        <f>RigheOfferte[[#This Row],[Colore]]</f>
        <v>#VALUE!</v>
      </c>
      <c r="J1061" t="e">
        <f>RigheOfferte[[#This Row],[Velocità]]</f>
        <v>#VALUE!</v>
      </c>
      <c r="K1061" t="e">
        <f>RigheOfferte[[#This Row],[Superf.pz Mq]]</f>
        <v>#VALUE!</v>
      </c>
      <c r="L1061" t="e">
        <f>RigheOfferte[[#This Row],[passo]]</f>
        <v>#VALUE!</v>
      </c>
      <c r="M1061" t="e">
        <f>RigheOfferte[[#This Row],[nr.pezzi Telaio]]</f>
        <v>#VALUE!</v>
      </c>
      <c r="N1061" t="e">
        <f>RigheOfferte[[#This Row],[nr.pezzi ora-unita]]</f>
        <v>#VALUE!</v>
      </c>
      <c r="O1061" t="e">
        <f>Tabella1[[#This Row],[superificie]]*Resa</f>
        <v>#VALUE!</v>
      </c>
      <c r="P1061" t="e">
        <f>Tabella1[[#This Row],[KgPezzo]]*Tabella1[[#This Row],[q.ta offerta]]</f>
        <v>#VALUE!</v>
      </c>
      <c r="Q1061" t="e">
        <f>RigheOfferte[[#This Row],[QtaProtez]]</f>
        <v>#VALUE!</v>
      </c>
      <c r="R1061" t="e">
        <f>RigheOfferte[[#This Row],[Tipo Protezione]]</f>
        <v>#VALUE!</v>
      </c>
    </row>
    <row r="1062" spans="1:18">
      <c r="A1062" t="e">
        <f>RigheOfferte[[#This Row],[Nprev]]</f>
        <v>#VALUE!</v>
      </c>
      <c r="B1062" t="e">
        <f>RigheOfferte[[#This Row],[Nriga]]</f>
        <v>#VALUE!</v>
      </c>
      <c r="C1062" t="e">
        <f>RigheOfferte[[#This Row],[Cliente]]</f>
        <v>#VALUE!</v>
      </c>
      <c r="D1062" t="e">
        <f>RigheOfferte[[#This Row],[sub_cliente]]</f>
        <v>#VALUE!</v>
      </c>
      <c r="E1062" t="e">
        <f>RigheOfferte[[#This Row],[cod.Art.]]</f>
        <v>#VALUE!</v>
      </c>
      <c r="F1062" t="e">
        <f>RigheOfferte[[#This Row],[Descrizione]]</f>
        <v>#VALUE!</v>
      </c>
      <c r="G1062" t="e">
        <f>RigheOfferte[[#This Row],[Q.ta'']]</f>
        <v>#VALUE!</v>
      </c>
      <c r="H1062" t="e">
        <f>RigheOfferte[[#This Row],[Lavorazione]]</f>
        <v>#VALUE!</v>
      </c>
      <c r="I1062" t="e">
        <f>RigheOfferte[[#This Row],[Colore]]</f>
        <v>#VALUE!</v>
      </c>
      <c r="J1062" t="e">
        <f>RigheOfferte[[#This Row],[Velocità]]</f>
        <v>#VALUE!</v>
      </c>
      <c r="K1062" t="e">
        <f>RigheOfferte[[#This Row],[Superf.pz Mq]]</f>
        <v>#VALUE!</v>
      </c>
      <c r="L1062" t="e">
        <f>RigheOfferte[[#This Row],[passo]]</f>
        <v>#VALUE!</v>
      </c>
      <c r="M1062" t="e">
        <f>RigheOfferte[[#This Row],[nr.pezzi Telaio]]</f>
        <v>#VALUE!</v>
      </c>
      <c r="N1062" t="e">
        <f>RigheOfferte[[#This Row],[nr.pezzi ora-unita]]</f>
        <v>#VALUE!</v>
      </c>
      <c r="O1062" t="e">
        <f>Tabella1[[#This Row],[superificie]]*Resa</f>
        <v>#VALUE!</v>
      </c>
      <c r="P1062" t="e">
        <f>Tabella1[[#This Row],[KgPezzo]]*Tabella1[[#This Row],[q.ta offerta]]</f>
        <v>#VALUE!</v>
      </c>
      <c r="Q1062" t="e">
        <f>RigheOfferte[[#This Row],[QtaProtez]]</f>
        <v>#VALUE!</v>
      </c>
      <c r="R1062" t="e">
        <f>RigheOfferte[[#This Row],[Tipo Protezione]]</f>
        <v>#VALUE!</v>
      </c>
    </row>
    <row r="1063" spans="1:18">
      <c r="A1063" t="e">
        <f>RigheOfferte[[#This Row],[Nprev]]</f>
        <v>#VALUE!</v>
      </c>
      <c r="B1063" t="e">
        <f>RigheOfferte[[#This Row],[Nriga]]</f>
        <v>#VALUE!</v>
      </c>
      <c r="C1063" t="e">
        <f>RigheOfferte[[#This Row],[Cliente]]</f>
        <v>#VALUE!</v>
      </c>
      <c r="D1063" t="e">
        <f>RigheOfferte[[#This Row],[sub_cliente]]</f>
        <v>#VALUE!</v>
      </c>
      <c r="E1063" t="e">
        <f>RigheOfferte[[#This Row],[cod.Art.]]</f>
        <v>#VALUE!</v>
      </c>
      <c r="F1063" t="e">
        <f>RigheOfferte[[#This Row],[Descrizione]]</f>
        <v>#VALUE!</v>
      </c>
      <c r="G1063" t="e">
        <f>RigheOfferte[[#This Row],[Q.ta'']]</f>
        <v>#VALUE!</v>
      </c>
      <c r="H1063" t="e">
        <f>RigheOfferte[[#This Row],[Lavorazione]]</f>
        <v>#VALUE!</v>
      </c>
      <c r="I1063" t="e">
        <f>RigheOfferte[[#This Row],[Colore]]</f>
        <v>#VALUE!</v>
      </c>
      <c r="J1063" t="e">
        <f>RigheOfferte[[#This Row],[Velocità]]</f>
        <v>#VALUE!</v>
      </c>
      <c r="K1063" t="e">
        <f>RigheOfferte[[#This Row],[Superf.pz Mq]]</f>
        <v>#VALUE!</v>
      </c>
      <c r="L1063" t="e">
        <f>RigheOfferte[[#This Row],[passo]]</f>
        <v>#VALUE!</v>
      </c>
      <c r="M1063" t="e">
        <f>RigheOfferte[[#This Row],[nr.pezzi Telaio]]</f>
        <v>#VALUE!</v>
      </c>
      <c r="N1063" t="e">
        <f>RigheOfferte[[#This Row],[nr.pezzi ora-unita]]</f>
        <v>#VALUE!</v>
      </c>
      <c r="O1063" t="e">
        <f>Tabella1[[#This Row],[superificie]]*Resa</f>
        <v>#VALUE!</v>
      </c>
      <c r="P1063" t="e">
        <f>Tabella1[[#This Row],[KgPezzo]]*Tabella1[[#This Row],[q.ta offerta]]</f>
        <v>#VALUE!</v>
      </c>
      <c r="Q1063" t="e">
        <f>RigheOfferte[[#This Row],[QtaProtez]]</f>
        <v>#VALUE!</v>
      </c>
      <c r="R1063" t="e">
        <f>RigheOfferte[[#This Row],[Tipo Protezione]]</f>
        <v>#VALUE!</v>
      </c>
    </row>
    <row r="1064" spans="1:18">
      <c r="A1064" t="e">
        <f>RigheOfferte[[#This Row],[Nprev]]</f>
        <v>#VALUE!</v>
      </c>
      <c r="B1064" t="e">
        <f>RigheOfferte[[#This Row],[Nriga]]</f>
        <v>#VALUE!</v>
      </c>
      <c r="C1064" t="e">
        <f>RigheOfferte[[#This Row],[Cliente]]</f>
        <v>#VALUE!</v>
      </c>
      <c r="D1064" t="e">
        <f>RigheOfferte[[#This Row],[sub_cliente]]</f>
        <v>#VALUE!</v>
      </c>
      <c r="E1064" t="e">
        <f>RigheOfferte[[#This Row],[cod.Art.]]</f>
        <v>#VALUE!</v>
      </c>
      <c r="F1064" t="e">
        <f>RigheOfferte[[#This Row],[Descrizione]]</f>
        <v>#VALUE!</v>
      </c>
      <c r="G1064" t="e">
        <f>RigheOfferte[[#This Row],[Q.ta'']]</f>
        <v>#VALUE!</v>
      </c>
      <c r="H1064" t="e">
        <f>RigheOfferte[[#This Row],[Lavorazione]]</f>
        <v>#VALUE!</v>
      </c>
      <c r="I1064" t="e">
        <f>RigheOfferte[[#This Row],[Colore]]</f>
        <v>#VALUE!</v>
      </c>
      <c r="J1064" t="e">
        <f>RigheOfferte[[#This Row],[Velocità]]</f>
        <v>#VALUE!</v>
      </c>
      <c r="K1064" t="e">
        <f>RigheOfferte[[#This Row],[Superf.pz Mq]]</f>
        <v>#VALUE!</v>
      </c>
      <c r="L1064" t="e">
        <f>RigheOfferte[[#This Row],[passo]]</f>
        <v>#VALUE!</v>
      </c>
      <c r="M1064" t="e">
        <f>RigheOfferte[[#This Row],[nr.pezzi Telaio]]</f>
        <v>#VALUE!</v>
      </c>
      <c r="N1064" t="e">
        <f>RigheOfferte[[#This Row],[nr.pezzi ora-unita]]</f>
        <v>#VALUE!</v>
      </c>
      <c r="O1064" t="e">
        <f>Tabella1[[#This Row],[superificie]]*Resa</f>
        <v>#VALUE!</v>
      </c>
      <c r="P1064" t="e">
        <f>Tabella1[[#This Row],[KgPezzo]]*Tabella1[[#This Row],[q.ta offerta]]</f>
        <v>#VALUE!</v>
      </c>
      <c r="Q1064" t="e">
        <f>RigheOfferte[[#This Row],[QtaProtez]]</f>
        <v>#VALUE!</v>
      </c>
      <c r="R1064" t="e">
        <f>RigheOfferte[[#This Row],[Tipo Protezione]]</f>
        <v>#VALUE!</v>
      </c>
    </row>
    <row r="1065" spans="1:18">
      <c r="A1065" t="e">
        <f>RigheOfferte[[#This Row],[Nprev]]</f>
        <v>#VALUE!</v>
      </c>
      <c r="B1065" t="e">
        <f>RigheOfferte[[#This Row],[Nriga]]</f>
        <v>#VALUE!</v>
      </c>
      <c r="C1065" t="e">
        <f>RigheOfferte[[#This Row],[Cliente]]</f>
        <v>#VALUE!</v>
      </c>
      <c r="D1065" t="e">
        <f>RigheOfferte[[#This Row],[sub_cliente]]</f>
        <v>#VALUE!</v>
      </c>
      <c r="E1065" t="e">
        <f>RigheOfferte[[#This Row],[cod.Art.]]</f>
        <v>#VALUE!</v>
      </c>
      <c r="F1065" t="e">
        <f>RigheOfferte[[#This Row],[Descrizione]]</f>
        <v>#VALUE!</v>
      </c>
      <c r="G1065" t="e">
        <f>RigheOfferte[[#This Row],[Q.ta'']]</f>
        <v>#VALUE!</v>
      </c>
      <c r="H1065" t="e">
        <f>RigheOfferte[[#This Row],[Lavorazione]]</f>
        <v>#VALUE!</v>
      </c>
      <c r="I1065" t="e">
        <f>RigheOfferte[[#This Row],[Colore]]</f>
        <v>#VALUE!</v>
      </c>
      <c r="J1065" t="e">
        <f>RigheOfferte[[#This Row],[Velocità]]</f>
        <v>#VALUE!</v>
      </c>
      <c r="K1065" t="e">
        <f>RigheOfferte[[#This Row],[Superf.pz Mq]]</f>
        <v>#VALUE!</v>
      </c>
      <c r="L1065" t="e">
        <f>RigheOfferte[[#This Row],[passo]]</f>
        <v>#VALUE!</v>
      </c>
      <c r="M1065" t="e">
        <f>RigheOfferte[[#This Row],[nr.pezzi Telaio]]</f>
        <v>#VALUE!</v>
      </c>
      <c r="N1065" t="e">
        <f>RigheOfferte[[#This Row],[nr.pezzi ora-unita]]</f>
        <v>#VALUE!</v>
      </c>
      <c r="O1065" t="e">
        <f>Tabella1[[#This Row],[superificie]]*Resa</f>
        <v>#VALUE!</v>
      </c>
      <c r="P1065" t="e">
        <f>Tabella1[[#This Row],[KgPezzo]]*Tabella1[[#This Row],[q.ta offerta]]</f>
        <v>#VALUE!</v>
      </c>
      <c r="Q1065" t="e">
        <f>RigheOfferte[[#This Row],[QtaProtez]]</f>
        <v>#VALUE!</v>
      </c>
      <c r="R1065" t="e">
        <f>RigheOfferte[[#This Row],[Tipo Protezione]]</f>
        <v>#VALUE!</v>
      </c>
    </row>
    <row r="1066" spans="1:18">
      <c r="A1066" t="e">
        <f>RigheOfferte[[#This Row],[Nprev]]</f>
        <v>#VALUE!</v>
      </c>
      <c r="B1066" t="e">
        <f>RigheOfferte[[#This Row],[Nriga]]</f>
        <v>#VALUE!</v>
      </c>
      <c r="C1066" t="e">
        <f>RigheOfferte[[#This Row],[Cliente]]</f>
        <v>#VALUE!</v>
      </c>
      <c r="D1066" t="e">
        <f>RigheOfferte[[#This Row],[sub_cliente]]</f>
        <v>#VALUE!</v>
      </c>
      <c r="E1066" t="e">
        <f>RigheOfferte[[#This Row],[cod.Art.]]</f>
        <v>#VALUE!</v>
      </c>
      <c r="F1066" t="e">
        <f>RigheOfferte[[#This Row],[Descrizione]]</f>
        <v>#VALUE!</v>
      </c>
      <c r="G1066" t="e">
        <f>RigheOfferte[[#This Row],[Q.ta'']]</f>
        <v>#VALUE!</v>
      </c>
      <c r="H1066" t="e">
        <f>RigheOfferte[[#This Row],[Lavorazione]]</f>
        <v>#VALUE!</v>
      </c>
      <c r="I1066" t="e">
        <f>RigheOfferte[[#This Row],[Colore]]</f>
        <v>#VALUE!</v>
      </c>
      <c r="J1066" t="e">
        <f>RigheOfferte[[#This Row],[Velocità]]</f>
        <v>#VALUE!</v>
      </c>
      <c r="K1066" t="e">
        <f>RigheOfferte[[#This Row],[Superf.pz Mq]]</f>
        <v>#VALUE!</v>
      </c>
      <c r="L1066" t="e">
        <f>RigheOfferte[[#This Row],[passo]]</f>
        <v>#VALUE!</v>
      </c>
      <c r="M1066" t="e">
        <f>RigheOfferte[[#This Row],[nr.pezzi Telaio]]</f>
        <v>#VALUE!</v>
      </c>
      <c r="N1066" t="e">
        <f>RigheOfferte[[#This Row],[nr.pezzi ora-unita]]</f>
        <v>#VALUE!</v>
      </c>
      <c r="O1066" t="e">
        <f>Tabella1[[#This Row],[superificie]]*Resa</f>
        <v>#VALUE!</v>
      </c>
      <c r="P1066" t="e">
        <f>Tabella1[[#This Row],[KgPezzo]]*Tabella1[[#This Row],[q.ta offerta]]</f>
        <v>#VALUE!</v>
      </c>
      <c r="Q1066" t="e">
        <f>RigheOfferte[[#This Row],[QtaProtez]]</f>
        <v>#VALUE!</v>
      </c>
      <c r="R1066" t="e">
        <f>RigheOfferte[[#This Row],[Tipo Protezione]]</f>
        <v>#VALUE!</v>
      </c>
    </row>
    <row r="1067" spans="1:18">
      <c r="A1067" t="e">
        <f>RigheOfferte[[#This Row],[Nprev]]</f>
        <v>#VALUE!</v>
      </c>
      <c r="B1067" t="e">
        <f>RigheOfferte[[#This Row],[Nriga]]</f>
        <v>#VALUE!</v>
      </c>
      <c r="C1067" t="e">
        <f>RigheOfferte[[#This Row],[Cliente]]</f>
        <v>#VALUE!</v>
      </c>
      <c r="D1067" t="e">
        <f>RigheOfferte[[#This Row],[sub_cliente]]</f>
        <v>#VALUE!</v>
      </c>
      <c r="E1067" t="e">
        <f>RigheOfferte[[#This Row],[cod.Art.]]</f>
        <v>#VALUE!</v>
      </c>
      <c r="F1067" t="e">
        <f>RigheOfferte[[#This Row],[Descrizione]]</f>
        <v>#VALUE!</v>
      </c>
      <c r="G1067" t="e">
        <f>RigheOfferte[[#This Row],[Q.ta'']]</f>
        <v>#VALUE!</v>
      </c>
      <c r="H1067" t="e">
        <f>RigheOfferte[[#This Row],[Lavorazione]]</f>
        <v>#VALUE!</v>
      </c>
      <c r="I1067" t="e">
        <f>RigheOfferte[[#This Row],[Colore]]</f>
        <v>#VALUE!</v>
      </c>
      <c r="J1067" t="e">
        <f>RigheOfferte[[#This Row],[Velocità]]</f>
        <v>#VALUE!</v>
      </c>
      <c r="K1067" t="e">
        <f>RigheOfferte[[#This Row],[Superf.pz Mq]]</f>
        <v>#VALUE!</v>
      </c>
      <c r="L1067" t="e">
        <f>RigheOfferte[[#This Row],[passo]]</f>
        <v>#VALUE!</v>
      </c>
      <c r="M1067" t="e">
        <f>RigheOfferte[[#This Row],[nr.pezzi Telaio]]</f>
        <v>#VALUE!</v>
      </c>
      <c r="N1067" t="e">
        <f>RigheOfferte[[#This Row],[nr.pezzi ora-unita]]</f>
        <v>#VALUE!</v>
      </c>
      <c r="O1067" t="e">
        <f>Tabella1[[#This Row],[superificie]]*Resa</f>
        <v>#VALUE!</v>
      </c>
      <c r="P1067" t="e">
        <f>Tabella1[[#This Row],[KgPezzo]]*Tabella1[[#This Row],[q.ta offerta]]</f>
        <v>#VALUE!</v>
      </c>
      <c r="Q1067" t="e">
        <f>RigheOfferte[[#This Row],[QtaProtez]]</f>
        <v>#VALUE!</v>
      </c>
      <c r="R1067" t="e">
        <f>RigheOfferte[[#This Row],[Tipo Protezione]]</f>
        <v>#VALUE!</v>
      </c>
    </row>
    <row r="1068" spans="1:18">
      <c r="A1068" t="e">
        <f>RigheOfferte[[#This Row],[Nprev]]</f>
        <v>#VALUE!</v>
      </c>
      <c r="B1068" t="e">
        <f>RigheOfferte[[#This Row],[Nriga]]</f>
        <v>#VALUE!</v>
      </c>
      <c r="C1068" t="e">
        <f>RigheOfferte[[#This Row],[Cliente]]</f>
        <v>#VALUE!</v>
      </c>
      <c r="D1068" t="e">
        <f>RigheOfferte[[#This Row],[sub_cliente]]</f>
        <v>#VALUE!</v>
      </c>
      <c r="E1068" t="e">
        <f>RigheOfferte[[#This Row],[cod.Art.]]</f>
        <v>#VALUE!</v>
      </c>
      <c r="F1068" t="e">
        <f>RigheOfferte[[#This Row],[Descrizione]]</f>
        <v>#VALUE!</v>
      </c>
      <c r="G1068" t="e">
        <f>RigheOfferte[[#This Row],[Q.ta'']]</f>
        <v>#VALUE!</v>
      </c>
      <c r="H1068" t="e">
        <f>RigheOfferte[[#This Row],[Lavorazione]]</f>
        <v>#VALUE!</v>
      </c>
      <c r="I1068" t="e">
        <f>RigheOfferte[[#This Row],[Colore]]</f>
        <v>#VALUE!</v>
      </c>
      <c r="J1068" t="e">
        <f>RigheOfferte[[#This Row],[Velocità]]</f>
        <v>#VALUE!</v>
      </c>
      <c r="K1068" t="e">
        <f>RigheOfferte[[#This Row],[Superf.pz Mq]]</f>
        <v>#VALUE!</v>
      </c>
      <c r="L1068" t="e">
        <f>RigheOfferte[[#This Row],[passo]]</f>
        <v>#VALUE!</v>
      </c>
      <c r="M1068" t="e">
        <f>RigheOfferte[[#This Row],[nr.pezzi Telaio]]</f>
        <v>#VALUE!</v>
      </c>
      <c r="N1068" t="e">
        <f>RigheOfferte[[#This Row],[nr.pezzi ora-unita]]</f>
        <v>#VALUE!</v>
      </c>
      <c r="O1068" t="e">
        <f>Tabella1[[#This Row],[superificie]]*Resa</f>
        <v>#VALUE!</v>
      </c>
      <c r="P1068" t="e">
        <f>Tabella1[[#This Row],[KgPezzo]]*Tabella1[[#This Row],[q.ta offerta]]</f>
        <v>#VALUE!</v>
      </c>
      <c r="Q1068" t="e">
        <f>RigheOfferte[[#This Row],[QtaProtez]]</f>
        <v>#VALUE!</v>
      </c>
      <c r="R1068" t="e">
        <f>RigheOfferte[[#This Row],[Tipo Protezione]]</f>
        <v>#VALUE!</v>
      </c>
    </row>
    <row r="1069" spans="1:18">
      <c r="A1069" t="e">
        <f>RigheOfferte[[#This Row],[Nprev]]</f>
        <v>#VALUE!</v>
      </c>
      <c r="B1069" t="e">
        <f>RigheOfferte[[#This Row],[Nriga]]</f>
        <v>#VALUE!</v>
      </c>
      <c r="C1069" t="e">
        <f>RigheOfferte[[#This Row],[Cliente]]</f>
        <v>#VALUE!</v>
      </c>
      <c r="D1069" t="e">
        <f>RigheOfferte[[#This Row],[sub_cliente]]</f>
        <v>#VALUE!</v>
      </c>
      <c r="E1069" t="e">
        <f>RigheOfferte[[#This Row],[cod.Art.]]</f>
        <v>#VALUE!</v>
      </c>
      <c r="F1069" t="e">
        <f>RigheOfferte[[#This Row],[Descrizione]]</f>
        <v>#VALUE!</v>
      </c>
      <c r="G1069" t="e">
        <f>RigheOfferte[[#This Row],[Q.ta'']]</f>
        <v>#VALUE!</v>
      </c>
      <c r="H1069" t="e">
        <f>RigheOfferte[[#This Row],[Lavorazione]]</f>
        <v>#VALUE!</v>
      </c>
      <c r="I1069" t="e">
        <f>RigheOfferte[[#This Row],[Colore]]</f>
        <v>#VALUE!</v>
      </c>
      <c r="J1069" t="e">
        <f>RigheOfferte[[#This Row],[Velocità]]</f>
        <v>#VALUE!</v>
      </c>
      <c r="K1069" t="e">
        <f>RigheOfferte[[#This Row],[Superf.pz Mq]]</f>
        <v>#VALUE!</v>
      </c>
      <c r="L1069" t="e">
        <f>RigheOfferte[[#This Row],[passo]]</f>
        <v>#VALUE!</v>
      </c>
      <c r="M1069" t="e">
        <f>RigheOfferte[[#This Row],[nr.pezzi Telaio]]</f>
        <v>#VALUE!</v>
      </c>
      <c r="N1069" t="e">
        <f>RigheOfferte[[#This Row],[nr.pezzi ora-unita]]</f>
        <v>#VALUE!</v>
      </c>
      <c r="O1069" t="e">
        <f>Tabella1[[#This Row],[superificie]]*Resa</f>
        <v>#VALUE!</v>
      </c>
      <c r="P1069" t="e">
        <f>Tabella1[[#This Row],[KgPezzo]]*Tabella1[[#This Row],[q.ta offerta]]</f>
        <v>#VALUE!</v>
      </c>
      <c r="Q1069" t="e">
        <f>RigheOfferte[[#This Row],[QtaProtez]]</f>
        <v>#VALUE!</v>
      </c>
      <c r="R1069" t="e">
        <f>RigheOfferte[[#This Row],[Tipo Protezione]]</f>
        <v>#VALUE!</v>
      </c>
    </row>
    <row r="1070" spans="1:18">
      <c r="A1070" t="e">
        <f>RigheOfferte[[#This Row],[Nprev]]</f>
        <v>#VALUE!</v>
      </c>
      <c r="B1070" t="e">
        <f>RigheOfferte[[#This Row],[Nriga]]</f>
        <v>#VALUE!</v>
      </c>
      <c r="C1070" t="e">
        <f>RigheOfferte[[#This Row],[Cliente]]</f>
        <v>#VALUE!</v>
      </c>
      <c r="D1070" t="e">
        <f>RigheOfferte[[#This Row],[sub_cliente]]</f>
        <v>#VALUE!</v>
      </c>
      <c r="E1070" t="e">
        <f>RigheOfferte[[#This Row],[cod.Art.]]</f>
        <v>#VALUE!</v>
      </c>
      <c r="F1070" t="e">
        <f>RigheOfferte[[#This Row],[Descrizione]]</f>
        <v>#VALUE!</v>
      </c>
      <c r="G1070" t="e">
        <f>RigheOfferte[[#This Row],[Q.ta'']]</f>
        <v>#VALUE!</v>
      </c>
      <c r="H1070" t="e">
        <f>RigheOfferte[[#This Row],[Lavorazione]]</f>
        <v>#VALUE!</v>
      </c>
      <c r="I1070" t="e">
        <f>RigheOfferte[[#This Row],[Colore]]</f>
        <v>#VALUE!</v>
      </c>
      <c r="J1070" t="e">
        <f>RigheOfferte[[#This Row],[Velocità]]</f>
        <v>#VALUE!</v>
      </c>
      <c r="K1070" t="e">
        <f>RigheOfferte[[#This Row],[Superf.pz Mq]]</f>
        <v>#VALUE!</v>
      </c>
      <c r="L1070" t="e">
        <f>RigheOfferte[[#This Row],[passo]]</f>
        <v>#VALUE!</v>
      </c>
      <c r="M1070" t="e">
        <f>RigheOfferte[[#This Row],[nr.pezzi Telaio]]</f>
        <v>#VALUE!</v>
      </c>
      <c r="N1070" t="e">
        <f>RigheOfferte[[#This Row],[nr.pezzi ora-unita]]</f>
        <v>#VALUE!</v>
      </c>
      <c r="O1070" t="e">
        <f>Tabella1[[#This Row],[superificie]]*Resa</f>
        <v>#VALUE!</v>
      </c>
      <c r="P1070" t="e">
        <f>Tabella1[[#This Row],[KgPezzo]]*Tabella1[[#This Row],[q.ta offerta]]</f>
        <v>#VALUE!</v>
      </c>
      <c r="Q1070" t="e">
        <f>RigheOfferte[[#This Row],[QtaProtez]]</f>
        <v>#VALUE!</v>
      </c>
      <c r="R1070" t="e">
        <f>RigheOfferte[[#This Row],[Tipo Protezione]]</f>
        <v>#VALUE!</v>
      </c>
    </row>
    <row r="1071" spans="1:18">
      <c r="A1071" t="e">
        <f>RigheOfferte[[#This Row],[Nprev]]</f>
        <v>#VALUE!</v>
      </c>
      <c r="B1071" t="e">
        <f>RigheOfferte[[#This Row],[Nriga]]</f>
        <v>#VALUE!</v>
      </c>
      <c r="C1071" t="e">
        <f>RigheOfferte[[#This Row],[Cliente]]</f>
        <v>#VALUE!</v>
      </c>
      <c r="D1071" t="e">
        <f>RigheOfferte[[#This Row],[sub_cliente]]</f>
        <v>#VALUE!</v>
      </c>
      <c r="E1071" t="e">
        <f>RigheOfferte[[#This Row],[cod.Art.]]</f>
        <v>#VALUE!</v>
      </c>
      <c r="F1071" t="e">
        <f>RigheOfferte[[#This Row],[Descrizione]]</f>
        <v>#VALUE!</v>
      </c>
      <c r="G1071" t="e">
        <f>RigheOfferte[[#This Row],[Q.ta'']]</f>
        <v>#VALUE!</v>
      </c>
      <c r="H1071" t="e">
        <f>RigheOfferte[[#This Row],[Lavorazione]]</f>
        <v>#VALUE!</v>
      </c>
      <c r="I1071" t="e">
        <f>RigheOfferte[[#This Row],[Colore]]</f>
        <v>#VALUE!</v>
      </c>
      <c r="J1071" t="e">
        <f>RigheOfferte[[#This Row],[Velocità]]</f>
        <v>#VALUE!</v>
      </c>
      <c r="K1071" t="e">
        <f>RigheOfferte[[#This Row],[Superf.pz Mq]]</f>
        <v>#VALUE!</v>
      </c>
      <c r="L1071" t="e">
        <f>RigheOfferte[[#This Row],[passo]]</f>
        <v>#VALUE!</v>
      </c>
      <c r="M1071" t="e">
        <f>RigheOfferte[[#This Row],[nr.pezzi Telaio]]</f>
        <v>#VALUE!</v>
      </c>
      <c r="N1071" t="e">
        <f>RigheOfferte[[#This Row],[nr.pezzi ora-unita]]</f>
        <v>#VALUE!</v>
      </c>
      <c r="O1071" t="e">
        <f>Tabella1[[#This Row],[superificie]]*Resa</f>
        <v>#VALUE!</v>
      </c>
      <c r="P1071" t="e">
        <f>Tabella1[[#This Row],[KgPezzo]]*Tabella1[[#This Row],[q.ta offerta]]</f>
        <v>#VALUE!</v>
      </c>
      <c r="Q1071" t="e">
        <f>RigheOfferte[[#This Row],[QtaProtez]]</f>
        <v>#VALUE!</v>
      </c>
      <c r="R1071" t="e">
        <f>RigheOfferte[[#This Row],[Tipo Protezione]]</f>
        <v>#VALUE!</v>
      </c>
    </row>
    <row r="1072" spans="1:18">
      <c r="A1072" t="e">
        <f>RigheOfferte[[#This Row],[Nprev]]</f>
        <v>#VALUE!</v>
      </c>
      <c r="B1072" t="e">
        <f>RigheOfferte[[#This Row],[Nriga]]</f>
        <v>#VALUE!</v>
      </c>
      <c r="C1072" t="e">
        <f>RigheOfferte[[#This Row],[Cliente]]</f>
        <v>#VALUE!</v>
      </c>
      <c r="D1072" t="e">
        <f>RigheOfferte[[#This Row],[sub_cliente]]</f>
        <v>#VALUE!</v>
      </c>
      <c r="E1072" t="e">
        <f>RigheOfferte[[#This Row],[cod.Art.]]</f>
        <v>#VALUE!</v>
      </c>
      <c r="F1072" t="e">
        <f>RigheOfferte[[#This Row],[Descrizione]]</f>
        <v>#VALUE!</v>
      </c>
      <c r="G1072" t="e">
        <f>RigheOfferte[[#This Row],[Q.ta'']]</f>
        <v>#VALUE!</v>
      </c>
      <c r="H1072" t="e">
        <f>RigheOfferte[[#This Row],[Lavorazione]]</f>
        <v>#VALUE!</v>
      </c>
      <c r="I1072" t="e">
        <f>RigheOfferte[[#This Row],[Colore]]</f>
        <v>#VALUE!</v>
      </c>
      <c r="J1072" t="e">
        <f>RigheOfferte[[#This Row],[Velocità]]</f>
        <v>#VALUE!</v>
      </c>
      <c r="K1072" t="e">
        <f>RigheOfferte[[#This Row],[Superf.pz Mq]]</f>
        <v>#VALUE!</v>
      </c>
      <c r="L1072" t="e">
        <f>RigheOfferte[[#This Row],[passo]]</f>
        <v>#VALUE!</v>
      </c>
      <c r="M1072" t="e">
        <f>RigheOfferte[[#This Row],[nr.pezzi Telaio]]</f>
        <v>#VALUE!</v>
      </c>
      <c r="N1072" t="e">
        <f>RigheOfferte[[#This Row],[nr.pezzi ora-unita]]</f>
        <v>#VALUE!</v>
      </c>
      <c r="O1072" t="e">
        <f>Tabella1[[#This Row],[superificie]]*Resa</f>
        <v>#VALUE!</v>
      </c>
      <c r="P1072" t="e">
        <f>Tabella1[[#This Row],[KgPezzo]]*Tabella1[[#This Row],[q.ta offerta]]</f>
        <v>#VALUE!</v>
      </c>
      <c r="Q1072" t="e">
        <f>RigheOfferte[[#This Row],[QtaProtez]]</f>
        <v>#VALUE!</v>
      </c>
      <c r="R1072" t="e">
        <f>RigheOfferte[[#This Row],[Tipo Protezione]]</f>
        <v>#VALUE!</v>
      </c>
    </row>
    <row r="1073" spans="1:18">
      <c r="A1073" t="e">
        <f>RigheOfferte[[#This Row],[Nprev]]</f>
        <v>#VALUE!</v>
      </c>
      <c r="B1073" t="e">
        <f>RigheOfferte[[#This Row],[Nriga]]</f>
        <v>#VALUE!</v>
      </c>
      <c r="C1073" t="e">
        <f>RigheOfferte[[#This Row],[Cliente]]</f>
        <v>#VALUE!</v>
      </c>
      <c r="D1073" t="e">
        <f>RigheOfferte[[#This Row],[sub_cliente]]</f>
        <v>#VALUE!</v>
      </c>
      <c r="E1073" t="e">
        <f>RigheOfferte[[#This Row],[cod.Art.]]</f>
        <v>#VALUE!</v>
      </c>
      <c r="F1073" t="e">
        <f>RigheOfferte[[#This Row],[Descrizione]]</f>
        <v>#VALUE!</v>
      </c>
      <c r="G1073" t="e">
        <f>RigheOfferte[[#This Row],[Q.ta'']]</f>
        <v>#VALUE!</v>
      </c>
      <c r="H1073" t="e">
        <f>RigheOfferte[[#This Row],[Lavorazione]]</f>
        <v>#VALUE!</v>
      </c>
      <c r="I1073" t="e">
        <f>RigheOfferte[[#This Row],[Colore]]</f>
        <v>#VALUE!</v>
      </c>
      <c r="J1073" t="e">
        <f>RigheOfferte[[#This Row],[Velocità]]</f>
        <v>#VALUE!</v>
      </c>
      <c r="K1073" t="e">
        <f>RigheOfferte[[#This Row],[Superf.pz Mq]]</f>
        <v>#VALUE!</v>
      </c>
      <c r="L1073" t="e">
        <f>RigheOfferte[[#This Row],[passo]]</f>
        <v>#VALUE!</v>
      </c>
      <c r="M1073" t="e">
        <f>RigheOfferte[[#This Row],[nr.pezzi Telaio]]</f>
        <v>#VALUE!</v>
      </c>
      <c r="N1073" t="e">
        <f>RigheOfferte[[#This Row],[nr.pezzi ora-unita]]</f>
        <v>#VALUE!</v>
      </c>
      <c r="O1073" t="e">
        <f>Tabella1[[#This Row],[superificie]]*Resa</f>
        <v>#VALUE!</v>
      </c>
      <c r="P1073" t="e">
        <f>Tabella1[[#This Row],[KgPezzo]]*Tabella1[[#This Row],[q.ta offerta]]</f>
        <v>#VALUE!</v>
      </c>
      <c r="Q1073" t="e">
        <f>RigheOfferte[[#This Row],[QtaProtez]]</f>
        <v>#VALUE!</v>
      </c>
      <c r="R1073" t="e">
        <f>RigheOfferte[[#This Row],[Tipo Protezione]]</f>
        <v>#VALUE!</v>
      </c>
    </row>
    <row r="1074" spans="1:18">
      <c r="A1074" t="e">
        <f>RigheOfferte[[#This Row],[Nprev]]</f>
        <v>#VALUE!</v>
      </c>
      <c r="B1074" t="e">
        <f>RigheOfferte[[#This Row],[Nriga]]</f>
        <v>#VALUE!</v>
      </c>
      <c r="C1074" t="e">
        <f>RigheOfferte[[#This Row],[Cliente]]</f>
        <v>#VALUE!</v>
      </c>
      <c r="D1074" t="e">
        <f>RigheOfferte[[#This Row],[sub_cliente]]</f>
        <v>#VALUE!</v>
      </c>
      <c r="E1074" t="e">
        <f>RigheOfferte[[#This Row],[cod.Art.]]</f>
        <v>#VALUE!</v>
      </c>
      <c r="F1074" t="e">
        <f>RigheOfferte[[#This Row],[Descrizione]]</f>
        <v>#VALUE!</v>
      </c>
      <c r="G1074" t="e">
        <f>RigheOfferte[[#This Row],[Q.ta'']]</f>
        <v>#VALUE!</v>
      </c>
      <c r="H1074" t="e">
        <f>RigheOfferte[[#This Row],[Lavorazione]]</f>
        <v>#VALUE!</v>
      </c>
      <c r="I1074" t="e">
        <f>RigheOfferte[[#This Row],[Colore]]</f>
        <v>#VALUE!</v>
      </c>
      <c r="J1074" t="e">
        <f>RigheOfferte[[#This Row],[Velocità]]</f>
        <v>#VALUE!</v>
      </c>
      <c r="K1074" t="e">
        <f>RigheOfferte[[#This Row],[Superf.pz Mq]]</f>
        <v>#VALUE!</v>
      </c>
      <c r="L1074" t="e">
        <f>RigheOfferte[[#This Row],[passo]]</f>
        <v>#VALUE!</v>
      </c>
      <c r="M1074" t="e">
        <f>RigheOfferte[[#This Row],[nr.pezzi Telaio]]</f>
        <v>#VALUE!</v>
      </c>
      <c r="N1074" t="e">
        <f>RigheOfferte[[#This Row],[nr.pezzi ora-unita]]</f>
        <v>#VALUE!</v>
      </c>
      <c r="O1074" t="e">
        <f>Tabella1[[#This Row],[superificie]]*Resa</f>
        <v>#VALUE!</v>
      </c>
      <c r="P1074" t="e">
        <f>Tabella1[[#This Row],[KgPezzo]]*Tabella1[[#This Row],[q.ta offerta]]</f>
        <v>#VALUE!</v>
      </c>
      <c r="Q1074" t="e">
        <f>RigheOfferte[[#This Row],[QtaProtez]]</f>
        <v>#VALUE!</v>
      </c>
      <c r="R1074" t="e">
        <f>RigheOfferte[[#This Row],[Tipo Protezione]]</f>
        <v>#VALUE!</v>
      </c>
    </row>
    <row r="1075" spans="1:18">
      <c r="A1075" t="e">
        <f>RigheOfferte[[#This Row],[Nprev]]</f>
        <v>#VALUE!</v>
      </c>
      <c r="B1075" t="e">
        <f>RigheOfferte[[#This Row],[Nriga]]</f>
        <v>#VALUE!</v>
      </c>
      <c r="C1075" t="e">
        <f>RigheOfferte[[#This Row],[Cliente]]</f>
        <v>#VALUE!</v>
      </c>
      <c r="D1075" t="e">
        <f>RigheOfferte[[#This Row],[sub_cliente]]</f>
        <v>#VALUE!</v>
      </c>
      <c r="E1075" t="e">
        <f>RigheOfferte[[#This Row],[cod.Art.]]</f>
        <v>#VALUE!</v>
      </c>
      <c r="F1075" t="e">
        <f>RigheOfferte[[#This Row],[Descrizione]]</f>
        <v>#VALUE!</v>
      </c>
      <c r="G1075" t="e">
        <f>RigheOfferte[[#This Row],[Q.ta'']]</f>
        <v>#VALUE!</v>
      </c>
      <c r="H1075" t="e">
        <f>RigheOfferte[[#This Row],[Lavorazione]]</f>
        <v>#VALUE!</v>
      </c>
      <c r="I1075" t="e">
        <f>RigheOfferte[[#This Row],[Colore]]</f>
        <v>#VALUE!</v>
      </c>
      <c r="J1075" t="e">
        <f>RigheOfferte[[#This Row],[Velocità]]</f>
        <v>#VALUE!</v>
      </c>
      <c r="K1075" t="e">
        <f>RigheOfferte[[#This Row],[Superf.pz Mq]]</f>
        <v>#VALUE!</v>
      </c>
      <c r="L1075" t="e">
        <f>RigheOfferte[[#This Row],[passo]]</f>
        <v>#VALUE!</v>
      </c>
      <c r="M1075" t="e">
        <f>RigheOfferte[[#This Row],[nr.pezzi Telaio]]</f>
        <v>#VALUE!</v>
      </c>
      <c r="N1075" t="e">
        <f>RigheOfferte[[#This Row],[nr.pezzi ora-unita]]</f>
        <v>#VALUE!</v>
      </c>
      <c r="O1075" t="e">
        <f>Tabella1[[#This Row],[superificie]]*Resa</f>
        <v>#VALUE!</v>
      </c>
      <c r="P1075" t="e">
        <f>Tabella1[[#This Row],[KgPezzo]]*Tabella1[[#This Row],[q.ta offerta]]</f>
        <v>#VALUE!</v>
      </c>
      <c r="Q1075" t="e">
        <f>RigheOfferte[[#This Row],[QtaProtez]]</f>
        <v>#VALUE!</v>
      </c>
      <c r="R1075" t="e">
        <f>RigheOfferte[[#This Row],[Tipo Protezione]]</f>
        <v>#VALUE!</v>
      </c>
    </row>
    <row r="1076" spans="1:18">
      <c r="A1076" t="e">
        <f>RigheOfferte[[#This Row],[Nprev]]</f>
        <v>#VALUE!</v>
      </c>
      <c r="B1076" t="e">
        <f>RigheOfferte[[#This Row],[Nriga]]</f>
        <v>#VALUE!</v>
      </c>
      <c r="C1076" t="e">
        <f>RigheOfferte[[#This Row],[Cliente]]</f>
        <v>#VALUE!</v>
      </c>
      <c r="D1076" t="e">
        <f>RigheOfferte[[#This Row],[sub_cliente]]</f>
        <v>#VALUE!</v>
      </c>
      <c r="E1076" t="e">
        <f>RigheOfferte[[#This Row],[cod.Art.]]</f>
        <v>#VALUE!</v>
      </c>
      <c r="F1076" t="e">
        <f>RigheOfferte[[#This Row],[Descrizione]]</f>
        <v>#VALUE!</v>
      </c>
      <c r="G1076" t="e">
        <f>RigheOfferte[[#This Row],[Q.ta'']]</f>
        <v>#VALUE!</v>
      </c>
      <c r="H1076" t="e">
        <f>RigheOfferte[[#This Row],[Lavorazione]]</f>
        <v>#VALUE!</v>
      </c>
      <c r="I1076" t="e">
        <f>RigheOfferte[[#This Row],[Colore]]</f>
        <v>#VALUE!</v>
      </c>
      <c r="J1076" t="e">
        <f>RigheOfferte[[#This Row],[Velocità]]</f>
        <v>#VALUE!</v>
      </c>
      <c r="K1076" t="e">
        <f>RigheOfferte[[#This Row],[Superf.pz Mq]]</f>
        <v>#VALUE!</v>
      </c>
      <c r="L1076" t="e">
        <f>RigheOfferte[[#This Row],[passo]]</f>
        <v>#VALUE!</v>
      </c>
      <c r="M1076" t="e">
        <f>RigheOfferte[[#This Row],[nr.pezzi Telaio]]</f>
        <v>#VALUE!</v>
      </c>
      <c r="N1076" t="e">
        <f>RigheOfferte[[#This Row],[nr.pezzi ora-unita]]</f>
        <v>#VALUE!</v>
      </c>
      <c r="O1076" t="e">
        <f>Tabella1[[#This Row],[superificie]]*Resa</f>
        <v>#VALUE!</v>
      </c>
      <c r="P1076" t="e">
        <f>Tabella1[[#This Row],[KgPezzo]]*Tabella1[[#This Row],[q.ta offerta]]</f>
        <v>#VALUE!</v>
      </c>
      <c r="Q1076" t="e">
        <f>RigheOfferte[[#This Row],[QtaProtez]]</f>
        <v>#VALUE!</v>
      </c>
      <c r="R1076" t="e">
        <f>RigheOfferte[[#This Row],[Tipo Protezione]]</f>
        <v>#VALUE!</v>
      </c>
    </row>
    <row r="1077" spans="1:18">
      <c r="A1077" t="e">
        <f>RigheOfferte[[#This Row],[Nprev]]</f>
        <v>#VALUE!</v>
      </c>
      <c r="B1077" t="e">
        <f>RigheOfferte[[#This Row],[Nriga]]</f>
        <v>#VALUE!</v>
      </c>
      <c r="C1077" t="e">
        <f>RigheOfferte[[#This Row],[Cliente]]</f>
        <v>#VALUE!</v>
      </c>
      <c r="D1077" t="e">
        <f>RigheOfferte[[#This Row],[sub_cliente]]</f>
        <v>#VALUE!</v>
      </c>
      <c r="E1077" t="e">
        <f>RigheOfferte[[#This Row],[cod.Art.]]</f>
        <v>#VALUE!</v>
      </c>
      <c r="F1077" t="e">
        <f>RigheOfferte[[#This Row],[Descrizione]]</f>
        <v>#VALUE!</v>
      </c>
      <c r="G1077" t="e">
        <f>RigheOfferte[[#This Row],[Q.ta'']]</f>
        <v>#VALUE!</v>
      </c>
      <c r="H1077" t="e">
        <f>RigheOfferte[[#This Row],[Lavorazione]]</f>
        <v>#VALUE!</v>
      </c>
      <c r="I1077" t="e">
        <f>RigheOfferte[[#This Row],[Colore]]</f>
        <v>#VALUE!</v>
      </c>
      <c r="J1077" t="e">
        <f>RigheOfferte[[#This Row],[Velocità]]</f>
        <v>#VALUE!</v>
      </c>
      <c r="K1077" t="e">
        <f>RigheOfferte[[#This Row],[Superf.pz Mq]]</f>
        <v>#VALUE!</v>
      </c>
      <c r="L1077" t="e">
        <f>RigheOfferte[[#This Row],[passo]]</f>
        <v>#VALUE!</v>
      </c>
      <c r="M1077" t="e">
        <f>RigheOfferte[[#This Row],[nr.pezzi Telaio]]</f>
        <v>#VALUE!</v>
      </c>
      <c r="N1077" t="e">
        <f>RigheOfferte[[#This Row],[nr.pezzi ora-unita]]</f>
        <v>#VALUE!</v>
      </c>
      <c r="O1077" t="e">
        <f>Tabella1[[#This Row],[superificie]]*Resa</f>
        <v>#VALUE!</v>
      </c>
      <c r="P1077" t="e">
        <f>Tabella1[[#This Row],[KgPezzo]]*Tabella1[[#This Row],[q.ta offerta]]</f>
        <v>#VALUE!</v>
      </c>
      <c r="Q1077" t="e">
        <f>RigheOfferte[[#This Row],[QtaProtez]]</f>
        <v>#VALUE!</v>
      </c>
      <c r="R1077" t="e">
        <f>RigheOfferte[[#This Row],[Tipo Protezione]]</f>
        <v>#VALUE!</v>
      </c>
    </row>
    <row r="1078" spans="1:18">
      <c r="A1078" t="e">
        <f>RigheOfferte[[#This Row],[Nprev]]</f>
        <v>#VALUE!</v>
      </c>
      <c r="B1078" t="e">
        <f>RigheOfferte[[#This Row],[Nriga]]</f>
        <v>#VALUE!</v>
      </c>
      <c r="C1078" t="e">
        <f>RigheOfferte[[#This Row],[Cliente]]</f>
        <v>#VALUE!</v>
      </c>
      <c r="D1078" t="e">
        <f>RigheOfferte[[#This Row],[sub_cliente]]</f>
        <v>#VALUE!</v>
      </c>
      <c r="E1078" t="e">
        <f>RigheOfferte[[#This Row],[cod.Art.]]</f>
        <v>#VALUE!</v>
      </c>
      <c r="F1078" t="e">
        <f>RigheOfferte[[#This Row],[Descrizione]]</f>
        <v>#VALUE!</v>
      </c>
      <c r="G1078" t="e">
        <f>RigheOfferte[[#This Row],[Q.ta'']]</f>
        <v>#VALUE!</v>
      </c>
      <c r="H1078" t="e">
        <f>RigheOfferte[[#This Row],[Lavorazione]]</f>
        <v>#VALUE!</v>
      </c>
      <c r="I1078" t="e">
        <f>RigheOfferte[[#This Row],[Colore]]</f>
        <v>#VALUE!</v>
      </c>
      <c r="J1078" t="e">
        <f>RigheOfferte[[#This Row],[Velocità]]</f>
        <v>#VALUE!</v>
      </c>
      <c r="K1078" t="e">
        <f>RigheOfferte[[#This Row],[Superf.pz Mq]]</f>
        <v>#VALUE!</v>
      </c>
      <c r="L1078" t="e">
        <f>RigheOfferte[[#This Row],[passo]]</f>
        <v>#VALUE!</v>
      </c>
      <c r="M1078" t="e">
        <f>RigheOfferte[[#This Row],[nr.pezzi Telaio]]</f>
        <v>#VALUE!</v>
      </c>
      <c r="N1078" t="e">
        <f>RigheOfferte[[#This Row],[nr.pezzi ora-unita]]</f>
        <v>#VALUE!</v>
      </c>
      <c r="O1078" t="e">
        <f>Tabella1[[#This Row],[superificie]]*Resa</f>
        <v>#VALUE!</v>
      </c>
      <c r="P1078" t="e">
        <f>Tabella1[[#This Row],[KgPezzo]]*Tabella1[[#This Row],[q.ta offerta]]</f>
        <v>#VALUE!</v>
      </c>
      <c r="Q1078" t="e">
        <f>RigheOfferte[[#This Row],[QtaProtez]]</f>
        <v>#VALUE!</v>
      </c>
      <c r="R1078" t="e">
        <f>RigheOfferte[[#This Row],[Tipo Protezione]]</f>
        <v>#VALUE!</v>
      </c>
    </row>
    <row r="1079" spans="1:18">
      <c r="A1079" t="e">
        <f>RigheOfferte[[#This Row],[Nprev]]</f>
        <v>#VALUE!</v>
      </c>
      <c r="B1079" t="e">
        <f>RigheOfferte[[#This Row],[Nriga]]</f>
        <v>#VALUE!</v>
      </c>
      <c r="C1079" t="e">
        <f>RigheOfferte[[#This Row],[Cliente]]</f>
        <v>#VALUE!</v>
      </c>
      <c r="D1079" t="e">
        <f>RigheOfferte[[#This Row],[sub_cliente]]</f>
        <v>#VALUE!</v>
      </c>
      <c r="E1079" t="e">
        <f>RigheOfferte[[#This Row],[cod.Art.]]</f>
        <v>#VALUE!</v>
      </c>
      <c r="F1079" t="e">
        <f>RigheOfferte[[#This Row],[Descrizione]]</f>
        <v>#VALUE!</v>
      </c>
      <c r="G1079" t="e">
        <f>RigheOfferte[[#This Row],[Q.ta'']]</f>
        <v>#VALUE!</v>
      </c>
      <c r="H1079" t="e">
        <f>RigheOfferte[[#This Row],[Lavorazione]]</f>
        <v>#VALUE!</v>
      </c>
      <c r="I1079" t="e">
        <f>RigheOfferte[[#This Row],[Colore]]</f>
        <v>#VALUE!</v>
      </c>
      <c r="J1079" t="e">
        <f>RigheOfferte[[#This Row],[Velocità]]</f>
        <v>#VALUE!</v>
      </c>
      <c r="K1079" t="e">
        <f>RigheOfferte[[#This Row],[Superf.pz Mq]]</f>
        <v>#VALUE!</v>
      </c>
      <c r="L1079" t="e">
        <f>RigheOfferte[[#This Row],[passo]]</f>
        <v>#VALUE!</v>
      </c>
      <c r="M1079" t="e">
        <f>RigheOfferte[[#This Row],[nr.pezzi Telaio]]</f>
        <v>#VALUE!</v>
      </c>
      <c r="N1079" t="e">
        <f>RigheOfferte[[#This Row],[nr.pezzi ora-unita]]</f>
        <v>#VALUE!</v>
      </c>
      <c r="O1079" t="e">
        <f>Tabella1[[#This Row],[superificie]]*Resa</f>
        <v>#VALUE!</v>
      </c>
      <c r="P1079" t="e">
        <f>Tabella1[[#This Row],[KgPezzo]]*Tabella1[[#This Row],[q.ta offerta]]</f>
        <v>#VALUE!</v>
      </c>
      <c r="Q1079" t="e">
        <f>RigheOfferte[[#This Row],[QtaProtez]]</f>
        <v>#VALUE!</v>
      </c>
      <c r="R1079" t="e">
        <f>RigheOfferte[[#This Row],[Tipo Protezione]]</f>
        <v>#VALUE!</v>
      </c>
    </row>
    <row r="1080" spans="1:18">
      <c r="A1080" t="e">
        <f>RigheOfferte[[#This Row],[Nprev]]</f>
        <v>#VALUE!</v>
      </c>
      <c r="B1080" t="e">
        <f>RigheOfferte[[#This Row],[Nriga]]</f>
        <v>#VALUE!</v>
      </c>
      <c r="C1080" t="e">
        <f>RigheOfferte[[#This Row],[Cliente]]</f>
        <v>#VALUE!</v>
      </c>
      <c r="D1080" t="e">
        <f>RigheOfferte[[#This Row],[sub_cliente]]</f>
        <v>#VALUE!</v>
      </c>
      <c r="E1080" t="e">
        <f>RigheOfferte[[#This Row],[cod.Art.]]</f>
        <v>#VALUE!</v>
      </c>
      <c r="F1080" t="e">
        <f>RigheOfferte[[#This Row],[Descrizione]]</f>
        <v>#VALUE!</v>
      </c>
      <c r="G1080" t="e">
        <f>RigheOfferte[[#This Row],[Q.ta'']]</f>
        <v>#VALUE!</v>
      </c>
      <c r="H1080" t="e">
        <f>RigheOfferte[[#This Row],[Lavorazione]]</f>
        <v>#VALUE!</v>
      </c>
      <c r="I1080" t="e">
        <f>RigheOfferte[[#This Row],[Colore]]</f>
        <v>#VALUE!</v>
      </c>
      <c r="J1080" t="e">
        <f>RigheOfferte[[#This Row],[Velocità]]</f>
        <v>#VALUE!</v>
      </c>
      <c r="K1080" t="e">
        <f>RigheOfferte[[#This Row],[Superf.pz Mq]]</f>
        <v>#VALUE!</v>
      </c>
      <c r="L1080" t="e">
        <f>RigheOfferte[[#This Row],[passo]]</f>
        <v>#VALUE!</v>
      </c>
      <c r="M1080" t="e">
        <f>RigheOfferte[[#This Row],[nr.pezzi Telaio]]</f>
        <v>#VALUE!</v>
      </c>
      <c r="N1080" t="e">
        <f>RigheOfferte[[#This Row],[nr.pezzi ora-unita]]</f>
        <v>#VALUE!</v>
      </c>
      <c r="O1080" t="e">
        <f>Tabella1[[#This Row],[superificie]]*Resa</f>
        <v>#VALUE!</v>
      </c>
      <c r="P1080" t="e">
        <f>Tabella1[[#This Row],[KgPezzo]]*Tabella1[[#This Row],[q.ta offerta]]</f>
        <v>#VALUE!</v>
      </c>
      <c r="Q1080" t="e">
        <f>RigheOfferte[[#This Row],[QtaProtez]]</f>
        <v>#VALUE!</v>
      </c>
      <c r="R1080" t="e">
        <f>RigheOfferte[[#This Row],[Tipo Protezione]]</f>
        <v>#VALUE!</v>
      </c>
    </row>
    <row r="1081" spans="1:18">
      <c r="A1081" t="e">
        <f>RigheOfferte[[#This Row],[Nprev]]</f>
        <v>#VALUE!</v>
      </c>
      <c r="B1081" t="e">
        <f>RigheOfferte[[#This Row],[Nriga]]</f>
        <v>#VALUE!</v>
      </c>
      <c r="C1081" t="e">
        <f>RigheOfferte[[#This Row],[Cliente]]</f>
        <v>#VALUE!</v>
      </c>
      <c r="D1081" t="e">
        <f>RigheOfferte[[#This Row],[sub_cliente]]</f>
        <v>#VALUE!</v>
      </c>
      <c r="E1081" t="e">
        <f>RigheOfferte[[#This Row],[cod.Art.]]</f>
        <v>#VALUE!</v>
      </c>
      <c r="F1081" t="e">
        <f>RigheOfferte[[#This Row],[Descrizione]]</f>
        <v>#VALUE!</v>
      </c>
      <c r="G1081" t="e">
        <f>RigheOfferte[[#This Row],[Q.ta'']]</f>
        <v>#VALUE!</v>
      </c>
      <c r="H1081" t="e">
        <f>RigheOfferte[[#This Row],[Lavorazione]]</f>
        <v>#VALUE!</v>
      </c>
      <c r="I1081" t="e">
        <f>RigheOfferte[[#This Row],[Colore]]</f>
        <v>#VALUE!</v>
      </c>
      <c r="J1081" t="e">
        <f>RigheOfferte[[#This Row],[Velocità]]</f>
        <v>#VALUE!</v>
      </c>
      <c r="K1081" t="e">
        <f>RigheOfferte[[#This Row],[Superf.pz Mq]]</f>
        <v>#VALUE!</v>
      </c>
      <c r="L1081" t="e">
        <f>RigheOfferte[[#This Row],[passo]]</f>
        <v>#VALUE!</v>
      </c>
      <c r="M1081" t="e">
        <f>RigheOfferte[[#This Row],[nr.pezzi Telaio]]</f>
        <v>#VALUE!</v>
      </c>
      <c r="N1081" t="e">
        <f>RigheOfferte[[#This Row],[nr.pezzi ora-unita]]</f>
        <v>#VALUE!</v>
      </c>
      <c r="O1081" t="e">
        <f>Tabella1[[#This Row],[superificie]]*Resa</f>
        <v>#VALUE!</v>
      </c>
      <c r="P1081" t="e">
        <f>Tabella1[[#This Row],[KgPezzo]]*Tabella1[[#This Row],[q.ta offerta]]</f>
        <v>#VALUE!</v>
      </c>
      <c r="Q1081" t="e">
        <f>RigheOfferte[[#This Row],[QtaProtez]]</f>
        <v>#VALUE!</v>
      </c>
      <c r="R1081" t="e">
        <f>RigheOfferte[[#This Row],[Tipo Protezione]]</f>
        <v>#VALUE!</v>
      </c>
    </row>
    <row r="1082" spans="1:18">
      <c r="A1082" t="e">
        <f>RigheOfferte[[#This Row],[Nprev]]</f>
        <v>#VALUE!</v>
      </c>
      <c r="B1082" t="e">
        <f>RigheOfferte[[#This Row],[Nriga]]</f>
        <v>#VALUE!</v>
      </c>
      <c r="C1082" t="e">
        <f>RigheOfferte[[#This Row],[Cliente]]</f>
        <v>#VALUE!</v>
      </c>
      <c r="D1082" t="e">
        <f>RigheOfferte[[#This Row],[sub_cliente]]</f>
        <v>#VALUE!</v>
      </c>
      <c r="E1082" t="e">
        <f>RigheOfferte[[#This Row],[cod.Art.]]</f>
        <v>#VALUE!</v>
      </c>
      <c r="F1082" t="e">
        <f>RigheOfferte[[#This Row],[Descrizione]]</f>
        <v>#VALUE!</v>
      </c>
      <c r="G1082" t="e">
        <f>RigheOfferte[[#This Row],[Q.ta'']]</f>
        <v>#VALUE!</v>
      </c>
      <c r="H1082" t="e">
        <f>RigheOfferte[[#This Row],[Lavorazione]]</f>
        <v>#VALUE!</v>
      </c>
      <c r="I1082" t="e">
        <f>RigheOfferte[[#This Row],[Colore]]</f>
        <v>#VALUE!</v>
      </c>
      <c r="J1082" t="e">
        <f>RigheOfferte[[#This Row],[Velocità]]</f>
        <v>#VALUE!</v>
      </c>
      <c r="K1082" t="e">
        <f>RigheOfferte[[#This Row],[Superf.pz Mq]]</f>
        <v>#VALUE!</v>
      </c>
      <c r="L1082" t="e">
        <f>RigheOfferte[[#This Row],[passo]]</f>
        <v>#VALUE!</v>
      </c>
      <c r="M1082" t="e">
        <f>RigheOfferte[[#This Row],[nr.pezzi Telaio]]</f>
        <v>#VALUE!</v>
      </c>
      <c r="N1082" t="e">
        <f>RigheOfferte[[#This Row],[nr.pezzi ora-unita]]</f>
        <v>#VALUE!</v>
      </c>
      <c r="O1082" t="e">
        <f>Tabella1[[#This Row],[superificie]]*Resa</f>
        <v>#VALUE!</v>
      </c>
      <c r="P1082" t="e">
        <f>Tabella1[[#This Row],[KgPezzo]]*Tabella1[[#This Row],[q.ta offerta]]</f>
        <v>#VALUE!</v>
      </c>
      <c r="Q1082" t="e">
        <f>RigheOfferte[[#This Row],[QtaProtez]]</f>
        <v>#VALUE!</v>
      </c>
      <c r="R1082" t="e">
        <f>RigheOfferte[[#This Row],[Tipo Protezione]]</f>
        <v>#VALUE!</v>
      </c>
    </row>
    <row r="1083" spans="1:18">
      <c r="A1083" t="e">
        <f>RigheOfferte[[#This Row],[Nprev]]</f>
        <v>#VALUE!</v>
      </c>
      <c r="B1083" t="e">
        <f>RigheOfferte[[#This Row],[Nriga]]</f>
        <v>#VALUE!</v>
      </c>
      <c r="C1083" t="e">
        <f>RigheOfferte[[#This Row],[Cliente]]</f>
        <v>#VALUE!</v>
      </c>
      <c r="D1083" t="e">
        <f>RigheOfferte[[#This Row],[sub_cliente]]</f>
        <v>#VALUE!</v>
      </c>
      <c r="E1083" t="e">
        <f>RigheOfferte[[#This Row],[cod.Art.]]</f>
        <v>#VALUE!</v>
      </c>
      <c r="F1083" t="e">
        <f>RigheOfferte[[#This Row],[Descrizione]]</f>
        <v>#VALUE!</v>
      </c>
      <c r="G1083" t="e">
        <f>RigheOfferte[[#This Row],[Q.ta'']]</f>
        <v>#VALUE!</v>
      </c>
      <c r="H1083" t="e">
        <f>RigheOfferte[[#This Row],[Lavorazione]]</f>
        <v>#VALUE!</v>
      </c>
      <c r="I1083" t="e">
        <f>RigheOfferte[[#This Row],[Colore]]</f>
        <v>#VALUE!</v>
      </c>
      <c r="J1083" t="e">
        <f>RigheOfferte[[#This Row],[Velocità]]</f>
        <v>#VALUE!</v>
      </c>
      <c r="K1083" t="e">
        <f>RigheOfferte[[#This Row],[Superf.pz Mq]]</f>
        <v>#VALUE!</v>
      </c>
      <c r="L1083" t="e">
        <f>RigheOfferte[[#This Row],[passo]]</f>
        <v>#VALUE!</v>
      </c>
      <c r="M1083" t="e">
        <f>RigheOfferte[[#This Row],[nr.pezzi Telaio]]</f>
        <v>#VALUE!</v>
      </c>
      <c r="N1083" t="e">
        <f>RigheOfferte[[#This Row],[nr.pezzi ora-unita]]</f>
        <v>#VALUE!</v>
      </c>
      <c r="O1083" t="e">
        <f>Tabella1[[#This Row],[superificie]]*Resa</f>
        <v>#VALUE!</v>
      </c>
      <c r="P1083" t="e">
        <f>Tabella1[[#This Row],[KgPezzo]]*Tabella1[[#This Row],[q.ta offerta]]</f>
        <v>#VALUE!</v>
      </c>
      <c r="Q1083" t="e">
        <f>RigheOfferte[[#This Row],[QtaProtez]]</f>
        <v>#VALUE!</v>
      </c>
      <c r="R1083" t="e">
        <f>RigheOfferte[[#This Row],[Tipo Protezione]]</f>
        <v>#VALUE!</v>
      </c>
    </row>
    <row r="1084" spans="1:18">
      <c r="A1084" t="e">
        <f>RigheOfferte[[#This Row],[Nprev]]</f>
        <v>#VALUE!</v>
      </c>
      <c r="B1084" t="e">
        <f>RigheOfferte[[#This Row],[Nriga]]</f>
        <v>#VALUE!</v>
      </c>
      <c r="C1084" t="e">
        <f>RigheOfferte[[#This Row],[Cliente]]</f>
        <v>#VALUE!</v>
      </c>
      <c r="D1084" t="e">
        <f>RigheOfferte[[#This Row],[sub_cliente]]</f>
        <v>#VALUE!</v>
      </c>
      <c r="E1084" t="e">
        <f>RigheOfferte[[#This Row],[cod.Art.]]</f>
        <v>#VALUE!</v>
      </c>
      <c r="F1084" t="e">
        <f>RigheOfferte[[#This Row],[Descrizione]]</f>
        <v>#VALUE!</v>
      </c>
      <c r="G1084" t="e">
        <f>RigheOfferte[[#This Row],[Q.ta'']]</f>
        <v>#VALUE!</v>
      </c>
      <c r="H1084" t="e">
        <f>RigheOfferte[[#This Row],[Lavorazione]]</f>
        <v>#VALUE!</v>
      </c>
      <c r="I1084" t="e">
        <f>RigheOfferte[[#This Row],[Colore]]</f>
        <v>#VALUE!</v>
      </c>
      <c r="J1084" t="e">
        <f>RigheOfferte[[#This Row],[Velocità]]</f>
        <v>#VALUE!</v>
      </c>
      <c r="K1084" t="e">
        <f>RigheOfferte[[#This Row],[Superf.pz Mq]]</f>
        <v>#VALUE!</v>
      </c>
      <c r="L1084" t="e">
        <f>RigheOfferte[[#This Row],[passo]]</f>
        <v>#VALUE!</v>
      </c>
      <c r="M1084" t="e">
        <f>RigheOfferte[[#This Row],[nr.pezzi Telaio]]</f>
        <v>#VALUE!</v>
      </c>
      <c r="N1084" t="e">
        <f>RigheOfferte[[#This Row],[nr.pezzi ora-unita]]</f>
        <v>#VALUE!</v>
      </c>
      <c r="O1084" t="e">
        <f>Tabella1[[#This Row],[superificie]]*Resa</f>
        <v>#VALUE!</v>
      </c>
      <c r="P1084" t="e">
        <f>Tabella1[[#This Row],[KgPezzo]]*Tabella1[[#This Row],[q.ta offerta]]</f>
        <v>#VALUE!</v>
      </c>
      <c r="Q1084" t="e">
        <f>RigheOfferte[[#This Row],[QtaProtez]]</f>
        <v>#VALUE!</v>
      </c>
      <c r="R1084" t="e">
        <f>RigheOfferte[[#This Row],[Tipo Protezione]]</f>
        <v>#VALUE!</v>
      </c>
    </row>
    <row r="1085" spans="1:18">
      <c r="A1085" t="e">
        <f>RigheOfferte[[#This Row],[Nprev]]</f>
        <v>#VALUE!</v>
      </c>
      <c r="B1085" t="e">
        <f>RigheOfferte[[#This Row],[Nriga]]</f>
        <v>#VALUE!</v>
      </c>
      <c r="C1085" t="e">
        <f>RigheOfferte[[#This Row],[Cliente]]</f>
        <v>#VALUE!</v>
      </c>
      <c r="D1085" t="e">
        <f>RigheOfferte[[#This Row],[sub_cliente]]</f>
        <v>#VALUE!</v>
      </c>
      <c r="E1085" t="e">
        <f>RigheOfferte[[#This Row],[cod.Art.]]</f>
        <v>#VALUE!</v>
      </c>
      <c r="F1085" t="e">
        <f>RigheOfferte[[#This Row],[Descrizione]]</f>
        <v>#VALUE!</v>
      </c>
      <c r="G1085" t="e">
        <f>RigheOfferte[[#This Row],[Q.ta'']]</f>
        <v>#VALUE!</v>
      </c>
      <c r="H1085" t="e">
        <f>RigheOfferte[[#This Row],[Lavorazione]]</f>
        <v>#VALUE!</v>
      </c>
      <c r="I1085" t="e">
        <f>RigheOfferte[[#This Row],[Colore]]</f>
        <v>#VALUE!</v>
      </c>
      <c r="J1085" t="e">
        <f>RigheOfferte[[#This Row],[Velocità]]</f>
        <v>#VALUE!</v>
      </c>
      <c r="K1085" t="e">
        <f>RigheOfferte[[#This Row],[Superf.pz Mq]]</f>
        <v>#VALUE!</v>
      </c>
      <c r="L1085" t="e">
        <f>RigheOfferte[[#This Row],[passo]]</f>
        <v>#VALUE!</v>
      </c>
      <c r="M1085" t="e">
        <f>RigheOfferte[[#This Row],[nr.pezzi Telaio]]</f>
        <v>#VALUE!</v>
      </c>
      <c r="N1085" t="e">
        <f>RigheOfferte[[#This Row],[nr.pezzi ora-unita]]</f>
        <v>#VALUE!</v>
      </c>
      <c r="O1085" t="e">
        <f>Tabella1[[#This Row],[superificie]]*Resa</f>
        <v>#VALUE!</v>
      </c>
      <c r="P1085" t="e">
        <f>Tabella1[[#This Row],[KgPezzo]]*Tabella1[[#This Row],[q.ta offerta]]</f>
        <v>#VALUE!</v>
      </c>
      <c r="Q1085" t="e">
        <f>RigheOfferte[[#This Row],[QtaProtez]]</f>
        <v>#VALUE!</v>
      </c>
      <c r="R1085" t="e">
        <f>RigheOfferte[[#This Row],[Tipo Protezione]]</f>
        <v>#VALUE!</v>
      </c>
    </row>
    <row r="1086" spans="1:18">
      <c r="A1086" t="e">
        <f>RigheOfferte[[#This Row],[Nprev]]</f>
        <v>#VALUE!</v>
      </c>
      <c r="B1086" t="e">
        <f>RigheOfferte[[#This Row],[Nriga]]</f>
        <v>#VALUE!</v>
      </c>
      <c r="C1086" t="e">
        <f>RigheOfferte[[#This Row],[Cliente]]</f>
        <v>#VALUE!</v>
      </c>
      <c r="D1086" t="e">
        <f>RigheOfferte[[#This Row],[sub_cliente]]</f>
        <v>#VALUE!</v>
      </c>
      <c r="E1086" t="e">
        <f>RigheOfferte[[#This Row],[cod.Art.]]</f>
        <v>#VALUE!</v>
      </c>
      <c r="F1086" t="e">
        <f>RigheOfferte[[#This Row],[Descrizione]]</f>
        <v>#VALUE!</v>
      </c>
      <c r="G1086" t="e">
        <f>RigheOfferte[[#This Row],[Q.ta'']]</f>
        <v>#VALUE!</v>
      </c>
      <c r="H1086" t="e">
        <f>RigheOfferte[[#This Row],[Lavorazione]]</f>
        <v>#VALUE!</v>
      </c>
      <c r="I1086" t="e">
        <f>RigheOfferte[[#This Row],[Colore]]</f>
        <v>#VALUE!</v>
      </c>
      <c r="J1086" t="e">
        <f>RigheOfferte[[#This Row],[Velocità]]</f>
        <v>#VALUE!</v>
      </c>
      <c r="K1086" t="e">
        <f>RigheOfferte[[#This Row],[Superf.pz Mq]]</f>
        <v>#VALUE!</v>
      </c>
      <c r="L1086" t="e">
        <f>RigheOfferte[[#This Row],[passo]]</f>
        <v>#VALUE!</v>
      </c>
      <c r="M1086" t="e">
        <f>RigheOfferte[[#This Row],[nr.pezzi Telaio]]</f>
        <v>#VALUE!</v>
      </c>
      <c r="N1086" t="e">
        <f>RigheOfferte[[#This Row],[nr.pezzi ora-unita]]</f>
        <v>#VALUE!</v>
      </c>
      <c r="O1086" t="e">
        <f>Tabella1[[#This Row],[superificie]]*Resa</f>
        <v>#VALUE!</v>
      </c>
      <c r="P1086" t="e">
        <f>Tabella1[[#This Row],[KgPezzo]]*Tabella1[[#This Row],[q.ta offerta]]</f>
        <v>#VALUE!</v>
      </c>
      <c r="Q1086" t="e">
        <f>RigheOfferte[[#This Row],[QtaProtez]]</f>
        <v>#VALUE!</v>
      </c>
      <c r="R1086" t="e">
        <f>RigheOfferte[[#This Row],[Tipo Protezione]]</f>
        <v>#VALUE!</v>
      </c>
    </row>
    <row r="1087" spans="1:18">
      <c r="A1087" t="e">
        <f>RigheOfferte[[#This Row],[Nprev]]</f>
        <v>#VALUE!</v>
      </c>
      <c r="B1087" t="e">
        <f>RigheOfferte[[#This Row],[Nriga]]</f>
        <v>#VALUE!</v>
      </c>
      <c r="C1087" t="e">
        <f>RigheOfferte[[#This Row],[Cliente]]</f>
        <v>#VALUE!</v>
      </c>
      <c r="D1087" t="e">
        <f>RigheOfferte[[#This Row],[sub_cliente]]</f>
        <v>#VALUE!</v>
      </c>
      <c r="E1087" t="e">
        <f>RigheOfferte[[#This Row],[cod.Art.]]</f>
        <v>#VALUE!</v>
      </c>
      <c r="F1087" t="e">
        <f>RigheOfferte[[#This Row],[Descrizione]]</f>
        <v>#VALUE!</v>
      </c>
      <c r="G1087" t="e">
        <f>RigheOfferte[[#This Row],[Q.ta'']]</f>
        <v>#VALUE!</v>
      </c>
      <c r="H1087" t="e">
        <f>RigheOfferte[[#This Row],[Lavorazione]]</f>
        <v>#VALUE!</v>
      </c>
      <c r="I1087" t="e">
        <f>RigheOfferte[[#This Row],[Colore]]</f>
        <v>#VALUE!</v>
      </c>
      <c r="J1087" t="e">
        <f>RigheOfferte[[#This Row],[Velocità]]</f>
        <v>#VALUE!</v>
      </c>
      <c r="K1087" t="e">
        <f>RigheOfferte[[#This Row],[Superf.pz Mq]]</f>
        <v>#VALUE!</v>
      </c>
      <c r="L1087" t="e">
        <f>RigheOfferte[[#This Row],[passo]]</f>
        <v>#VALUE!</v>
      </c>
      <c r="M1087" t="e">
        <f>RigheOfferte[[#This Row],[nr.pezzi Telaio]]</f>
        <v>#VALUE!</v>
      </c>
      <c r="N1087" t="e">
        <f>RigheOfferte[[#This Row],[nr.pezzi ora-unita]]</f>
        <v>#VALUE!</v>
      </c>
      <c r="O1087" t="e">
        <f>Tabella1[[#This Row],[superificie]]*Resa</f>
        <v>#VALUE!</v>
      </c>
      <c r="P1087" t="e">
        <f>Tabella1[[#This Row],[KgPezzo]]*Tabella1[[#This Row],[q.ta offerta]]</f>
        <v>#VALUE!</v>
      </c>
      <c r="Q1087" t="e">
        <f>RigheOfferte[[#This Row],[QtaProtez]]</f>
        <v>#VALUE!</v>
      </c>
      <c r="R1087" t="e">
        <f>RigheOfferte[[#This Row],[Tipo Protezione]]</f>
        <v>#VALUE!</v>
      </c>
    </row>
    <row r="1088" spans="1:18">
      <c r="A1088" t="e">
        <f>RigheOfferte[[#This Row],[Nprev]]</f>
        <v>#VALUE!</v>
      </c>
      <c r="B1088" t="e">
        <f>RigheOfferte[[#This Row],[Nriga]]</f>
        <v>#VALUE!</v>
      </c>
      <c r="C1088" t="e">
        <f>RigheOfferte[[#This Row],[Cliente]]</f>
        <v>#VALUE!</v>
      </c>
      <c r="D1088" t="e">
        <f>RigheOfferte[[#This Row],[sub_cliente]]</f>
        <v>#VALUE!</v>
      </c>
      <c r="E1088" t="e">
        <f>RigheOfferte[[#This Row],[cod.Art.]]</f>
        <v>#VALUE!</v>
      </c>
      <c r="F1088" t="e">
        <f>RigheOfferte[[#This Row],[Descrizione]]</f>
        <v>#VALUE!</v>
      </c>
      <c r="G1088" t="e">
        <f>RigheOfferte[[#This Row],[Q.ta'']]</f>
        <v>#VALUE!</v>
      </c>
      <c r="H1088" t="e">
        <f>RigheOfferte[[#This Row],[Lavorazione]]</f>
        <v>#VALUE!</v>
      </c>
      <c r="I1088" t="e">
        <f>RigheOfferte[[#This Row],[Colore]]</f>
        <v>#VALUE!</v>
      </c>
      <c r="J1088" t="e">
        <f>RigheOfferte[[#This Row],[Velocità]]</f>
        <v>#VALUE!</v>
      </c>
      <c r="K1088" t="e">
        <f>RigheOfferte[[#This Row],[Superf.pz Mq]]</f>
        <v>#VALUE!</v>
      </c>
      <c r="L1088" t="e">
        <f>RigheOfferte[[#This Row],[passo]]</f>
        <v>#VALUE!</v>
      </c>
      <c r="M1088" t="e">
        <f>RigheOfferte[[#This Row],[nr.pezzi Telaio]]</f>
        <v>#VALUE!</v>
      </c>
      <c r="N1088" t="e">
        <f>RigheOfferte[[#This Row],[nr.pezzi ora-unita]]</f>
        <v>#VALUE!</v>
      </c>
      <c r="O1088" t="e">
        <f>Tabella1[[#This Row],[superificie]]*Resa</f>
        <v>#VALUE!</v>
      </c>
      <c r="P1088" t="e">
        <f>Tabella1[[#This Row],[KgPezzo]]*Tabella1[[#This Row],[q.ta offerta]]</f>
        <v>#VALUE!</v>
      </c>
      <c r="Q1088" t="e">
        <f>RigheOfferte[[#This Row],[QtaProtez]]</f>
        <v>#VALUE!</v>
      </c>
      <c r="R1088" t="e">
        <f>RigheOfferte[[#This Row],[Tipo Protezione]]</f>
        <v>#VALUE!</v>
      </c>
    </row>
    <row r="1089" spans="1:18">
      <c r="A1089" t="e">
        <f>RigheOfferte[[#This Row],[Nprev]]</f>
        <v>#VALUE!</v>
      </c>
      <c r="B1089" t="e">
        <f>RigheOfferte[[#This Row],[Nriga]]</f>
        <v>#VALUE!</v>
      </c>
      <c r="C1089" t="e">
        <f>RigheOfferte[[#This Row],[Cliente]]</f>
        <v>#VALUE!</v>
      </c>
      <c r="D1089" t="e">
        <f>RigheOfferte[[#This Row],[sub_cliente]]</f>
        <v>#VALUE!</v>
      </c>
      <c r="E1089" t="e">
        <f>RigheOfferte[[#This Row],[cod.Art.]]</f>
        <v>#VALUE!</v>
      </c>
      <c r="F1089" t="e">
        <f>RigheOfferte[[#This Row],[Descrizione]]</f>
        <v>#VALUE!</v>
      </c>
      <c r="G1089" t="e">
        <f>RigheOfferte[[#This Row],[Q.ta'']]</f>
        <v>#VALUE!</v>
      </c>
      <c r="H1089" t="e">
        <f>RigheOfferte[[#This Row],[Lavorazione]]</f>
        <v>#VALUE!</v>
      </c>
      <c r="I1089" t="e">
        <f>RigheOfferte[[#This Row],[Colore]]</f>
        <v>#VALUE!</v>
      </c>
      <c r="J1089" t="e">
        <f>RigheOfferte[[#This Row],[Velocità]]</f>
        <v>#VALUE!</v>
      </c>
      <c r="K1089" t="e">
        <f>RigheOfferte[[#This Row],[Superf.pz Mq]]</f>
        <v>#VALUE!</v>
      </c>
      <c r="L1089" t="e">
        <f>RigheOfferte[[#This Row],[passo]]</f>
        <v>#VALUE!</v>
      </c>
      <c r="M1089" t="e">
        <f>RigheOfferte[[#This Row],[nr.pezzi Telaio]]</f>
        <v>#VALUE!</v>
      </c>
      <c r="N1089" t="e">
        <f>RigheOfferte[[#This Row],[nr.pezzi ora-unita]]</f>
        <v>#VALUE!</v>
      </c>
      <c r="O1089" t="e">
        <f>Tabella1[[#This Row],[superificie]]*Resa</f>
        <v>#VALUE!</v>
      </c>
      <c r="P1089" t="e">
        <f>Tabella1[[#This Row],[KgPezzo]]*Tabella1[[#This Row],[q.ta offerta]]</f>
        <v>#VALUE!</v>
      </c>
      <c r="Q1089" t="e">
        <f>RigheOfferte[[#This Row],[QtaProtez]]</f>
        <v>#VALUE!</v>
      </c>
      <c r="R1089" t="e">
        <f>RigheOfferte[[#This Row],[Tipo Protezione]]</f>
        <v>#VALUE!</v>
      </c>
    </row>
    <row r="1090" spans="1:18">
      <c r="A1090" t="e">
        <f>RigheOfferte[[#This Row],[Nprev]]</f>
        <v>#VALUE!</v>
      </c>
      <c r="B1090" t="e">
        <f>RigheOfferte[[#This Row],[Nriga]]</f>
        <v>#VALUE!</v>
      </c>
      <c r="C1090" t="e">
        <f>RigheOfferte[[#This Row],[Cliente]]</f>
        <v>#VALUE!</v>
      </c>
      <c r="D1090" t="e">
        <f>RigheOfferte[[#This Row],[sub_cliente]]</f>
        <v>#VALUE!</v>
      </c>
      <c r="E1090" t="e">
        <f>RigheOfferte[[#This Row],[cod.Art.]]</f>
        <v>#VALUE!</v>
      </c>
      <c r="F1090" t="e">
        <f>RigheOfferte[[#This Row],[Descrizione]]</f>
        <v>#VALUE!</v>
      </c>
      <c r="G1090" t="e">
        <f>RigheOfferte[[#This Row],[Q.ta'']]</f>
        <v>#VALUE!</v>
      </c>
      <c r="H1090" t="e">
        <f>RigheOfferte[[#This Row],[Lavorazione]]</f>
        <v>#VALUE!</v>
      </c>
      <c r="I1090" t="e">
        <f>RigheOfferte[[#This Row],[Colore]]</f>
        <v>#VALUE!</v>
      </c>
      <c r="J1090" t="e">
        <f>RigheOfferte[[#This Row],[Velocità]]</f>
        <v>#VALUE!</v>
      </c>
      <c r="K1090" t="e">
        <f>RigheOfferte[[#This Row],[Superf.pz Mq]]</f>
        <v>#VALUE!</v>
      </c>
      <c r="L1090" t="e">
        <f>RigheOfferte[[#This Row],[passo]]</f>
        <v>#VALUE!</v>
      </c>
      <c r="M1090" t="e">
        <f>RigheOfferte[[#This Row],[nr.pezzi Telaio]]</f>
        <v>#VALUE!</v>
      </c>
      <c r="N1090" t="e">
        <f>RigheOfferte[[#This Row],[nr.pezzi ora-unita]]</f>
        <v>#VALUE!</v>
      </c>
      <c r="O1090" t="e">
        <f>Tabella1[[#This Row],[superificie]]*Resa</f>
        <v>#VALUE!</v>
      </c>
      <c r="P1090" t="e">
        <f>Tabella1[[#This Row],[KgPezzo]]*Tabella1[[#This Row],[q.ta offerta]]</f>
        <v>#VALUE!</v>
      </c>
      <c r="Q1090" t="e">
        <f>RigheOfferte[[#This Row],[QtaProtez]]</f>
        <v>#VALUE!</v>
      </c>
      <c r="R1090" t="e">
        <f>RigheOfferte[[#This Row],[Tipo Protezione]]</f>
        <v>#VALUE!</v>
      </c>
    </row>
    <row r="1091" spans="1:18">
      <c r="A1091" t="e">
        <f>RigheOfferte[[#This Row],[Nprev]]</f>
        <v>#VALUE!</v>
      </c>
      <c r="B1091" t="e">
        <f>RigheOfferte[[#This Row],[Nriga]]</f>
        <v>#VALUE!</v>
      </c>
      <c r="C1091" t="e">
        <f>RigheOfferte[[#This Row],[Cliente]]</f>
        <v>#VALUE!</v>
      </c>
      <c r="D1091" t="e">
        <f>RigheOfferte[[#This Row],[sub_cliente]]</f>
        <v>#VALUE!</v>
      </c>
      <c r="E1091" t="e">
        <f>RigheOfferte[[#This Row],[cod.Art.]]</f>
        <v>#VALUE!</v>
      </c>
      <c r="F1091" t="e">
        <f>RigheOfferte[[#This Row],[Descrizione]]</f>
        <v>#VALUE!</v>
      </c>
      <c r="G1091" t="e">
        <f>RigheOfferte[[#This Row],[Q.ta'']]</f>
        <v>#VALUE!</v>
      </c>
      <c r="H1091" t="e">
        <f>RigheOfferte[[#This Row],[Lavorazione]]</f>
        <v>#VALUE!</v>
      </c>
      <c r="I1091" t="e">
        <f>RigheOfferte[[#This Row],[Colore]]</f>
        <v>#VALUE!</v>
      </c>
      <c r="J1091" t="e">
        <f>RigheOfferte[[#This Row],[Velocità]]</f>
        <v>#VALUE!</v>
      </c>
      <c r="K1091" t="e">
        <f>RigheOfferte[[#This Row],[Superf.pz Mq]]</f>
        <v>#VALUE!</v>
      </c>
      <c r="L1091" t="e">
        <f>RigheOfferte[[#This Row],[passo]]</f>
        <v>#VALUE!</v>
      </c>
      <c r="M1091" t="e">
        <f>RigheOfferte[[#This Row],[nr.pezzi Telaio]]</f>
        <v>#VALUE!</v>
      </c>
      <c r="N1091" t="e">
        <f>RigheOfferte[[#This Row],[nr.pezzi ora-unita]]</f>
        <v>#VALUE!</v>
      </c>
      <c r="O1091" t="e">
        <f>Tabella1[[#This Row],[superificie]]*Resa</f>
        <v>#VALUE!</v>
      </c>
      <c r="P1091" t="e">
        <f>Tabella1[[#This Row],[KgPezzo]]*Tabella1[[#This Row],[q.ta offerta]]</f>
        <v>#VALUE!</v>
      </c>
      <c r="Q1091" t="e">
        <f>RigheOfferte[[#This Row],[QtaProtez]]</f>
        <v>#VALUE!</v>
      </c>
      <c r="R1091" t="e">
        <f>RigheOfferte[[#This Row],[Tipo Protezione]]</f>
        <v>#VALUE!</v>
      </c>
    </row>
    <row r="1092" spans="1:18">
      <c r="A1092" t="e">
        <f>RigheOfferte[[#This Row],[Nprev]]</f>
        <v>#VALUE!</v>
      </c>
      <c r="B1092" t="e">
        <f>RigheOfferte[[#This Row],[Nriga]]</f>
        <v>#VALUE!</v>
      </c>
      <c r="C1092" t="e">
        <f>RigheOfferte[[#This Row],[Cliente]]</f>
        <v>#VALUE!</v>
      </c>
      <c r="D1092" t="e">
        <f>RigheOfferte[[#This Row],[sub_cliente]]</f>
        <v>#VALUE!</v>
      </c>
      <c r="E1092" t="e">
        <f>RigheOfferte[[#This Row],[cod.Art.]]</f>
        <v>#VALUE!</v>
      </c>
      <c r="F1092" t="e">
        <f>RigheOfferte[[#This Row],[Descrizione]]</f>
        <v>#VALUE!</v>
      </c>
      <c r="G1092" t="e">
        <f>RigheOfferte[[#This Row],[Q.ta'']]</f>
        <v>#VALUE!</v>
      </c>
      <c r="H1092" t="e">
        <f>RigheOfferte[[#This Row],[Lavorazione]]</f>
        <v>#VALUE!</v>
      </c>
      <c r="I1092" t="e">
        <f>RigheOfferte[[#This Row],[Colore]]</f>
        <v>#VALUE!</v>
      </c>
      <c r="J1092" t="e">
        <f>RigheOfferte[[#This Row],[Velocità]]</f>
        <v>#VALUE!</v>
      </c>
      <c r="K1092" t="e">
        <f>RigheOfferte[[#This Row],[Superf.pz Mq]]</f>
        <v>#VALUE!</v>
      </c>
      <c r="L1092" t="e">
        <f>RigheOfferte[[#This Row],[passo]]</f>
        <v>#VALUE!</v>
      </c>
      <c r="M1092" t="e">
        <f>RigheOfferte[[#This Row],[nr.pezzi Telaio]]</f>
        <v>#VALUE!</v>
      </c>
      <c r="N1092" t="e">
        <f>RigheOfferte[[#This Row],[nr.pezzi ora-unita]]</f>
        <v>#VALUE!</v>
      </c>
      <c r="O1092" t="e">
        <f>Tabella1[[#This Row],[superificie]]*Resa</f>
        <v>#VALUE!</v>
      </c>
      <c r="P1092" t="e">
        <f>Tabella1[[#This Row],[KgPezzo]]*Tabella1[[#This Row],[q.ta offerta]]</f>
        <v>#VALUE!</v>
      </c>
      <c r="Q1092" t="e">
        <f>RigheOfferte[[#This Row],[QtaProtez]]</f>
        <v>#VALUE!</v>
      </c>
      <c r="R1092" t="e">
        <f>RigheOfferte[[#This Row],[Tipo Protezione]]</f>
        <v>#VALUE!</v>
      </c>
    </row>
    <row r="1093" spans="1:18">
      <c r="A1093" t="e">
        <f>RigheOfferte[[#This Row],[Nprev]]</f>
        <v>#VALUE!</v>
      </c>
      <c r="B1093" t="e">
        <f>RigheOfferte[[#This Row],[Nriga]]</f>
        <v>#VALUE!</v>
      </c>
      <c r="C1093" t="e">
        <f>RigheOfferte[[#This Row],[Cliente]]</f>
        <v>#VALUE!</v>
      </c>
      <c r="D1093" t="e">
        <f>RigheOfferte[[#This Row],[sub_cliente]]</f>
        <v>#VALUE!</v>
      </c>
      <c r="E1093" t="e">
        <f>RigheOfferte[[#This Row],[cod.Art.]]</f>
        <v>#VALUE!</v>
      </c>
      <c r="F1093" t="e">
        <f>RigheOfferte[[#This Row],[Descrizione]]</f>
        <v>#VALUE!</v>
      </c>
      <c r="G1093" t="e">
        <f>RigheOfferte[[#This Row],[Q.ta'']]</f>
        <v>#VALUE!</v>
      </c>
      <c r="H1093" t="e">
        <f>RigheOfferte[[#This Row],[Lavorazione]]</f>
        <v>#VALUE!</v>
      </c>
      <c r="I1093" t="e">
        <f>RigheOfferte[[#This Row],[Colore]]</f>
        <v>#VALUE!</v>
      </c>
      <c r="J1093" t="e">
        <f>RigheOfferte[[#This Row],[Velocità]]</f>
        <v>#VALUE!</v>
      </c>
      <c r="K1093" t="e">
        <f>RigheOfferte[[#This Row],[Superf.pz Mq]]</f>
        <v>#VALUE!</v>
      </c>
      <c r="L1093" t="e">
        <f>RigheOfferte[[#This Row],[passo]]</f>
        <v>#VALUE!</v>
      </c>
      <c r="M1093" t="e">
        <f>RigheOfferte[[#This Row],[nr.pezzi Telaio]]</f>
        <v>#VALUE!</v>
      </c>
      <c r="N1093" t="e">
        <f>RigheOfferte[[#This Row],[nr.pezzi ora-unita]]</f>
        <v>#VALUE!</v>
      </c>
      <c r="O1093" t="e">
        <f>Tabella1[[#This Row],[superificie]]*Resa</f>
        <v>#VALUE!</v>
      </c>
      <c r="P1093" t="e">
        <f>Tabella1[[#This Row],[KgPezzo]]*Tabella1[[#This Row],[q.ta offerta]]</f>
        <v>#VALUE!</v>
      </c>
      <c r="Q1093" t="e">
        <f>RigheOfferte[[#This Row],[QtaProtez]]</f>
        <v>#VALUE!</v>
      </c>
      <c r="R1093" t="e">
        <f>RigheOfferte[[#This Row],[Tipo Protezione]]</f>
        <v>#VALUE!</v>
      </c>
    </row>
    <row r="1094" spans="1:18">
      <c r="A1094" t="e">
        <f>RigheOfferte[[#This Row],[Nprev]]</f>
        <v>#VALUE!</v>
      </c>
      <c r="B1094" t="e">
        <f>RigheOfferte[[#This Row],[Nriga]]</f>
        <v>#VALUE!</v>
      </c>
      <c r="C1094" t="e">
        <f>RigheOfferte[[#This Row],[Cliente]]</f>
        <v>#VALUE!</v>
      </c>
      <c r="D1094" t="e">
        <f>RigheOfferte[[#This Row],[sub_cliente]]</f>
        <v>#VALUE!</v>
      </c>
      <c r="E1094" t="e">
        <f>RigheOfferte[[#This Row],[cod.Art.]]</f>
        <v>#VALUE!</v>
      </c>
      <c r="F1094" t="e">
        <f>RigheOfferte[[#This Row],[Descrizione]]</f>
        <v>#VALUE!</v>
      </c>
      <c r="G1094" t="e">
        <f>RigheOfferte[[#This Row],[Q.ta'']]</f>
        <v>#VALUE!</v>
      </c>
      <c r="H1094" t="e">
        <f>RigheOfferte[[#This Row],[Lavorazione]]</f>
        <v>#VALUE!</v>
      </c>
      <c r="I1094" t="e">
        <f>RigheOfferte[[#This Row],[Colore]]</f>
        <v>#VALUE!</v>
      </c>
      <c r="J1094" t="e">
        <f>RigheOfferte[[#This Row],[Velocità]]</f>
        <v>#VALUE!</v>
      </c>
      <c r="K1094" t="e">
        <f>RigheOfferte[[#This Row],[Superf.pz Mq]]</f>
        <v>#VALUE!</v>
      </c>
      <c r="L1094" t="e">
        <f>RigheOfferte[[#This Row],[passo]]</f>
        <v>#VALUE!</v>
      </c>
      <c r="M1094" t="e">
        <f>RigheOfferte[[#This Row],[nr.pezzi Telaio]]</f>
        <v>#VALUE!</v>
      </c>
      <c r="N1094" t="e">
        <f>RigheOfferte[[#This Row],[nr.pezzi ora-unita]]</f>
        <v>#VALUE!</v>
      </c>
      <c r="O1094" t="e">
        <f>Tabella1[[#This Row],[superificie]]*Resa</f>
        <v>#VALUE!</v>
      </c>
      <c r="P1094" t="e">
        <f>Tabella1[[#This Row],[KgPezzo]]*Tabella1[[#This Row],[q.ta offerta]]</f>
        <v>#VALUE!</v>
      </c>
      <c r="Q1094" t="e">
        <f>RigheOfferte[[#This Row],[QtaProtez]]</f>
        <v>#VALUE!</v>
      </c>
      <c r="R1094" t="e">
        <f>RigheOfferte[[#This Row],[Tipo Protezione]]</f>
        <v>#VALUE!</v>
      </c>
    </row>
    <row r="1095" spans="1:18">
      <c r="A1095" t="e">
        <f>RigheOfferte[[#This Row],[Nprev]]</f>
        <v>#VALUE!</v>
      </c>
      <c r="B1095" t="e">
        <f>RigheOfferte[[#This Row],[Nriga]]</f>
        <v>#VALUE!</v>
      </c>
      <c r="C1095" t="e">
        <f>RigheOfferte[[#This Row],[Cliente]]</f>
        <v>#VALUE!</v>
      </c>
      <c r="D1095" t="e">
        <f>RigheOfferte[[#This Row],[sub_cliente]]</f>
        <v>#VALUE!</v>
      </c>
      <c r="E1095" t="e">
        <f>RigheOfferte[[#This Row],[cod.Art.]]</f>
        <v>#VALUE!</v>
      </c>
      <c r="F1095" t="e">
        <f>RigheOfferte[[#This Row],[Descrizione]]</f>
        <v>#VALUE!</v>
      </c>
      <c r="G1095" t="e">
        <f>RigheOfferte[[#This Row],[Q.ta'']]</f>
        <v>#VALUE!</v>
      </c>
      <c r="H1095" t="e">
        <f>RigheOfferte[[#This Row],[Lavorazione]]</f>
        <v>#VALUE!</v>
      </c>
      <c r="I1095" t="e">
        <f>RigheOfferte[[#This Row],[Colore]]</f>
        <v>#VALUE!</v>
      </c>
      <c r="J1095" t="e">
        <f>RigheOfferte[[#This Row],[Velocità]]</f>
        <v>#VALUE!</v>
      </c>
      <c r="K1095" t="e">
        <f>RigheOfferte[[#This Row],[Superf.pz Mq]]</f>
        <v>#VALUE!</v>
      </c>
      <c r="L1095" t="e">
        <f>RigheOfferte[[#This Row],[passo]]</f>
        <v>#VALUE!</v>
      </c>
      <c r="M1095" t="e">
        <f>RigheOfferte[[#This Row],[nr.pezzi Telaio]]</f>
        <v>#VALUE!</v>
      </c>
      <c r="N1095" t="e">
        <f>RigheOfferte[[#This Row],[nr.pezzi ora-unita]]</f>
        <v>#VALUE!</v>
      </c>
      <c r="O1095" t="e">
        <f>Tabella1[[#This Row],[superificie]]*Resa</f>
        <v>#VALUE!</v>
      </c>
      <c r="P1095" t="e">
        <f>Tabella1[[#This Row],[KgPezzo]]*Tabella1[[#This Row],[q.ta offerta]]</f>
        <v>#VALUE!</v>
      </c>
      <c r="Q1095" t="e">
        <f>RigheOfferte[[#This Row],[QtaProtez]]</f>
        <v>#VALUE!</v>
      </c>
      <c r="R1095" t="e">
        <f>RigheOfferte[[#This Row],[Tipo Protezione]]</f>
        <v>#VALUE!</v>
      </c>
    </row>
    <row r="1096" spans="1:18">
      <c r="A1096" t="e">
        <f>RigheOfferte[[#This Row],[Nprev]]</f>
        <v>#VALUE!</v>
      </c>
      <c r="B1096" t="e">
        <f>RigheOfferte[[#This Row],[Nriga]]</f>
        <v>#VALUE!</v>
      </c>
      <c r="C1096" t="e">
        <f>RigheOfferte[[#This Row],[Cliente]]</f>
        <v>#VALUE!</v>
      </c>
      <c r="D1096" t="e">
        <f>RigheOfferte[[#This Row],[sub_cliente]]</f>
        <v>#VALUE!</v>
      </c>
      <c r="E1096" t="e">
        <f>RigheOfferte[[#This Row],[cod.Art.]]</f>
        <v>#VALUE!</v>
      </c>
      <c r="F1096" t="e">
        <f>RigheOfferte[[#This Row],[Descrizione]]</f>
        <v>#VALUE!</v>
      </c>
      <c r="G1096" t="e">
        <f>RigheOfferte[[#This Row],[Q.ta'']]</f>
        <v>#VALUE!</v>
      </c>
      <c r="H1096" t="e">
        <f>RigheOfferte[[#This Row],[Lavorazione]]</f>
        <v>#VALUE!</v>
      </c>
      <c r="I1096" t="e">
        <f>RigheOfferte[[#This Row],[Colore]]</f>
        <v>#VALUE!</v>
      </c>
      <c r="J1096" t="e">
        <f>RigheOfferte[[#This Row],[Velocità]]</f>
        <v>#VALUE!</v>
      </c>
      <c r="K1096" t="e">
        <f>RigheOfferte[[#This Row],[Superf.pz Mq]]</f>
        <v>#VALUE!</v>
      </c>
      <c r="L1096" t="e">
        <f>RigheOfferte[[#This Row],[passo]]</f>
        <v>#VALUE!</v>
      </c>
      <c r="M1096" t="e">
        <f>RigheOfferte[[#This Row],[nr.pezzi Telaio]]</f>
        <v>#VALUE!</v>
      </c>
      <c r="N1096" t="e">
        <f>RigheOfferte[[#This Row],[nr.pezzi ora-unita]]</f>
        <v>#VALUE!</v>
      </c>
      <c r="O1096" t="e">
        <f>Tabella1[[#This Row],[superificie]]*Resa</f>
        <v>#VALUE!</v>
      </c>
      <c r="P1096" t="e">
        <f>Tabella1[[#This Row],[KgPezzo]]*Tabella1[[#This Row],[q.ta offerta]]</f>
        <v>#VALUE!</v>
      </c>
      <c r="Q1096" t="e">
        <f>RigheOfferte[[#This Row],[QtaProtez]]</f>
        <v>#VALUE!</v>
      </c>
      <c r="R1096" t="e">
        <f>RigheOfferte[[#This Row],[Tipo Protezione]]</f>
        <v>#VALUE!</v>
      </c>
    </row>
    <row r="1097" spans="1:18">
      <c r="A1097" t="e">
        <f>RigheOfferte[[#This Row],[Nprev]]</f>
        <v>#VALUE!</v>
      </c>
      <c r="B1097" t="e">
        <f>RigheOfferte[[#This Row],[Nriga]]</f>
        <v>#VALUE!</v>
      </c>
      <c r="C1097" t="e">
        <f>RigheOfferte[[#This Row],[Cliente]]</f>
        <v>#VALUE!</v>
      </c>
      <c r="D1097" t="e">
        <f>RigheOfferte[[#This Row],[sub_cliente]]</f>
        <v>#VALUE!</v>
      </c>
      <c r="E1097" t="e">
        <f>RigheOfferte[[#This Row],[cod.Art.]]</f>
        <v>#VALUE!</v>
      </c>
      <c r="F1097" t="e">
        <f>RigheOfferte[[#This Row],[Descrizione]]</f>
        <v>#VALUE!</v>
      </c>
      <c r="G1097" t="e">
        <f>RigheOfferte[[#This Row],[Q.ta'']]</f>
        <v>#VALUE!</v>
      </c>
      <c r="H1097" t="e">
        <f>RigheOfferte[[#This Row],[Lavorazione]]</f>
        <v>#VALUE!</v>
      </c>
      <c r="I1097" t="e">
        <f>RigheOfferte[[#This Row],[Colore]]</f>
        <v>#VALUE!</v>
      </c>
      <c r="J1097" t="e">
        <f>RigheOfferte[[#This Row],[Velocità]]</f>
        <v>#VALUE!</v>
      </c>
      <c r="K1097" t="e">
        <f>RigheOfferte[[#This Row],[Superf.pz Mq]]</f>
        <v>#VALUE!</v>
      </c>
      <c r="L1097" t="e">
        <f>RigheOfferte[[#This Row],[passo]]</f>
        <v>#VALUE!</v>
      </c>
      <c r="M1097" t="e">
        <f>RigheOfferte[[#This Row],[nr.pezzi Telaio]]</f>
        <v>#VALUE!</v>
      </c>
      <c r="N1097" t="e">
        <f>RigheOfferte[[#This Row],[nr.pezzi ora-unita]]</f>
        <v>#VALUE!</v>
      </c>
      <c r="O1097" t="e">
        <f>Tabella1[[#This Row],[superificie]]*Resa</f>
        <v>#VALUE!</v>
      </c>
      <c r="P1097" t="e">
        <f>Tabella1[[#This Row],[KgPezzo]]*Tabella1[[#This Row],[q.ta offerta]]</f>
        <v>#VALUE!</v>
      </c>
      <c r="Q1097" t="e">
        <f>RigheOfferte[[#This Row],[QtaProtez]]</f>
        <v>#VALUE!</v>
      </c>
      <c r="R1097" t="e">
        <f>RigheOfferte[[#This Row],[Tipo Protezione]]</f>
        <v>#VALUE!</v>
      </c>
    </row>
    <row r="1098" spans="1:18">
      <c r="A1098" t="e">
        <f>RigheOfferte[[#This Row],[Nprev]]</f>
        <v>#VALUE!</v>
      </c>
      <c r="B1098" t="e">
        <f>RigheOfferte[[#This Row],[Nriga]]</f>
        <v>#VALUE!</v>
      </c>
      <c r="C1098" t="e">
        <f>RigheOfferte[[#This Row],[Cliente]]</f>
        <v>#VALUE!</v>
      </c>
      <c r="D1098" t="e">
        <f>RigheOfferte[[#This Row],[sub_cliente]]</f>
        <v>#VALUE!</v>
      </c>
      <c r="E1098" t="e">
        <f>RigheOfferte[[#This Row],[cod.Art.]]</f>
        <v>#VALUE!</v>
      </c>
      <c r="F1098" t="e">
        <f>RigheOfferte[[#This Row],[Descrizione]]</f>
        <v>#VALUE!</v>
      </c>
      <c r="G1098" t="e">
        <f>RigheOfferte[[#This Row],[Q.ta'']]</f>
        <v>#VALUE!</v>
      </c>
      <c r="H1098" t="e">
        <f>RigheOfferte[[#This Row],[Lavorazione]]</f>
        <v>#VALUE!</v>
      </c>
      <c r="I1098" t="e">
        <f>RigheOfferte[[#This Row],[Colore]]</f>
        <v>#VALUE!</v>
      </c>
      <c r="J1098" t="e">
        <f>RigheOfferte[[#This Row],[Velocità]]</f>
        <v>#VALUE!</v>
      </c>
      <c r="K1098" t="e">
        <f>RigheOfferte[[#This Row],[Superf.pz Mq]]</f>
        <v>#VALUE!</v>
      </c>
      <c r="L1098" t="e">
        <f>RigheOfferte[[#This Row],[passo]]</f>
        <v>#VALUE!</v>
      </c>
      <c r="M1098" t="e">
        <f>RigheOfferte[[#This Row],[nr.pezzi Telaio]]</f>
        <v>#VALUE!</v>
      </c>
      <c r="N1098" t="e">
        <f>RigheOfferte[[#This Row],[nr.pezzi ora-unita]]</f>
        <v>#VALUE!</v>
      </c>
      <c r="O1098" t="e">
        <f>Tabella1[[#This Row],[superificie]]*Resa</f>
        <v>#VALUE!</v>
      </c>
      <c r="P1098" t="e">
        <f>Tabella1[[#This Row],[KgPezzo]]*Tabella1[[#This Row],[q.ta offerta]]</f>
        <v>#VALUE!</v>
      </c>
      <c r="Q1098" t="e">
        <f>RigheOfferte[[#This Row],[QtaProtez]]</f>
        <v>#VALUE!</v>
      </c>
      <c r="R1098" t="e">
        <f>RigheOfferte[[#This Row],[Tipo Protezione]]</f>
        <v>#VALUE!</v>
      </c>
    </row>
    <row r="1099" spans="1:18">
      <c r="A1099" t="e">
        <f>RigheOfferte[[#This Row],[Nprev]]</f>
        <v>#VALUE!</v>
      </c>
      <c r="B1099" t="e">
        <f>RigheOfferte[[#This Row],[Nriga]]</f>
        <v>#VALUE!</v>
      </c>
      <c r="C1099" t="e">
        <f>RigheOfferte[[#This Row],[Cliente]]</f>
        <v>#VALUE!</v>
      </c>
      <c r="D1099" t="e">
        <f>RigheOfferte[[#This Row],[sub_cliente]]</f>
        <v>#VALUE!</v>
      </c>
      <c r="E1099" t="e">
        <f>RigheOfferte[[#This Row],[cod.Art.]]</f>
        <v>#VALUE!</v>
      </c>
      <c r="F1099" t="e">
        <f>RigheOfferte[[#This Row],[Descrizione]]</f>
        <v>#VALUE!</v>
      </c>
      <c r="G1099" t="e">
        <f>RigheOfferte[[#This Row],[Q.ta'']]</f>
        <v>#VALUE!</v>
      </c>
      <c r="H1099" t="e">
        <f>RigheOfferte[[#This Row],[Lavorazione]]</f>
        <v>#VALUE!</v>
      </c>
      <c r="I1099" t="e">
        <f>RigheOfferte[[#This Row],[Colore]]</f>
        <v>#VALUE!</v>
      </c>
      <c r="J1099" t="e">
        <f>RigheOfferte[[#This Row],[Velocità]]</f>
        <v>#VALUE!</v>
      </c>
      <c r="K1099" t="e">
        <f>RigheOfferte[[#This Row],[Superf.pz Mq]]</f>
        <v>#VALUE!</v>
      </c>
      <c r="L1099" t="e">
        <f>RigheOfferte[[#This Row],[passo]]</f>
        <v>#VALUE!</v>
      </c>
      <c r="M1099" t="e">
        <f>RigheOfferte[[#This Row],[nr.pezzi Telaio]]</f>
        <v>#VALUE!</v>
      </c>
      <c r="N1099" t="e">
        <f>RigheOfferte[[#This Row],[nr.pezzi ora-unita]]</f>
        <v>#VALUE!</v>
      </c>
      <c r="O1099" t="e">
        <f>Tabella1[[#This Row],[superificie]]*Resa</f>
        <v>#VALUE!</v>
      </c>
      <c r="P1099" t="e">
        <f>Tabella1[[#This Row],[KgPezzo]]*Tabella1[[#This Row],[q.ta offerta]]</f>
        <v>#VALUE!</v>
      </c>
      <c r="Q1099" t="e">
        <f>RigheOfferte[[#This Row],[QtaProtez]]</f>
        <v>#VALUE!</v>
      </c>
      <c r="R1099" t="e">
        <f>RigheOfferte[[#This Row],[Tipo Protezione]]</f>
        <v>#VALUE!</v>
      </c>
    </row>
    <row r="1100" spans="1:18">
      <c r="A1100" t="e">
        <f>RigheOfferte[[#This Row],[Nprev]]</f>
        <v>#VALUE!</v>
      </c>
      <c r="B1100" t="e">
        <f>RigheOfferte[[#This Row],[Nriga]]</f>
        <v>#VALUE!</v>
      </c>
      <c r="C1100" t="e">
        <f>RigheOfferte[[#This Row],[Cliente]]</f>
        <v>#VALUE!</v>
      </c>
      <c r="D1100" t="e">
        <f>RigheOfferte[[#This Row],[sub_cliente]]</f>
        <v>#VALUE!</v>
      </c>
      <c r="E1100" t="e">
        <f>RigheOfferte[[#This Row],[cod.Art.]]</f>
        <v>#VALUE!</v>
      </c>
      <c r="F1100" t="e">
        <f>RigheOfferte[[#This Row],[Descrizione]]</f>
        <v>#VALUE!</v>
      </c>
      <c r="G1100" t="e">
        <f>RigheOfferte[[#This Row],[Q.ta'']]</f>
        <v>#VALUE!</v>
      </c>
      <c r="H1100" t="e">
        <f>RigheOfferte[[#This Row],[Lavorazione]]</f>
        <v>#VALUE!</v>
      </c>
      <c r="I1100" t="e">
        <f>RigheOfferte[[#This Row],[Colore]]</f>
        <v>#VALUE!</v>
      </c>
      <c r="J1100" t="e">
        <f>RigheOfferte[[#This Row],[Velocità]]</f>
        <v>#VALUE!</v>
      </c>
      <c r="K1100" t="e">
        <f>RigheOfferte[[#This Row],[Superf.pz Mq]]</f>
        <v>#VALUE!</v>
      </c>
      <c r="L1100" t="e">
        <f>RigheOfferte[[#This Row],[passo]]</f>
        <v>#VALUE!</v>
      </c>
      <c r="M1100" t="e">
        <f>RigheOfferte[[#This Row],[nr.pezzi Telaio]]</f>
        <v>#VALUE!</v>
      </c>
      <c r="N1100" t="e">
        <f>RigheOfferte[[#This Row],[nr.pezzi ora-unita]]</f>
        <v>#VALUE!</v>
      </c>
      <c r="O1100" t="e">
        <f>Tabella1[[#This Row],[superificie]]*Resa</f>
        <v>#VALUE!</v>
      </c>
      <c r="P1100" t="e">
        <f>Tabella1[[#This Row],[KgPezzo]]*Tabella1[[#This Row],[q.ta offerta]]</f>
        <v>#VALUE!</v>
      </c>
      <c r="Q1100" t="e">
        <f>RigheOfferte[[#This Row],[QtaProtez]]</f>
        <v>#VALUE!</v>
      </c>
      <c r="R1100" t="e">
        <f>RigheOfferte[[#This Row],[Tipo Protezione]]</f>
        <v>#VALUE!</v>
      </c>
    </row>
    <row r="1101" spans="1:18">
      <c r="A1101" t="e">
        <f>RigheOfferte[[#This Row],[Nprev]]</f>
        <v>#VALUE!</v>
      </c>
      <c r="B1101" t="e">
        <f>RigheOfferte[[#This Row],[Nriga]]</f>
        <v>#VALUE!</v>
      </c>
      <c r="C1101" t="e">
        <f>RigheOfferte[[#This Row],[Cliente]]</f>
        <v>#VALUE!</v>
      </c>
      <c r="D1101" t="e">
        <f>RigheOfferte[[#This Row],[sub_cliente]]</f>
        <v>#VALUE!</v>
      </c>
      <c r="E1101" t="e">
        <f>RigheOfferte[[#This Row],[cod.Art.]]</f>
        <v>#VALUE!</v>
      </c>
      <c r="F1101" t="e">
        <f>RigheOfferte[[#This Row],[Descrizione]]</f>
        <v>#VALUE!</v>
      </c>
      <c r="G1101" t="e">
        <f>RigheOfferte[[#This Row],[Q.ta'']]</f>
        <v>#VALUE!</v>
      </c>
      <c r="H1101" t="e">
        <f>RigheOfferte[[#This Row],[Lavorazione]]</f>
        <v>#VALUE!</v>
      </c>
      <c r="I1101" t="e">
        <f>RigheOfferte[[#This Row],[Colore]]</f>
        <v>#VALUE!</v>
      </c>
      <c r="J1101" t="e">
        <f>RigheOfferte[[#This Row],[Velocità]]</f>
        <v>#VALUE!</v>
      </c>
      <c r="K1101" t="e">
        <f>RigheOfferte[[#This Row],[Superf.pz Mq]]</f>
        <v>#VALUE!</v>
      </c>
      <c r="L1101" t="e">
        <f>RigheOfferte[[#This Row],[passo]]</f>
        <v>#VALUE!</v>
      </c>
      <c r="M1101" t="e">
        <f>RigheOfferte[[#This Row],[nr.pezzi Telaio]]</f>
        <v>#VALUE!</v>
      </c>
      <c r="N1101" t="e">
        <f>RigheOfferte[[#This Row],[nr.pezzi ora-unita]]</f>
        <v>#VALUE!</v>
      </c>
      <c r="O1101" t="e">
        <f>Tabella1[[#This Row],[superificie]]*Resa</f>
        <v>#VALUE!</v>
      </c>
      <c r="P1101" t="e">
        <f>Tabella1[[#This Row],[KgPezzo]]*Tabella1[[#This Row],[q.ta offerta]]</f>
        <v>#VALUE!</v>
      </c>
      <c r="Q1101" t="e">
        <f>RigheOfferte[[#This Row],[QtaProtez]]</f>
        <v>#VALUE!</v>
      </c>
      <c r="R1101" t="e">
        <f>RigheOfferte[[#This Row],[Tipo Protezione]]</f>
        <v>#VALUE!</v>
      </c>
    </row>
    <row r="1102" spans="1:18">
      <c r="A1102" t="e">
        <f>RigheOfferte[[#This Row],[Nprev]]</f>
        <v>#VALUE!</v>
      </c>
      <c r="B1102" t="e">
        <f>RigheOfferte[[#This Row],[Nriga]]</f>
        <v>#VALUE!</v>
      </c>
      <c r="C1102" t="e">
        <f>RigheOfferte[[#This Row],[Cliente]]</f>
        <v>#VALUE!</v>
      </c>
      <c r="D1102" t="e">
        <f>RigheOfferte[[#This Row],[sub_cliente]]</f>
        <v>#VALUE!</v>
      </c>
      <c r="E1102" t="e">
        <f>RigheOfferte[[#This Row],[cod.Art.]]</f>
        <v>#VALUE!</v>
      </c>
      <c r="F1102" t="e">
        <f>RigheOfferte[[#This Row],[Descrizione]]</f>
        <v>#VALUE!</v>
      </c>
      <c r="G1102" t="e">
        <f>RigheOfferte[[#This Row],[Q.ta'']]</f>
        <v>#VALUE!</v>
      </c>
      <c r="H1102" t="e">
        <f>RigheOfferte[[#This Row],[Lavorazione]]</f>
        <v>#VALUE!</v>
      </c>
      <c r="I1102" t="e">
        <f>RigheOfferte[[#This Row],[Colore]]</f>
        <v>#VALUE!</v>
      </c>
      <c r="J1102" t="e">
        <f>RigheOfferte[[#This Row],[Velocità]]</f>
        <v>#VALUE!</v>
      </c>
      <c r="K1102" t="e">
        <f>RigheOfferte[[#This Row],[Superf.pz Mq]]</f>
        <v>#VALUE!</v>
      </c>
      <c r="L1102" t="e">
        <f>RigheOfferte[[#This Row],[passo]]</f>
        <v>#VALUE!</v>
      </c>
      <c r="M1102" t="e">
        <f>RigheOfferte[[#This Row],[nr.pezzi Telaio]]</f>
        <v>#VALUE!</v>
      </c>
      <c r="N1102" t="e">
        <f>RigheOfferte[[#This Row],[nr.pezzi ora-unita]]</f>
        <v>#VALUE!</v>
      </c>
      <c r="O1102" t="e">
        <f>Tabella1[[#This Row],[superificie]]*Resa</f>
        <v>#VALUE!</v>
      </c>
      <c r="P1102" t="e">
        <f>Tabella1[[#This Row],[KgPezzo]]*Tabella1[[#This Row],[q.ta offerta]]</f>
        <v>#VALUE!</v>
      </c>
      <c r="Q1102" t="e">
        <f>RigheOfferte[[#This Row],[QtaProtez]]</f>
        <v>#VALUE!</v>
      </c>
      <c r="R1102" t="e">
        <f>RigheOfferte[[#This Row],[Tipo Protezione]]</f>
        <v>#VALUE!</v>
      </c>
    </row>
    <row r="1103" spans="1:18">
      <c r="A1103" t="e">
        <f>RigheOfferte[[#This Row],[Nprev]]</f>
        <v>#VALUE!</v>
      </c>
      <c r="B1103" t="e">
        <f>RigheOfferte[[#This Row],[Nriga]]</f>
        <v>#VALUE!</v>
      </c>
      <c r="C1103" t="e">
        <f>RigheOfferte[[#This Row],[Cliente]]</f>
        <v>#VALUE!</v>
      </c>
      <c r="D1103" t="e">
        <f>RigheOfferte[[#This Row],[sub_cliente]]</f>
        <v>#VALUE!</v>
      </c>
      <c r="E1103" t="e">
        <f>RigheOfferte[[#This Row],[cod.Art.]]</f>
        <v>#VALUE!</v>
      </c>
      <c r="F1103" t="e">
        <f>RigheOfferte[[#This Row],[Descrizione]]</f>
        <v>#VALUE!</v>
      </c>
      <c r="G1103" t="e">
        <f>RigheOfferte[[#This Row],[Q.ta'']]</f>
        <v>#VALUE!</v>
      </c>
      <c r="H1103" t="e">
        <f>RigheOfferte[[#This Row],[Lavorazione]]</f>
        <v>#VALUE!</v>
      </c>
      <c r="I1103" t="e">
        <f>RigheOfferte[[#This Row],[Colore]]</f>
        <v>#VALUE!</v>
      </c>
      <c r="J1103" t="e">
        <f>RigheOfferte[[#This Row],[Velocità]]</f>
        <v>#VALUE!</v>
      </c>
      <c r="K1103" t="e">
        <f>RigheOfferte[[#This Row],[Superf.pz Mq]]</f>
        <v>#VALUE!</v>
      </c>
      <c r="L1103" t="e">
        <f>RigheOfferte[[#This Row],[passo]]</f>
        <v>#VALUE!</v>
      </c>
      <c r="M1103" t="e">
        <f>RigheOfferte[[#This Row],[nr.pezzi Telaio]]</f>
        <v>#VALUE!</v>
      </c>
      <c r="N1103" t="e">
        <f>RigheOfferte[[#This Row],[nr.pezzi ora-unita]]</f>
        <v>#VALUE!</v>
      </c>
      <c r="O1103" t="e">
        <f>Tabella1[[#This Row],[superificie]]*Resa</f>
        <v>#VALUE!</v>
      </c>
      <c r="P1103" t="e">
        <f>Tabella1[[#This Row],[KgPezzo]]*Tabella1[[#This Row],[q.ta offerta]]</f>
        <v>#VALUE!</v>
      </c>
      <c r="Q1103" t="e">
        <f>RigheOfferte[[#This Row],[QtaProtez]]</f>
        <v>#VALUE!</v>
      </c>
      <c r="R1103" t="e">
        <f>RigheOfferte[[#This Row],[Tipo Protezione]]</f>
        <v>#VALUE!</v>
      </c>
    </row>
    <row r="1104" spans="1:18">
      <c r="A1104" t="e">
        <f>RigheOfferte[[#This Row],[Nprev]]</f>
        <v>#VALUE!</v>
      </c>
      <c r="B1104" t="e">
        <f>RigheOfferte[[#This Row],[Nriga]]</f>
        <v>#VALUE!</v>
      </c>
      <c r="C1104" t="e">
        <f>RigheOfferte[[#This Row],[Cliente]]</f>
        <v>#VALUE!</v>
      </c>
      <c r="D1104" t="e">
        <f>RigheOfferte[[#This Row],[sub_cliente]]</f>
        <v>#VALUE!</v>
      </c>
      <c r="E1104" t="e">
        <f>RigheOfferte[[#This Row],[cod.Art.]]</f>
        <v>#VALUE!</v>
      </c>
      <c r="F1104" t="e">
        <f>RigheOfferte[[#This Row],[Descrizione]]</f>
        <v>#VALUE!</v>
      </c>
      <c r="G1104" t="e">
        <f>RigheOfferte[[#This Row],[Q.ta'']]</f>
        <v>#VALUE!</v>
      </c>
      <c r="H1104" t="e">
        <f>RigheOfferte[[#This Row],[Lavorazione]]</f>
        <v>#VALUE!</v>
      </c>
      <c r="I1104" t="e">
        <f>RigheOfferte[[#This Row],[Colore]]</f>
        <v>#VALUE!</v>
      </c>
      <c r="J1104" t="e">
        <f>RigheOfferte[[#This Row],[Velocità]]</f>
        <v>#VALUE!</v>
      </c>
      <c r="K1104" t="e">
        <f>RigheOfferte[[#This Row],[Superf.pz Mq]]</f>
        <v>#VALUE!</v>
      </c>
      <c r="L1104" t="e">
        <f>RigheOfferte[[#This Row],[passo]]</f>
        <v>#VALUE!</v>
      </c>
      <c r="M1104" t="e">
        <f>RigheOfferte[[#This Row],[nr.pezzi Telaio]]</f>
        <v>#VALUE!</v>
      </c>
      <c r="N1104" t="e">
        <f>RigheOfferte[[#This Row],[nr.pezzi ora-unita]]</f>
        <v>#VALUE!</v>
      </c>
      <c r="O1104" t="e">
        <f>Tabella1[[#This Row],[superificie]]*Resa</f>
        <v>#VALUE!</v>
      </c>
      <c r="P1104" t="e">
        <f>Tabella1[[#This Row],[KgPezzo]]*Tabella1[[#This Row],[q.ta offerta]]</f>
        <v>#VALUE!</v>
      </c>
      <c r="Q1104" t="e">
        <f>RigheOfferte[[#This Row],[QtaProtez]]</f>
        <v>#VALUE!</v>
      </c>
      <c r="R1104" t="e">
        <f>RigheOfferte[[#This Row],[Tipo Protezione]]</f>
        <v>#VALUE!</v>
      </c>
    </row>
    <row r="1105" spans="1:18">
      <c r="A1105" t="e">
        <f>RigheOfferte[[#This Row],[Nprev]]</f>
        <v>#VALUE!</v>
      </c>
      <c r="B1105" t="e">
        <f>RigheOfferte[[#This Row],[Nriga]]</f>
        <v>#VALUE!</v>
      </c>
      <c r="C1105" t="e">
        <f>RigheOfferte[[#This Row],[Cliente]]</f>
        <v>#VALUE!</v>
      </c>
      <c r="D1105" t="e">
        <f>RigheOfferte[[#This Row],[sub_cliente]]</f>
        <v>#VALUE!</v>
      </c>
      <c r="E1105" t="e">
        <f>RigheOfferte[[#This Row],[cod.Art.]]</f>
        <v>#VALUE!</v>
      </c>
      <c r="F1105" t="e">
        <f>RigheOfferte[[#This Row],[Descrizione]]</f>
        <v>#VALUE!</v>
      </c>
      <c r="G1105" t="e">
        <f>RigheOfferte[[#This Row],[Q.ta'']]</f>
        <v>#VALUE!</v>
      </c>
      <c r="H1105" t="e">
        <f>RigheOfferte[[#This Row],[Lavorazione]]</f>
        <v>#VALUE!</v>
      </c>
      <c r="I1105" t="e">
        <f>RigheOfferte[[#This Row],[Colore]]</f>
        <v>#VALUE!</v>
      </c>
      <c r="J1105" t="e">
        <f>RigheOfferte[[#This Row],[Velocità]]</f>
        <v>#VALUE!</v>
      </c>
      <c r="K1105" t="e">
        <f>RigheOfferte[[#This Row],[Superf.pz Mq]]</f>
        <v>#VALUE!</v>
      </c>
      <c r="L1105" t="e">
        <f>RigheOfferte[[#This Row],[passo]]</f>
        <v>#VALUE!</v>
      </c>
      <c r="M1105" t="e">
        <f>RigheOfferte[[#This Row],[nr.pezzi Telaio]]</f>
        <v>#VALUE!</v>
      </c>
      <c r="N1105" t="e">
        <f>RigheOfferte[[#This Row],[nr.pezzi ora-unita]]</f>
        <v>#VALUE!</v>
      </c>
      <c r="O1105" t="e">
        <f>Tabella1[[#This Row],[superificie]]*Resa</f>
        <v>#VALUE!</v>
      </c>
      <c r="P1105" t="e">
        <f>Tabella1[[#This Row],[KgPezzo]]*Tabella1[[#This Row],[q.ta offerta]]</f>
        <v>#VALUE!</v>
      </c>
      <c r="Q1105" t="e">
        <f>RigheOfferte[[#This Row],[QtaProtez]]</f>
        <v>#VALUE!</v>
      </c>
      <c r="R1105" t="e">
        <f>RigheOfferte[[#This Row],[Tipo Protezione]]</f>
        <v>#VALUE!</v>
      </c>
    </row>
    <row r="1106" spans="1:18">
      <c r="A1106" t="e">
        <f>RigheOfferte[[#This Row],[Nprev]]</f>
        <v>#VALUE!</v>
      </c>
      <c r="B1106" t="e">
        <f>RigheOfferte[[#This Row],[Nriga]]</f>
        <v>#VALUE!</v>
      </c>
      <c r="C1106" t="e">
        <f>RigheOfferte[[#This Row],[Cliente]]</f>
        <v>#VALUE!</v>
      </c>
      <c r="D1106" t="e">
        <f>RigheOfferte[[#This Row],[sub_cliente]]</f>
        <v>#VALUE!</v>
      </c>
      <c r="E1106" t="e">
        <f>RigheOfferte[[#This Row],[cod.Art.]]</f>
        <v>#VALUE!</v>
      </c>
      <c r="F1106" t="e">
        <f>RigheOfferte[[#This Row],[Descrizione]]</f>
        <v>#VALUE!</v>
      </c>
      <c r="G1106" t="e">
        <f>RigheOfferte[[#This Row],[Q.ta'']]</f>
        <v>#VALUE!</v>
      </c>
      <c r="H1106" t="e">
        <f>RigheOfferte[[#This Row],[Lavorazione]]</f>
        <v>#VALUE!</v>
      </c>
      <c r="I1106" t="e">
        <f>RigheOfferte[[#This Row],[Colore]]</f>
        <v>#VALUE!</v>
      </c>
      <c r="J1106" t="e">
        <f>RigheOfferte[[#This Row],[Velocità]]</f>
        <v>#VALUE!</v>
      </c>
      <c r="K1106" t="e">
        <f>RigheOfferte[[#This Row],[Superf.pz Mq]]</f>
        <v>#VALUE!</v>
      </c>
      <c r="L1106" t="e">
        <f>RigheOfferte[[#This Row],[passo]]</f>
        <v>#VALUE!</v>
      </c>
      <c r="M1106" t="e">
        <f>RigheOfferte[[#This Row],[nr.pezzi Telaio]]</f>
        <v>#VALUE!</v>
      </c>
      <c r="N1106" t="e">
        <f>RigheOfferte[[#This Row],[nr.pezzi ora-unita]]</f>
        <v>#VALUE!</v>
      </c>
      <c r="O1106" t="e">
        <f>Tabella1[[#This Row],[superificie]]*Resa</f>
        <v>#VALUE!</v>
      </c>
      <c r="P1106" t="e">
        <f>Tabella1[[#This Row],[KgPezzo]]*Tabella1[[#This Row],[q.ta offerta]]</f>
        <v>#VALUE!</v>
      </c>
      <c r="Q1106" t="e">
        <f>RigheOfferte[[#This Row],[QtaProtez]]</f>
        <v>#VALUE!</v>
      </c>
      <c r="R1106" t="e">
        <f>RigheOfferte[[#This Row],[Tipo Protezione]]</f>
        <v>#VALUE!</v>
      </c>
    </row>
    <row r="1107" spans="1:18">
      <c r="A1107" t="e">
        <f>RigheOfferte[[#This Row],[Nprev]]</f>
        <v>#VALUE!</v>
      </c>
      <c r="B1107" t="e">
        <f>RigheOfferte[[#This Row],[Nriga]]</f>
        <v>#VALUE!</v>
      </c>
      <c r="C1107" t="e">
        <f>RigheOfferte[[#This Row],[Cliente]]</f>
        <v>#VALUE!</v>
      </c>
      <c r="D1107" t="e">
        <f>RigheOfferte[[#This Row],[sub_cliente]]</f>
        <v>#VALUE!</v>
      </c>
      <c r="E1107" t="e">
        <f>RigheOfferte[[#This Row],[cod.Art.]]</f>
        <v>#VALUE!</v>
      </c>
      <c r="F1107" t="e">
        <f>RigheOfferte[[#This Row],[Descrizione]]</f>
        <v>#VALUE!</v>
      </c>
      <c r="G1107" t="e">
        <f>RigheOfferte[[#This Row],[Q.ta'']]</f>
        <v>#VALUE!</v>
      </c>
      <c r="H1107" t="e">
        <f>RigheOfferte[[#This Row],[Lavorazione]]</f>
        <v>#VALUE!</v>
      </c>
      <c r="I1107" t="e">
        <f>RigheOfferte[[#This Row],[Colore]]</f>
        <v>#VALUE!</v>
      </c>
      <c r="J1107" t="e">
        <f>RigheOfferte[[#This Row],[Velocità]]</f>
        <v>#VALUE!</v>
      </c>
      <c r="K1107" t="e">
        <f>RigheOfferte[[#This Row],[Superf.pz Mq]]</f>
        <v>#VALUE!</v>
      </c>
      <c r="L1107" t="e">
        <f>RigheOfferte[[#This Row],[passo]]</f>
        <v>#VALUE!</v>
      </c>
      <c r="M1107" t="e">
        <f>RigheOfferte[[#This Row],[nr.pezzi Telaio]]</f>
        <v>#VALUE!</v>
      </c>
      <c r="N1107" t="e">
        <f>RigheOfferte[[#This Row],[nr.pezzi ora-unita]]</f>
        <v>#VALUE!</v>
      </c>
      <c r="O1107" t="e">
        <f>Tabella1[[#This Row],[superificie]]*Resa</f>
        <v>#VALUE!</v>
      </c>
      <c r="P1107" t="e">
        <f>Tabella1[[#This Row],[KgPezzo]]*Tabella1[[#This Row],[q.ta offerta]]</f>
        <v>#VALUE!</v>
      </c>
      <c r="Q1107" t="e">
        <f>RigheOfferte[[#This Row],[QtaProtez]]</f>
        <v>#VALUE!</v>
      </c>
      <c r="R1107" t="e">
        <f>RigheOfferte[[#This Row],[Tipo Protezione]]</f>
        <v>#VALUE!</v>
      </c>
    </row>
    <row r="1108" spans="1:18">
      <c r="A1108" t="e">
        <f>RigheOfferte[[#This Row],[Nprev]]</f>
        <v>#VALUE!</v>
      </c>
      <c r="B1108" t="e">
        <f>RigheOfferte[[#This Row],[Nriga]]</f>
        <v>#VALUE!</v>
      </c>
      <c r="C1108" t="e">
        <f>RigheOfferte[[#This Row],[Cliente]]</f>
        <v>#VALUE!</v>
      </c>
      <c r="D1108" t="e">
        <f>RigheOfferte[[#This Row],[sub_cliente]]</f>
        <v>#VALUE!</v>
      </c>
      <c r="E1108" t="e">
        <f>RigheOfferte[[#This Row],[cod.Art.]]</f>
        <v>#VALUE!</v>
      </c>
      <c r="F1108" t="e">
        <f>RigheOfferte[[#This Row],[Descrizione]]</f>
        <v>#VALUE!</v>
      </c>
      <c r="G1108" t="e">
        <f>RigheOfferte[[#This Row],[Q.ta'']]</f>
        <v>#VALUE!</v>
      </c>
      <c r="H1108" t="e">
        <f>RigheOfferte[[#This Row],[Lavorazione]]</f>
        <v>#VALUE!</v>
      </c>
      <c r="I1108" t="e">
        <f>RigheOfferte[[#This Row],[Colore]]</f>
        <v>#VALUE!</v>
      </c>
      <c r="J1108" t="e">
        <f>RigheOfferte[[#This Row],[Velocità]]</f>
        <v>#VALUE!</v>
      </c>
      <c r="K1108" t="e">
        <f>RigheOfferte[[#This Row],[Superf.pz Mq]]</f>
        <v>#VALUE!</v>
      </c>
      <c r="L1108" t="e">
        <f>RigheOfferte[[#This Row],[passo]]</f>
        <v>#VALUE!</v>
      </c>
      <c r="M1108" t="e">
        <f>RigheOfferte[[#This Row],[nr.pezzi Telaio]]</f>
        <v>#VALUE!</v>
      </c>
      <c r="N1108" t="e">
        <f>RigheOfferte[[#This Row],[nr.pezzi ora-unita]]</f>
        <v>#VALUE!</v>
      </c>
      <c r="O1108" t="e">
        <f>Tabella1[[#This Row],[superificie]]*Resa</f>
        <v>#VALUE!</v>
      </c>
      <c r="P1108" t="e">
        <f>Tabella1[[#This Row],[KgPezzo]]*Tabella1[[#This Row],[q.ta offerta]]</f>
        <v>#VALUE!</v>
      </c>
      <c r="Q1108" t="e">
        <f>RigheOfferte[[#This Row],[QtaProtez]]</f>
        <v>#VALUE!</v>
      </c>
      <c r="R1108" t="e">
        <f>RigheOfferte[[#This Row],[Tipo Protezione]]</f>
        <v>#VALUE!</v>
      </c>
    </row>
    <row r="1109" spans="1:18">
      <c r="A1109" t="e">
        <f>RigheOfferte[[#This Row],[Nprev]]</f>
        <v>#VALUE!</v>
      </c>
      <c r="B1109" t="e">
        <f>RigheOfferte[[#This Row],[Nriga]]</f>
        <v>#VALUE!</v>
      </c>
      <c r="C1109" t="e">
        <f>RigheOfferte[[#This Row],[Cliente]]</f>
        <v>#VALUE!</v>
      </c>
      <c r="D1109" t="e">
        <f>RigheOfferte[[#This Row],[sub_cliente]]</f>
        <v>#VALUE!</v>
      </c>
      <c r="E1109" t="e">
        <f>RigheOfferte[[#This Row],[cod.Art.]]</f>
        <v>#VALUE!</v>
      </c>
      <c r="F1109" t="e">
        <f>RigheOfferte[[#This Row],[Descrizione]]</f>
        <v>#VALUE!</v>
      </c>
      <c r="G1109" t="e">
        <f>RigheOfferte[[#This Row],[Q.ta'']]</f>
        <v>#VALUE!</v>
      </c>
      <c r="H1109" t="e">
        <f>RigheOfferte[[#This Row],[Lavorazione]]</f>
        <v>#VALUE!</v>
      </c>
      <c r="I1109" t="e">
        <f>RigheOfferte[[#This Row],[Colore]]</f>
        <v>#VALUE!</v>
      </c>
      <c r="J1109" t="e">
        <f>RigheOfferte[[#This Row],[Velocità]]</f>
        <v>#VALUE!</v>
      </c>
      <c r="K1109" t="e">
        <f>RigheOfferte[[#This Row],[Superf.pz Mq]]</f>
        <v>#VALUE!</v>
      </c>
      <c r="L1109" t="e">
        <f>RigheOfferte[[#This Row],[passo]]</f>
        <v>#VALUE!</v>
      </c>
      <c r="M1109" t="e">
        <f>RigheOfferte[[#This Row],[nr.pezzi Telaio]]</f>
        <v>#VALUE!</v>
      </c>
      <c r="N1109" t="e">
        <f>RigheOfferte[[#This Row],[nr.pezzi ora-unita]]</f>
        <v>#VALUE!</v>
      </c>
      <c r="O1109" t="e">
        <f>Tabella1[[#This Row],[superificie]]*Resa</f>
        <v>#VALUE!</v>
      </c>
      <c r="P1109" t="e">
        <f>Tabella1[[#This Row],[KgPezzo]]*Tabella1[[#This Row],[q.ta offerta]]</f>
        <v>#VALUE!</v>
      </c>
      <c r="Q1109" t="e">
        <f>RigheOfferte[[#This Row],[QtaProtez]]</f>
        <v>#VALUE!</v>
      </c>
      <c r="R1109" t="e">
        <f>RigheOfferte[[#This Row],[Tipo Protezione]]</f>
        <v>#VALUE!</v>
      </c>
    </row>
    <row r="1110" spans="1:18">
      <c r="A1110" t="e">
        <f>RigheOfferte[[#This Row],[Nprev]]</f>
        <v>#VALUE!</v>
      </c>
      <c r="B1110" t="e">
        <f>RigheOfferte[[#This Row],[Nriga]]</f>
        <v>#VALUE!</v>
      </c>
      <c r="C1110" t="e">
        <f>RigheOfferte[[#This Row],[Cliente]]</f>
        <v>#VALUE!</v>
      </c>
      <c r="D1110" t="e">
        <f>RigheOfferte[[#This Row],[sub_cliente]]</f>
        <v>#VALUE!</v>
      </c>
      <c r="E1110" t="e">
        <f>RigheOfferte[[#This Row],[cod.Art.]]</f>
        <v>#VALUE!</v>
      </c>
      <c r="F1110" t="e">
        <f>RigheOfferte[[#This Row],[Descrizione]]</f>
        <v>#VALUE!</v>
      </c>
      <c r="G1110" t="e">
        <f>RigheOfferte[[#This Row],[Q.ta'']]</f>
        <v>#VALUE!</v>
      </c>
      <c r="H1110" t="e">
        <f>RigheOfferte[[#This Row],[Lavorazione]]</f>
        <v>#VALUE!</v>
      </c>
      <c r="I1110" t="e">
        <f>RigheOfferte[[#This Row],[Colore]]</f>
        <v>#VALUE!</v>
      </c>
      <c r="J1110" t="e">
        <f>RigheOfferte[[#This Row],[Velocità]]</f>
        <v>#VALUE!</v>
      </c>
      <c r="K1110" t="e">
        <f>RigheOfferte[[#This Row],[Superf.pz Mq]]</f>
        <v>#VALUE!</v>
      </c>
      <c r="L1110" t="e">
        <f>RigheOfferte[[#This Row],[passo]]</f>
        <v>#VALUE!</v>
      </c>
      <c r="M1110" t="e">
        <f>RigheOfferte[[#This Row],[nr.pezzi Telaio]]</f>
        <v>#VALUE!</v>
      </c>
      <c r="N1110" t="e">
        <f>RigheOfferte[[#This Row],[nr.pezzi ora-unita]]</f>
        <v>#VALUE!</v>
      </c>
      <c r="O1110" t="e">
        <f>Tabella1[[#This Row],[superificie]]*Resa</f>
        <v>#VALUE!</v>
      </c>
      <c r="P1110" t="e">
        <f>Tabella1[[#This Row],[KgPezzo]]*Tabella1[[#This Row],[q.ta offerta]]</f>
        <v>#VALUE!</v>
      </c>
      <c r="Q1110" t="e">
        <f>RigheOfferte[[#This Row],[QtaProtez]]</f>
        <v>#VALUE!</v>
      </c>
      <c r="R1110" t="e">
        <f>RigheOfferte[[#This Row],[Tipo Protezione]]</f>
        <v>#VALUE!</v>
      </c>
    </row>
    <row r="1111" spans="1:18">
      <c r="A1111" t="e">
        <f>RigheOfferte[[#This Row],[Nprev]]</f>
        <v>#VALUE!</v>
      </c>
      <c r="B1111" t="e">
        <f>RigheOfferte[[#This Row],[Nriga]]</f>
        <v>#VALUE!</v>
      </c>
      <c r="C1111" t="e">
        <f>RigheOfferte[[#This Row],[Cliente]]</f>
        <v>#VALUE!</v>
      </c>
      <c r="D1111" t="e">
        <f>RigheOfferte[[#This Row],[sub_cliente]]</f>
        <v>#VALUE!</v>
      </c>
      <c r="E1111" t="e">
        <f>RigheOfferte[[#This Row],[cod.Art.]]</f>
        <v>#VALUE!</v>
      </c>
      <c r="F1111" t="e">
        <f>RigheOfferte[[#This Row],[Descrizione]]</f>
        <v>#VALUE!</v>
      </c>
      <c r="G1111" t="e">
        <f>RigheOfferte[[#This Row],[Q.ta'']]</f>
        <v>#VALUE!</v>
      </c>
      <c r="H1111" t="e">
        <f>RigheOfferte[[#This Row],[Lavorazione]]</f>
        <v>#VALUE!</v>
      </c>
      <c r="I1111" t="e">
        <f>RigheOfferte[[#This Row],[Colore]]</f>
        <v>#VALUE!</v>
      </c>
      <c r="J1111" t="e">
        <f>RigheOfferte[[#This Row],[Velocità]]</f>
        <v>#VALUE!</v>
      </c>
      <c r="K1111" t="e">
        <f>RigheOfferte[[#This Row],[Superf.pz Mq]]</f>
        <v>#VALUE!</v>
      </c>
      <c r="L1111" t="e">
        <f>RigheOfferte[[#This Row],[passo]]</f>
        <v>#VALUE!</v>
      </c>
      <c r="M1111" t="e">
        <f>RigheOfferte[[#This Row],[nr.pezzi Telaio]]</f>
        <v>#VALUE!</v>
      </c>
      <c r="N1111" t="e">
        <f>RigheOfferte[[#This Row],[nr.pezzi ora-unita]]</f>
        <v>#VALUE!</v>
      </c>
      <c r="O1111" t="e">
        <f>Tabella1[[#This Row],[superificie]]*Resa</f>
        <v>#VALUE!</v>
      </c>
      <c r="P1111" t="e">
        <f>Tabella1[[#This Row],[KgPezzo]]*Tabella1[[#This Row],[q.ta offerta]]</f>
        <v>#VALUE!</v>
      </c>
      <c r="Q1111" t="e">
        <f>RigheOfferte[[#This Row],[QtaProtez]]</f>
        <v>#VALUE!</v>
      </c>
      <c r="R1111" t="e">
        <f>RigheOfferte[[#This Row],[Tipo Protezione]]</f>
        <v>#VALUE!</v>
      </c>
    </row>
    <row r="1112" spans="1:18">
      <c r="A1112" t="e">
        <f>RigheOfferte[[#This Row],[Nprev]]</f>
        <v>#VALUE!</v>
      </c>
      <c r="B1112" t="e">
        <f>RigheOfferte[[#This Row],[Nriga]]</f>
        <v>#VALUE!</v>
      </c>
      <c r="C1112" t="e">
        <f>RigheOfferte[[#This Row],[Cliente]]</f>
        <v>#VALUE!</v>
      </c>
      <c r="D1112" t="e">
        <f>RigheOfferte[[#This Row],[sub_cliente]]</f>
        <v>#VALUE!</v>
      </c>
      <c r="E1112" t="e">
        <f>RigheOfferte[[#This Row],[cod.Art.]]</f>
        <v>#VALUE!</v>
      </c>
      <c r="F1112" t="e">
        <f>RigheOfferte[[#This Row],[Descrizione]]</f>
        <v>#VALUE!</v>
      </c>
      <c r="G1112" t="e">
        <f>RigheOfferte[[#This Row],[Q.ta'']]</f>
        <v>#VALUE!</v>
      </c>
      <c r="H1112" t="e">
        <f>RigheOfferte[[#This Row],[Lavorazione]]</f>
        <v>#VALUE!</v>
      </c>
      <c r="I1112" t="e">
        <f>RigheOfferte[[#This Row],[Colore]]</f>
        <v>#VALUE!</v>
      </c>
      <c r="J1112" t="e">
        <f>RigheOfferte[[#This Row],[Velocità]]</f>
        <v>#VALUE!</v>
      </c>
      <c r="K1112" t="e">
        <f>RigheOfferte[[#This Row],[Superf.pz Mq]]</f>
        <v>#VALUE!</v>
      </c>
      <c r="L1112" t="e">
        <f>RigheOfferte[[#This Row],[passo]]</f>
        <v>#VALUE!</v>
      </c>
      <c r="M1112" t="e">
        <f>RigheOfferte[[#This Row],[nr.pezzi Telaio]]</f>
        <v>#VALUE!</v>
      </c>
      <c r="N1112" t="e">
        <f>RigheOfferte[[#This Row],[nr.pezzi ora-unita]]</f>
        <v>#VALUE!</v>
      </c>
      <c r="O1112" t="e">
        <f>Tabella1[[#This Row],[superificie]]*Resa</f>
        <v>#VALUE!</v>
      </c>
      <c r="P1112" t="e">
        <f>Tabella1[[#This Row],[KgPezzo]]*Tabella1[[#This Row],[q.ta offerta]]</f>
        <v>#VALUE!</v>
      </c>
      <c r="Q1112" t="e">
        <f>RigheOfferte[[#This Row],[QtaProtez]]</f>
        <v>#VALUE!</v>
      </c>
      <c r="R1112" t="e">
        <f>RigheOfferte[[#This Row],[Tipo Protezione]]</f>
        <v>#VALUE!</v>
      </c>
    </row>
    <row r="1113" spans="1:18">
      <c r="A1113" t="e">
        <f>RigheOfferte[[#This Row],[Nprev]]</f>
        <v>#VALUE!</v>
      </c>
      <c r="B1113" t="e">
        <f>RigheOfferte[[#This Row],[Nriga]]</f>
        <v>#VALUE!</v>
      </c>
      <c r="C1113" t="e">
        <f>RigheOfferte[[#This Row],[Cliente]]</f>
        <v>#VALUE!</v>
      </c>
      <c r="D1113" t="e">
        <f>RigheOfferte[[#This Row],[sub_cliente]]</f>
        <v>#VALUE!</v>
      </c>
      <c r="E1113" t="e">
        <f>RigheOfferte[[#This Row],[cod.Art.]]</f>
        <v>#VALUE!</v>
      </c>
      <c r="F1113" t="e">
        <f>RigheOfferte[[#This Row],[Descrizione]]</f>
        <v>#VALUE!</v>
      </c>
      <c r="G1113" t="e">
        <f>RigheOfferte[[#This Row],[Q.ta'']]</f>
        <v>#VALUE!</v>
      </c>
      <c r="H1113" t="e">
        <f>RigheOfferte[[#This Row],[Lavorazione]]</f>
        <v>#VALUE!</v>
      </c>
      <c r="I1113" t="e">
        <f>RigheOfferte[[#This Row],[Colore]]</f>
        <v>#VALUE!</v>
      </c>
      <c r="J1113" t="e">
        <f>RigheOfferte[[#This Row],[Velocità]]</f>
        <v>#VALUE!</v>
      </c>
      <c r="K1113" t="e">
        <f>RigheOfferte[[#This Row],[Superf.pz Mq]]</f>
        <v>#VALUE!</v>
      </c>
      <c r="L1113" t="e">
        <f>RigheOfferte[[#This Row],[passo]]</f>
        <v>#VALUE!</v>
      </c>
      <c r="M1113" t="e">
        <f>RigheOfferte[[#This Row],[nr.pezzi Telaio]]</f>
        <v>#VALUE!</v>
      </c>
      <c r="N1113" t="e">
        <f>RigheOfferte[[#This Row],[nr.pezzi ora-unita]]</f>
        <v>#VALUE!</v>
      </c>
      <c r="O1113" t="e">
        <f>Tabella1[[#This Row],[superificie]]*Resa</f>
        <v>#VALUE!</v>
      </c>
      <c r="P1113" t="e">
        <f>Tabella1[[#This Row],[KgPezzo]]*Tabella1[[#This Row],[q.ta offerta]]</f>
        <v>#VALUE!</v>
      </c>
      <c r="Q1113" t="e">
        <f>RigheOfferte[[#This Row],[QtaProtez]]</f>
        <v>#VALUE!</v>
      </c>
      <c r="R1113" t="e">
        <f>RigheOfferte[[#This Row],[Tipo Protezione]]</f>
        <v>#VALUE!</v>
      </c>
    </row>
    <row r="1114" spans="1:18">
      <c r="A1114" t="e">
        <f>RigheOfferte[[#This Row],[Nprev]]</f>
        <v>#VALUE!</v>
      </c>
      <c r="B1114" t="e">
        <f>RigheOfferte[[#This Row],[Nriga]]</f>
        <v>#VALUE!</v>
      </c>
      <c r="C1114" t="e">
        <f>RigheOfferte[[#This Row],[Cliente]]</f>
        <v>#VALUE!</v>
      </c>
      <c r="D1114" t="e">
        <f>RigheOfferte[[#This Row],[sub_cliente]]</f>
        <v>#VALUE!</v>
      </c>
      <c r="E1114" t="e">
        <f>RigheOfferte[[#This Row],[cod.Art.]]</f>
        <v>#VALUE!</v>
      </c>
      <c r="F1114" t="e">
        <f>RigheOfferte[[#This Row],[Descrizione]]</f>
        <v>#VALUE!</v>
      </c>
      <c r="G1114" t="e">
        <f>RigheOfferte[[#This Row],[Q.ta'']]</f>
        <v>#VALUE!</v>
      </c>
      <c r="H1114" t="e">
        <f>RigheOfferte[[#This Row],[Lavorazione]]</f>
        <v>#VALUE!</v>
      </c>
      <c r="I1114" t="e">
        <f>RigheOfferte[[#This Row],[Colore]]</f>
        <v>#VALUE!</v>
      </c>
      <c r="J1114" t="e">
        <f>RigheOfferte[[#This Row],[Velocità]]</f>
        <v>#VALUE!</v>
      </c>
      <c r="K1114" t="e">
        <f>RigheOfferte[[#This Row],[Superf.pz Mq]]</f>
        <v>#VALUE!</v>
      </c>
      <c r="L1114" t="e">
        <f>RigheOfferte[[#This Row],[passo]]</f>
        <v>#VALUE!</v>
      </c>
      <c r="M1114" t="e">
        <f>RigheOfferte[[#This Row],[nr.pezzi Telaio]]</f>
        <v>#VALUE!</v>
      </c>
      <c r="N1114" t="e">
        <f>RigheOfferte[[#This Row],[nr.pezzi ora-unita]]</f>
        <v>#VALUE!</v>
      </c>
      <c r="O1114" t="e">
        <f>Tabella1[[#This Row],[superificie]]*Resa</f>
        <v>#VALUE!</v>
      </c>
      <c r="P1114" t="e">
        <f>Tabella1[[#This Row],[KgPezzo]]*Tabella1[[#This Row],[q.ta offerta]]</f>
        <v>#VALUE!</v>
      </c>
      <c r="Q1114" t="e">
        <f>RigheOfferte[[#This Row],[QtaProtez]]</f>
        <v>#VALUE!</v>
      </c>
      <c r="R1114" t="e">
        <f>RigheOfferte[[#This Row],[Tipo Protezione]]</f>
        <v>#VALUE!</v>
      </c>
    </row>
    <row r="1115" spans="1:18">
      <c r="A1115" t="e">
        <f>RigheOfferte[[#This Row],[Nprev]]</f>
        <v>#VALUE!</v>
      </c>
      <c r="B1115" t="e">
        <f>RigheOfferte[[#This Row],[Nriga]]</f>
        <v>#VALUE!</v>
      </c>
      <c r="C1115" t="e">
        <f>RigheOfferte[[#This Row],[Cliente]]</f>
        <v>#VALUE!</v>
      </c>
      <c r="D1115" t="e">
        <f>RigheOfferte[[#This Row],[sub_cliente]]</f>
        <v>#VALUE!</v>
      </c>
      <c r="E1115" t="e">
        <f>RigheOfferte[[#This Row],[cod.Art.]]</f>
        <v>#VALUE!</v>
      </c>
      <c r="F1115" t="e">
        <f>RigheOfferte[[#This Row],[Descrizione]]</f>
        <v>#VALUE!</v>
      </c>
      <c r="G1115" t="e">
        <f>RigheOfferte[[#This Row],[Q.ta'']]</f>
        <v>#VALUE!</v>
      </c>
      <c r="H1115" t="e">
        <f>RigheOfferte[[#This Row],[Lavorazione]]</f>
        <v>#VALUE!</v>
      </c>
      <c r="I1115" t="e">
        <f>RigheOfferte[[#This Row],[Colore]]</f>
        <v>#VALUE!</v>
      </c>
      <c r="J1115" t="e">
        <f>RigheOfferte[[#This Row],[Velocità]]</f>
        <v>#VALUE!</v>
      </c>
      <c r="K1115" t="e">
        <f>RigheOfferte[[#This Row],[Superf.pz Mq]]</f>
        <v>#VALUE!</v>
      </c>
      <c r="L1115" t="e">
        <f>RigheOfferte[[#This Row],[passo]]</f>
        <v>#VALUE!</v>
      </c>
      <c r="M1115" t="e">
        <f>RigheOfferte[[#This Row],[nr.pezzi Telaio]]</f>
        <v>#VALUE!</v>
      </c>
      <c r="N1115" t="e">
        <f>RigheOfferte[[#This Row],[nr.pezzi ora-unita]]</f>
        <v>#VALUE!</v>
      </c>
      <c r="O1115" t="e">
        <f>Tabella1[[#This Row],[superificie]]*Resa</f>
        <v>#VALUE!</v>
      </c>
      <c r="P1115" t="e">
        <f>Tabella1[[#This Row],[KgPezzo]]*Tabella1[[#This Row],[q.ta offerta]]</f>
        <v>#VALUE!</v>
      </c>
      <c r="Q1115" t="e">
        <f>RigheOfferte[[#This Row],[QtaProtez]]</f>
        <v>#VALUE!</v>
      </c>
      <c r="R1115" t="e">
        <f>RigheOfferte[[#This Row],[Tipo Protezione]]</f>
        <v>#VALUE!</v>
      </c>
    </row>
    <row r="1116" spans="1:18">
      <c r="A1116" t="e">
        <f>RigheOfferte[[#This Row],[Nprev]]</f>
        <v>#VALUE!</v>
      </c>
      <c r="B1116" t="e">
        <f>RigheOfferte[[#This Row],[Nriga]]</f>
        <v>#VALUE!</v>
      </c>
      <c r="C1116" t="e">
        <f>RigheOfferte[[#This Row],[Cliente]]</f>
        <v>#VALUE!</v>
      </c>
      <c r="D1116" t="e">
        <f>RigheOfferte[[#This Row],[sub_cliente]]</f>
        <v>#VALUE!</v>
      </c>
      <c r="E1116" t="e">
        <f>RigheOfferte[[#This Row],[cod.Art.]]</f>
        <v>#VALUE!</v>
      </c>
      <c r="F1116" t="e">
        <f>RigheOfferte[[#This Row],[Descrizione]]</f>
        <v>#VALUE!</v>
      </c>
      <c r="G1116" t="e">
        <f>RigheOfferte[[#This Row],[Q.ta'']]</f>
        <v>#VALUE!</v>
      </c>
      <c r="H1116" t="e">
        <f>RigheOfferte[[#This Row],[Lavorazione]]</f>
        <v>#VALUE!</v>
      </c>
      <c r="I1116" t="e">
        <f>RigheOfferte[[#This Row],[Colore]]</f>
        <v>#VALUE!</v>
      </c>
      <c r="J1116" t="e">
        <f>RigheOfferte[[#This Row],[Velocità]]</f>
        <v>#VALUE!</v>
      </c>
      <c r="K1116" t="e">
        <f>RigheOfferte[[#This Row],[Superf.pz Mq]]</f>
        <v>#VALUE!</v>
      </c>
      <c r="L1116" t="e">
        <f>RigheOfferte[[#This Row],[passo]]</f>
        <v>#VALUE!</v>
      </c>
      <c r="M1116" t="e">
        <f>RigheOfferte[[#This Row],[nr.pezzi Telaio]]</f>
        <v>#VALUE!</v>
      </c>
      <c r="N1116" t="e">
        <f>RigheOfferte[[#This Row],[nr.pezzi ora-unita]]</f>
        <v>#VALUE!</v>
      </c>
      <c r="O1116" t="e">
        <f>Tabella1[[#This Row],[superificie]]*Resa</f>
        <v>#VALUE!</v>
      </c>
      <c r="P1116" t="e">
        <f>Tabella1[[#This Row],[KgPezzo]]*Tabella1[[#This Row],[q.ta offerta]]</f>
        <v>#VALUE!</v>
      </c>
      <c r="Q1116" t="e">
        <f>RigheOfferte[[#This Row],[QtaProtez]]</f>
        <v>#VALUE!</v>
      </c>
      <c r="R1116" t="e">
        <f>RigheOfferte[[#This Row],[Tipo Protezione]]</f>
        <v>#VALUE!</v>
      </c>
    </row>
    <row r="1117" spans="1:18">
      <c r="A1117" t="e">
        <f>RigheOfferte[[#This Row],[Nprev]]</f>
        <v>#VALUE!</v>
      </c>
      <c r="B1117" t="e">
        <f>RigheOfferte[[#This Row],[Nriga]]</f>
        <v>#VALUE!</v>
      </c>
      <c r="C1117" t="e">
        <f>RigheOfferte[[#This Row],[Cliente]]</f>
        <v>#VALUE!</v>
      </c>
      <c r="D1117" t="e">
        <f>RigheOfferte[[#This Row],[sub_cliente]]</f>
        <v>#VALUE!</v>
      </c>
      <c r="E1117" t="e">
        <f>RigheOfferte[[#This Row],[cod.Art.]]</f>
        <v>#VALUE!</v>
      </c>
      <c r="F1117" t="e">
        <f>RigheOfferte[[#This Row],[Descrizione]]</f>
        <v>#VALUE!</v>
      </c>
      <c r="G1117" t="e">
        <f>RigheOfferte[[#This Row],[Q.ta'']]</f>
        <v>#VALUE!</v>
      </c>
      <c r="H1117" t="e">
        <f>RigheOfferte[[#This Row],[Lavorazione]]</f>
        <v>#VALUE!</v>
      </c>
      <c r="I1117" t="e">
        <f>RigheOfferte[[#This Row],[Colore]]</f>
        <v>#VALUE!</v>
      </c>
      <c r="J1117" t="e">
        <f>RigheOfferte[[#This Row],[Velocità]]</f>
        <v>#VALUE!</v>
      </c>
      <c r="K1117" t="e">
        <f>RigheOfferte[[#This Row],[Superf.pz Mq]]</f>
        <v>#VALUE!</v>
      </c>
      <c r="L1117" t="e">
        <f>RigheOfferte[[#This Row],[passo]]</f>
        <v>#VALUE!</v>
      </c>
      <c r="M1117" t="e">
        <f>RigheOfferte[[#This Row],[nr.pezzi Telaio]]</f>
        <v>#VALUE!</v>
      </c>
      <c r="N1117" t="e">
        <f>RigheOfferte[[#This Row],[nr.pezzi ora-unita]]</f>
        <v>#VALUE!</v>
      </c>
      <c r="O1117" t="e">
        <f>Tabella1[[#This Row],[superificie]]*Resa</f>
        <v>#VALUE!</v>
      </c>
      <c r="P1117" t="e">
        <f>Tabella1[[#This Row],[KgPezzo]]*Tabella1[[#This Row],[q.ta offerta]]</f>
        <v>#VALUE!</v>
      </c>
      <c r="Q1117" t="e">
        <f>RigheOfferte[[#This Row],[QtaProtez]]</f>
        <v>#VALUE!</v>
      </c>
      <c r="R1117" t="e">
        <f>RigheOfferte[[#This Row],[Tipo Protezione]]</f>
        <v>#VALUE!</v>
      </c>
    </row>
    <row r="1118" spans="1:18">
      <c r="A1118" t="e">
        <f>RigheOfferte[[#This Row],[Nprev]]</f>
        <v>#VALUE!</v>
      </c>
      <c r="B1118" t="e">
        <f>RigheOfferte[[#This Row],[Nriga]]</f>
        <v>#VALUE!</v>
      </c>
      <c r="C1118" t="e">
        <f>RigheOfferte[[#This Row],[Cliente]]</f>
        <v>#VALUE!</v>
      </c>
      <c r="D1118" t="e">
        <f>RigheOfferte[[#This Row],[sub_cliente]]</f>
        <v>#VALUE!</v>
      </c>
      <c r="E1118" t="e">
        <f>RigheOfferte[[#This Row],[cod.Art.]]</f>
        <v>#VALUE!</v>
      </c>
      <c r="F1118" t="e">
        <f>RigheOfferte[[#This Row],[Descrizione]]</f>
        <v>#VALUE!</v>
      </c>
      <c r="G1118" t="e">
        <f>RigheOfferte[[#This Row],[Q.ta'']]</f>
        <v>#VALUE!</v>
      </c>
      <c r="H1118" t="e">
        <f>RigheOfferte[[#This Row],[Lavorazione]]</f>
        <v>#VALUE!</v>
      </c>
      <c r="I1118" t="e">
        <f>RigheOfferte[[#This Row],[Colore]]</f>
        <v>#VALUE!</v>
      </c>
      <c r="J1118" t="e">
        <f>RigheOfferte[[#This Row],[Velocità]]</f>
        <v>#VALUE!</v>
      </c>
      <c r="K1118" t="e">
        <f>RigheOfferte[[#This Row],[Superf.pz Mq]]</f>
        <v>#VALUE!</v>
      </c>
      <c r="L1118" t="e">
        <f>RigheOfferte[[#This Row],[passo]]</f>
        <v>#VALUE!</v>
      </c>
      <c r="M1118" t="e">
        <f>RigheOfferte[[#This Row],[nr.pezzi Telaio]]</f>
        <v>#VALUE!</v>
      </c>
      <c r="N1118" t="e">
        <f>RigheOfferte[[#This Row],[nr.pezzi ora-unita]]</f>
        <v>#VALUE!</v>
      </c>
      <c r="O1118" t="e">
        <f>Tabella1[[#This Row],[superificie]]*Resa</f>
        <v>#VALUE!</v>
      </c>
      <c r="P1118" t="e">
        <f>Tabella1[[#This Row],[KgPezzo]]*Tabella1[[#This Row],[q.ta offerta]]</f>
        <v>#VALUE!</v>
      </c>
      <c r="Q1118" t="e">
        <f>RigheOfferte[[#This Row],[QtaProtez]]</f>
        <v>#VALUE!</v>
      </c>
      <c r="R1118" t="e">
        <f>RigheOfferte[[#This Row],[Tipo Protezione]]</f>
        <v>#VALUE!</v>
      </c>
    </row>
    <row r="1119" spans="1:18">
      <c r="A1119" t="e">
        <f>RigheOfferte[[#This Row],[Nprev]]</f>
        <v>#VALUE!</v>
      </c>
      <c r="B1119" t="e">
        <f>RigheOfferte[[#This Row],[Nriga]]</f>
        <v>#VALUE!</v>
      </c>
      <c r="C1119" t="e">
        <f>RigheOfferte[[#This Row],[Cliente]]</f>
        <v>#VALUE!</v>
      </c>
      <c r="D1119" t="e">
        <f>RigheOfferte[[#This Row],[sub_cliente]]</f>
        <v>#VALUE!</v>
      </c>
      <c r="E1119" t="e">
        <f>RigheOfferte[[#This Row],[cod.Art.]]</f>
        <v>#VALUE!</v>
      </c>
      <c r="F1119" t="e">
        <f>RigheOfferte[[#This Row],[Descrizione]]</f>
        <v>#VALUE!</v>
      </c>
      <c r="G1119" t="e">
        <f>RigheOfferte[[#This Row],[Q.ta'']]</f>
        <v>#VALUE!</v>
      </c>
      <c r="H1119" t="e">
        <f>RigheOfferte[[#This Row],[Lavorazione]]</f>
        <v>#VALUE!</v>
      </c>
      <c r="I1119" t="e">
        <f>RigheOfferte[[#This Row],[Colore]]</f>
        <v>#VALUE!</v>
      </c>
      <c r="J1119" t="e">
        <f>RigheOfferte[[#This Row],[Velocità]]</f>
        <v>#VALUE!</v>
      </c>
      <c r="K1119" t="e">
        <f>RigheOfferte[[#This Row],[Superf.pz Mq]]</f>
        <v>#VALUE!</v>
      </c>
      <c r="L1119" t="e">
        <f>RigheOfferte[[#This Row],[passo]]</f>
        <v>#VALUE!</v>
      </c>
      <c r="M1119" t="e">
        <f>RigheOfferte[[#This Row],[nr.pezzi Telaio]]</f>
        <v>#VALUE!</v>
      </c>
      <c r="N1119" t="e">
        <f>RigheOfferte[[#This Row],[nr.pezzi ora-unita]]</f>
        <v>#VALUE!</v>
      </c>
      <c r="O1119" t="e">
        <f>Tabella1[[#This Row],[superificie]]*Resa</f>
        <v>#VALUE!</v>
      </c>
      <c r="P1119" t="e">
        <f>Tabella1[[#This Row],[KgPezzo]]*Tabella1[[#This Row],[q.ta offerta]]</f>
        <v>#VALUE!</v>
      </c>
      <c r="Q1119" t="e">
        <f>RigheOfferte[[#This Row],[QtaProtez]]</f>
        <v>#VALUE!</v>
      </c>
      <c r="R1119" t="e">
        <f>RigheOfferte[[#This Row],[Tipo Protezione]]</f>
        <v>#VALUE!</v>
      </c>
    </row>
    <row r="1120" spans="1:18">
      <c r="A1120" t="e">
        <f>RigheOfferte[[#This Row],[Nprev]]</f>
        <v>#VALUE!</v>
      </c>
      <c r="B1120" t="e">
        <f>RigheOfferte[[#This Row],[Nriga]]</f>
        <v>#VALUE!</v>
      </c>
      <c r="C1120" t="e">
        <f>RigheOfferte[[#This Row],[Cliente]]</f>
        <v>#VALUE!</v>
      </c>
      <c r="D1120" t="e">
        <f>RigheOfferte[[#This Row],[sub_cliente]]</f>
        <v>#VALUE!</v>
      </c>
      <c r="E1120" t="e">
        <f>RigheOfferte[[#This Row],[cod.Art.]]</f>
        <v>#VALUE!</v>
      </c>
      <c r="F1120" t="e">
        <f>RigheOfferte[[#This Row],[Descrizione]]</f>
        <v>#VALUE!</v>
      </c>
      <c r="G1120" t="e">
        <f>RigheOfferte[[#This Row],[Q.ta'']]</f>
        <v>#VALUE!</v>
      </c>
      <c r="H1120" t="e">
        <f>RigheOfferte[[#This Row],[Lavorazione]]</f>
        <v>#VALUE!</v>
      </c>
      <c r="I1120" t="e">
        <f>RigheOfferte[[#This Row],[Colore]]</f>
        <v>#VALUE!</v>
      </c>
      <c r="J1120" t="e">
        <f>RigheOfferte[[#This Row],[Velocità]]</f>
        <v>#VALUE!</v>
      </c>
      <c r="K1120" t="e">
        <f>RigheOfferte[[#This Row],[Superf.pz Mq]]</f>
        <v>#VALUE!</v>
      </c>
      <c r="L1120" t="e">
        <f>RigheOfferte[[#This Row],[passo]]</f>
        <v>#VALUE!</v>
      </c>
      <c r="M1120" t="e">
        <f>RigheOfferte[[#This Row],[nr.pezzi Telaio]]</f>
        <v>#VALUE!</v>
      </c>
      <c r="N1120" t="e">
        <f>RigheOfferte[[#This Row],[nr.pezzi ora-unita]]</f>
        <v>#VALUE!</v>
      </c>
      <c r="O1120" t="e">
        <f>Tabella1[[#This Row],[superificie]]*Resa</f>
        <v>#VALUE!</v>
      </c>
      <c r="P1120" t="e">
        <f>Tabella1[[#This Row],[KgPezzo]]*Tabella1[[#This Row],[q.ta offerta]]</f>
        <v>#VALUE!</v>
      </c>
      <c r="Q1120" t="e">
        <f>RigheOfferte[[#This Row],[QtaProtez]]</f>
        <v>#VALUE!</v>
      </c>
      <c r="R1120" t="e">
        <f>RigheOfferte[[#This Row],[Tipo Protezione]]</f>
        <v>#VALUE!</v>
      </c>
    </row>
    <row r="1121" spans="1:18">
      <c r="A1121" t="e">
        <f>RigheOfferte[[#This Row],[Nprev]]</f>
        <v>#VALUE!</v>
      </c>
      <c r="B1121" t="e">
        <f>RigheOfferte[[#This Row],[Nriga]]</f>
        <v>#VALUE!</v>
      </c>
      <c r="C1121" t="e">
        <f>RigheOfferte[[#This Row],[Cliente]]</f>
        <v>#VALUE!</v>
      </c>
      <c r="D1121" t="e">
        <f>RigheOfferte[[#This Row],[sub_cliente]]</f>
        <v>#VALUE!</v>
      </c>
      <c r="E1121" t="e">
        <f>RigheOfferte[[#This Row],[cod.Art.]]</f>
        <v>#VALUE!</v>
      </c>
      <c r="F1121" t="e">
        <f>RigheOfferte[[#This Row],[Descrizione]]</f>
        <v>#VALUE!</v>
      </c>
      <c r="G1121" t="e">
        <f>RigheOfferte[[#This Row],[Q.ta'']]</f>
        <v>#VALUE!</v>
      </c>
      <c r="H1121" t="e">
        <f>RigheOfferte[[#This Row],[Lavorazione]]</f>
        <v>#VALUE!</v>
      </c>
      <c r="I1121" t="e">
        <f>RigheOfferte[[#This Row],[Colore]]</f>
        <v>#VALUE!</v>
      </c>
      <c r="J1121" t="e">
        <f>RigheOfferte[[#This Row],[Velocità]]</f>
        <v>#VALUE!</v>
      </c>
      <c r="K1121" t="e">
        <f>RigheOfferte[[#This Row],[Superf.pz Mq]]</f>
        <v>#VALUE!</v>
      </c>
      <c r="L1121" t="e">
        <f>RigheOfferte[[#This Row],[passo]]</f>
        <v>#VALUE!</v>
      </c>
      <c r="M1121" t="e">
        <f>RigheOfferte[[#This Row],[nr.pezzi Telaio]]</f>
        <v>#VALUE!</v>
      </c>
      <c r="N1121" t="e">
        <f>RigheOfferte[[#This Row],[nr.pezzi ora-unita]]</f>
        <v>#VALUE!</v>
      </c>
      <c r="O1121" t="e">
        <f>Tabella1[[#This Row],[superificie]]*Resa</f>
        <v>#VALUE!</v>
      </c>
      <c r="P1121" t="e">
        <f>Tabella1[[#This Row],[KgPezzo]]*Tabella1[[#This Row],[q.ta offerta]]</f>
        <v>#VALUE!</v>
      </c>
      <c r="Q1121" t="e">
        <f>RigheOfferte[[#This Row],[QtaProtez]]</f>
        <v>#VALUE!</v>
      </c>
      <c r="R1121" t="e">
        <f>RigheOfferte[[#This Row],[Tipo Protezione]]</f>
        <v>#VALUE!</v>
      </c>
    </row>
    <row r="1122" spans="1:18">
      <c r="A1122" t="e">
        <f>RigheOfferte[[#This Row],[Nprev]]</f>
        <v>#VALUE!</v>
      </c>
      <c r="B1122" t="e">
        <f>RigheOfferte[[#This Row],[Nriga]]</f>
        <v>#VALUE!</v>
      </c>
      <c r="C1122" t="e">
        <f>RigheOfferte[[#This Row],[Cliente]]</f>
        <v>#VALUE!</v>
      </c>
      <c r="D1122" t="e">
        <f>RigheOfferte[[#This Row],[sub_cliente]]</f>
        <v>#VALUE!</v>
      </c>
      <c r="E1122" t="e">
        <f>RigheOfferte[[#This Row],[cod.Art.]]</f>
        <v>#VALUE!</v>
      </c>
      <c r="F1122" t="e">
        <f>RigheOfferte[[#This Row],[Descrizione]]</f>
        <v>#VALUE!</v>
      </c>
      <c r="G1122" t="e">
        <f>RigheOfferte[[#This Row],[Q.ta'']]</f>
        <v>#VALUE!</v>
      </c>
      <c r="H1122" t="e">
        <f>RigheOfferte[[#This Row],[Lavorazione]]</f>
        <v>#VALUE!</v>
      </c>
      <c r="I1122" t="e">
        <f>RigheOfferte[[#This Row],[Colore]]</f>
        <v>#VALUE!</v>
      </c>
      <c r="J1122" t="e">
        <f>RigheOfferte[[#This Row],[Velocità]]</f>
        <v>#VALUE!</v>
      </c>
      <c r="K1122" t="e">
        <f>RigheOfferte[[#This Row],[Superf.pz Mq]]</f>
        <v>#VALUE!</v>
      </c>
      <c r="L1122" t="e">
        <f>RigheOfferte[[#This Row],[passo]]</f>
        <v>#VALUE!</v>
      </c>
      <c r="M1122" t="e">
        <f>RigheOfferte[[#This Row],[nr.pezzi Telaio]]</f>
        <v>#VALUE!</v>
      </c>
      <c r="N1122" t="e">
        <f>RigheOfferte[[#This Row],[nr.pezzi ora-unita]]</f>
        <v>#VALUE!</v>
      </c>
      <c r="O1122" t="e">
        <f>Tabella1[[#This Row],[superificie]]*Resa</f>
        <v>#VALUE!</v>
      </c>
      <c r="P1122" t="e">
        <f>Tabella1[[#This Row],[KgPezzo]]*Tabella1[[#This Row],[q.ta offerta]]</f>
        <v>#VALUE!</v>
      </c>
      <c r="Q1122" t="e">
        <f>RigheOfferte[[#This Row],[QtaProtez]]</f>
        <v>#VALUE!</v>
      </c>
      <c r="R1122" t="e">
        <f>RigheOfferte[[#This Row],[Tipo Protezione]]</f>
        <v>#VALUE!</v>
      </c>
    </row>
    <row r="1123" spans="1:18">
      <c r="A1123" t="e">
        <f>RigheOfferte[[#This Row],[Nprev]]</f>
        <v>#VALUE!</v>
      </c>
      <c r="B1123" t="e">
        <f>RigheOfferte[[#This Row],[Nriga]]</f>
        <v>#VALUE!</v>
      </c>
      <c r="C1123" t="e">
        <f>RigheOfferte[[#This Row],[Cliente]]</f>
        <v>#VALUE!</v>
      </c>
      <c r="D1123" t="e">
        <f>RigheOfferte[[#This Row],[sub_cliente]]</f>
        <v>#VALUE!</v>
      </c>
      <c r="E1123" t="e">
        <f>RigheOfferte[[#This Row],[cod.Art.]]</f>
        <v>#VALUE!</v>
      </c>
      <c r="F1123" t="e">
        <f>RigheOfferte[[#This Row],[Descrizione]]</f>
        <v>#VALUE!</v>
      </c>
      <c r="G1123" t="e">
        <f>RigheOfferte[[#This Row],[Q.ta'']]</f>
        <v>#VALUE!</v>
      </c>
      <c r="H1123" t="e">
        <f>RigheOfferte[[#This Row],[Lavorazione]]</f>
        <v>#VALUE!</v>
      </c>
      <c r="I1123" t="e">
        <f>RigheOfferte[[#This Row],[Colore]]</f>
        <v>#VALUE!</v>
      </c>
      <c r="J1123" t="e">
        <f>RigheOfferte[[#This Row],[Velocità]]</f>
        <v>#VALUE!</v>
      </c>
      <c r="K1123" t="e">
        <f>RigheOfferte[[#This Row],[Superf.pz Mq]]</f>
        <v>#VALUE!</v>
      </c>
      <c r="L1123" t="e">
        <f>RigheOfferte[[#This Row],[passo]]</f>
        <v>#VALUE!</v>
      </c>
      <c r="M1123" t="e">
        <f>RigheOfferte[[#This Row],[nr.pezzi Telaio]]</f>
        <v>#VALUE!</v>
      </c>
      <c r="N1123" t="e">
        <f>RigheOfferte[[#This Row],[nr.pezzi ora-unita]]</f>
        <v>#VALUE!</v>
      </c>
      <c r="O1123" t="e">
        <f>Tabella1[[#This Row],[superificie]]*Resa</f>
        <v>#VALUE!</v>
      </c>
      <c r="P1123" t="e">
        <f>Tabella1[[#This Row],[KgPezzo]]*Tabella1[[#This Row],[q.ta offerta]]</f>
        <v>#VALUE!</v>
      </c>
      <c r="Q1123" t="e">
        <f>RigheOfferte[[#This Row],[QtaProtez]]</f>
        <v>#VALUE!</v>
      </c>
      <c r="R1123" t="e">
        <f>RigheOfferte[[#This Row],[Tipo Protezione]]</f>
        <v>#VALUE!</v>
      </c>
    </row>
    <row r="1124" spans="1:18">
      <c r="A1124" t="e">
        <f>RigheOfferte[[#This Row],[Nprev]]</f>
        <v>#VALUE!</v>
      </c>
      <c r="B1124" t="e">
        <f>RigheOfferte[[#This Row],[Nriga]]</f>
        <v>#VALUE!</v>
      </c>
      <c r="C1124" t="e">
        <f>RigheOfferte[[#This Row],[Cliente]]</f>
        <v>#VALUE!</v>
      </c>
      <c r="D1124" t="e">
        <f>RigheOfferte[[#This Row],[sub_cliente]]</f>
        <v>#VALUE!</v>
      </c>
      <c r="E1124" t="e">
        <f>RigheOfferte[[#This Row],[cod.Art.]]</f>
        <v>#VALUE!</v>
      </c>
      <c r="F1124" t="e">
        <f>RigheOfferte[[#This Row],[Descrizione]]</f>
        <v>#VALUE!</v>
      </c>
      <c r="G1124" t="e">
        <f>RigheOfferte[[#This Row],[Q.ta'']]</f>
        <v>#VALUE!</v>
      </c>
      <c r="H1124" t="e">
        <f>RigheOfferte[[#This Row],[Lavorazione]]</f>
        <v>#VALUE!</v>
      </c>
      <c r="I1124" t="e">
        <f>RigheOfferte[[#This Row],[Colore]]</f>
        <v>#VALUE!</v>
      </c>
      <c r="J1124" t="e">
        <f>RigheOfferte[[#This Row],[Velocità]]</f>
        <v>#VALUE!</v>
      </c>
      <c r="K1124" t="e">
        <f>RigheOfferte[[#This Row],[Superf.pz Mq]]</f>
        <v>#VALUE!</v>
      </c>
      <c r="L1124" t="e">
        <f>RigheOfferte[[#This Row],[passo]]</f>
        <v>#VALUE!</v>
      </c>
      <c r="M1124" t="e">
        <f>RigheOfferte[[#This Row],[nr.pezzi Telaio]]</f>
        <v>#VALUE!</v>
      </c>
      <c r="N1124" t="e">
        <f>RigheOfferte[[#This Row],[nr.pezzi ora-unita]]</f>
        <v>#VALUE!</v>
      </c>
      <c r="O1124" t="e">
        <f>Tabella1[[#This Row],[superificie]]*Resa</f>
        <v>#VALUE!</v>
      </c>
      <c r="P1124" t="e">
        <f>Tabella1[[#This Row],[KgPezzo]]*Tabella1[[#This Row],[q.ta offerta]]</f>
        <v>#VALUE!</v>
      </c>
      <c r="Q1124" t="e">
        <f>RigheOfferte[[#This Row],[QtaProtez]]</f>
        <v>#VALUE!</v>
      </c>
      <c r="R1124" t="e">
        <f>RigheOfferte[[#This Row],[Tipo Protezione]]</f>
        <v>#VALUE!</v>
      </c>
    </row>
    <row r="1125" spans="1:18">
      <c r="A1125" t="e">
        <f>RigheOfferte[[#This Row],[Nprev]]</f>
        <v>#VALUE!</v>
      </c>
      <c r="B1125" t="e">
        <f>RigheOfferte[[#This Row],[Nriga]]</f>
        <v>#VALUE!</v>
      </c>
      <c r="C1125" t="e">
        <f>RigheOfferte[[#This Row],[Cliente]]</f>
        <v>#VALUE!</v>
      </c>
      <c r="D1125" t="e">
        <f>RigheOfferte[[#This Row],[sub_cliente]]</f>
        <v>#VALUE!</v>
      </c>
      <c r="E1125" t="e">
        <f>RigheOfferte[[#This Row],[cod.Art.]]</f>
        <v>#VALUE!</v>
      </c>
      <c r="F1125" t="e">
        <f>RigheOfferte[[#This Row],[Descrizione]]</f>
        <v>#VALUE!</v>
      </c>
      <c r="G1125" t="e">
        <f>RigheOfferte[[#This Row],[Q.ta'']]</f>
        <v>#VALUE!</v>
      </c>
      <c r="H1125" t="e">
        <f>RigheOfferte[[#This Row],[Lavorazione]]</f>
        <v>#VALUE!</v>
      </c>
      <c r="I1125" t="e">
        <f>RigheOfferte[[#This Row],[Colore]]</f>
        <v>#VALUE!</v>
      </c>
      <c r="J1125" t="e">
        <f>RigheOfferte[[#This Row],[Velocità]]</f>
        <v>#VALUE!</v>
      </c>
      <c r="K1125" t="e">
        <f>RigheOfferte[[#This Row],[Superf.pz Mq]]</f>
        <v>#VALUE!</v>
      </c>
      <c r="L1125" t="e">
        <f>RigheOfferte[[#This Row],[passo]]</f>
        <v>#VALUE!</v>
      </c>
      <c r="M1125" t="e">
        <f>RigheOfferte[[#This Row],[nr.pezzi Telaio]]</f>
        <v>#VALUE!</v>
      </c>
      <c r="N1125" t="e">
        <f>RigheOfferte[[#This Row],[nr.pezzi ora-unita]]</f>
        <v>#VALUE!</v>
      </c>
      <c r="O1125" t="e">
        <f>Tabella1[[#This Row],[superificie]]*Resa</f>
        <v>#VALUE!</v>
      </c>
      <c r="P1125" t="e">
        <f>Tabella1[[#This Row],[KgPezzo]]*Tabella1[[#This Row],[q.ta offerta]]</f>
        <v>#VALUE!</v>
      </c>
      <c r="Q1125" t="e">
        <f>RigheOfferte[[#This Row],[QtaProtez]]</f>
        <v>#VALUE!</v>
      </c>
      <c r="R1125" t="e">
        <f>RigheOfferte[[#This Row],[Tipo Protezione]]</f>
        <v>#VALUE!</v>
      </c>
    </row>
    <row r="1126" spans="1:18">
      <c r="A1126" t="e">
        <f>RigheOfferte[[#This Row],[Nprev]]</f>
        <v>#VALUE!</v>
      </c>
      <c r="B1126" t="e">
        <f>RigheOfferte[[#This Row],[Nriga]]</f>
        <v>#VALUE!</v>
      </c>
      <c r="C1126" t="e">
        <f>RigheOfferte[[#This Row],[Cliente]]</f>
        <v>#VALUE!</v>
      </c>
      <c r="D1126" t="e">
        <f>RigheOfferte[[#This Row],[sub_cliente]]</f>
        <v>#VALUE!</v>
      </c>
      <c r="E1126" t="e">
        <f>RigheOfferte[[#This Row],[cod.Art.]]</f>
        <v>#VALUE!</v>
      </c>
      <c r="F1126" t="e">
        <f>RigheOfferte[[#This Row],[Descrizione]]</f>
        <v>#VALUE!</v>
      </c>
      <c r="G1126" t="e">
        <f>RigheOfferte[[#This Row],[Q.ta'']]</f>
        <v>#VALUE!</v>
      </c>
      <c r="H1126" t="e">
        <f>RigheOfferte[[#This Row],[Lavorazione]]</f>
        <v>#VALUE!</v>
      </c>
      <c r="I1126" t="e">
        <f>RigheOfferte[[#This Row],[Colore]]</f>
        <v>#VALUE!</v>
      </c>
      <c r="J1126" t="e">
        <f>RigheOfferte[[#This Row],[Velocità]]</f>
        <v>#VALUE!</v>
      </c>
      <c r="K1126" t="e">
        <f>RigheOfferte[[#This Row],[Superf.pz Mq]]</f>
        <v>#VALUE!</v>
      </c>
      <c r="L1126" t="e">
        <f>RigheOfferte[[#This Row],[passo]]</f>
        <v>#VALUE!</v>
      </c>
      <c r="M1126" t="e">
        <f>RigheOfferte[[#This Row],[nr.pezzi Telaio]]</f>
        <v>#VALUE!</v>
      </c>
      <c r="N1126" t="e">
        <f>RigheOfferte[[#This Row],[nr.pezzi ora-unita]]</f>
        <v>#VALUE!</v>
      </c>
      <c r="O1126" t="e">
        <f>Tabella1[[#This Row],[superificie]]*Resa</f>
        <v>#VALUE!</v>
      </c>
      <c r="P1126" t="e">
        <f>Tabella1[[#This Row],[KgPezzo]]*Tabella1[[#This Row],[q.ta offerta]]</f>
        <v>#VALUE!</v>
      </c>
      <c r="Q1126" t="e">
        <f>RigheOfferte[[#This Row],[QtaProtez]]</f>
        <v>#VALUE!</v>
      </c>
      <c r="R1126" t="e">
        <f>RigheOfferte[[#This Row],[Tipo Protezione]]</f>
        <v>#VALUE!</v>
      </c>
    </row>
    <row r="1127" spans="1:18">
      <c r="A1127" t="e">
        <f>RigheOfferte[[#This Row],[Nprev]]</f>
        <v>#VALUE!</v>
      </c>
      <c r="B1127" t="e">
        <f>RigheOfferte[[#This Row],[Nriga]]</f>
        <v>#VALUE!</v>
      </c>
      <c r="C1127" t="e">
        <f>RigheOfferte[[#This Row],[Cliente]]</f>
        <v>#VALUE!</v>
      </c>
      <c r="D1127" t="e">
        <f>RigheOfferte[[#This Row],[sub_cliente]]</f>
        <v>#VALUE!</v>
      </c>
      <c r="E1127" t="e">
        <f>RigheOfferte[[#This Row],[cod.Art.]]</f>
        <v>#VALUE!</v>
      </c>
      <c r="F1127" t="e">
        <f>RigheOfferte[[#This Row],[Descrizione]]</f>
        <v>#VALUE!</v>
      </c>
      <c r="G1127" t="e">
        <f>RigheOfferte[[#This Row],[Q.ta'']]</f>
        <v>#VALUE!</v>
      </c>
      <c r="H1127" t="e">
        <f>RigheOfferte[[#This Row],[Lavorazione]]</f>
        <v>#VALUE!</v>
      </c>
      <c r="I1127" t="e">
        <f>RigheOfferte[[#This Row],[Colore]]</f>
        <v>#VALUE!</v>
      </c>
      <c r="J1127" t="e">
        <f>RigheOfferte[[#This Row],[Velocità]]</f>
        <v>#VALUE!</v>
      </c>
      <c r="K1127" t="e">
        <f>RigheOfferte[[#This Row],[Superf.pz Mq]]</f>
        <v>#VALUE!</v>
      </c>
      <c r="L1127" t="e">
        <f>RigheOfferte[[#This Row],[passo]]</f>
        <v>#VALUE!</v>
      </c>
      <c r="M1127" t="e">
        <f>RigheOfferte[[#This Row],[nr.pezzi Telaio]]</f>
        <v>#VALUE!</v>
      </c>
      <c r="N1127" t="e">
        <f>RigheOfferte[[#This Row],[nr.pezzi ora-unita]]</f>
        <v>#VALUE!</v>
      </c>
      <c r="O1127" t="e">
        <f>Tabella1[[#This Row],[superificie]]*Resa</f>
        <v>#VALUE!</v>
      </c>
      <c r="P1127" t="e">
        <f>Tabella1[[#This Row],[KgPezzo]]*Tabella1[[#This Row],[q.ta offerta]]</f>
        <v>#VALUE!</v>
      </c>
      <c r="Q1127" t="e">
        <f>RigheOfferte[[#This Row],[QtaProtez]]</f>
        <v>#VALUE!</v>
      </c>
      <c r="R1127" t="e">
        <f>RigheOfferte[[#This Row],[Tipo Protezione]]</f>
        <v>#VALUE!</v>
      </c>
    </row>
    <row r="1128" spans="1:18">
      <c r="A1128" t="e">
        <f>RigheOfferte[[#This Row],[Nprev]]</f>
        <v>#VALUE!</v>
      </c>
      <c r="B1128" t="e">
        <f>RigheOfferte[[#This Row],[Nriga]]</f>
        <v>#VALUE!</v>
      </c>
      <c r="C1128" t="e">
        <f>RigheOfferte[[#This Row],[Cliente]]</f>
        <v>#VALUE!</v>
      </c>
      <c r="D1128" t="e">
        <f>RigheOfferte[[#This Row],[sub_cliente]]</f>
        <v>#VALUE!</v>
      </c>
      <c r="E1128" t="e">
        <f>RigheOfferte[[#This Row],[cod.Art.]]</f>
        <v>#VALUE!</v>
      </c>
      <c r="F1128" t="e">
        <f>RigheOfferte[[#This Row],[Descrizione]]</f>
        <v>#VALUE!</v>
      </c>
      <c r="G1128" t="e">
        <f>RigheOfferte[[#This Row],[Q.ta'']]</f>
        <v>#VALUE!</v>
      </c>
      <c r="H1128" t="e">
        <f>RigheOfferte[[#This Row],[Lavorazione]]</f>
        <v>#VALUE!</v>
      </c>
      <c r="I1128" t="e">
        <f>RigheOfferte[[#This Row],[Colore]]</f>
        <v>#VALUE!</v>
      </c>
      <c r="J1128" t="e">
        <f>RigheOfferte[[#This Row],[Velocità]]</f>
        <v>#VALUE!</v>
      </c>
      <c r="K1128" t="e">
        <f>RigheOfferte[[#This Row],[Superf.pz Mq]]</f>
        <v>#VALUE!</v>
      </c>
      <c r="L1128" t="e">
        <f>RigheOfferte[[#This Row],[passo]]</f>
        <v>#VALUE!</v>
      </c>
      <c r="M1128" t="e">
        <f>RigheOfferte[[#This Row],[nr.pezzi Telaio]]</f>
        <v>#VALUE!</v>
      </c>
      <c r="N1128" t="e">
        <f>RigheOfferte[[#This Row],[nr.pezzi ora-unita]]</f>
        <v>#VALUE!</v>
      </c>
      <c r="O1128" t="e">
        <f>Tabella1[[#This Row],[superificie]]*Resa</f>
        <v>#VALUE!</v>
      </c>
      <c r="P1128" t="e">
        <f>Tabella1[[#This Row],[KgPezzo]]*Tabella1[[#This Row],[q.ta offerta]]</f>
        <v>#VALUE!</v>
      </c>
      <c r="Q1128" t="e">
        <f>RigheOfferte[[#This Row],[QtaProtez]]</f>
        <v>#VALUE!</v>
      </c>
      <c r="R1128" t="e">
        <f>RigheOfferte[[#This Row],[Tipo Protezione]]</f>
        <v>#VALUE!</v>
      </c>
    </row>
    <row r="1129" spans="1:18">
      <c r="A1129" t="e">
        <f>RigheOfferte[[#This Row],[Nprev]]</f>
        <v>#VALUE!</v>
      </c>
      <c r="B1129" t="e">
        <f>RigheOfferte[[#This Row],[Nriga]]</f>
        <v>#VALUE!</v>
      </c>
      <c r="C1129" t="e">
        <f>RigheOfferte[[#This Row],[Cliente]]</f>
        <v>#VALUE!</v>
      </c>
      <c r="D1129" t="e">
        <f>RigheOfferte[[#This Row],[sub_cliente]]</f>
        <v>#VALUE!</v>
      </c>
      <c r="E1129" t="e">
        <f>RigheOfferte[[#This Row],[cod.Art.]]</f>
        <v>#VALUE!</v>
      </c>
      <c r="F1129" t="e">
        <f>RigheOfferte[[#This Row],[Descrizione]]</f>
        <v>#VALUE!</v>
      </c>
      <c r="G1129" t="e">
        <f>RigheOfferte[[#This Row],[Q.ta'']]</f>
        <v>#VALUE!</v>
      </c>
      <c r="H1129" t="e">
        <f>RigheOfferte[[#This Row],[Lavorazione]]</f>
        <v>#VALUE!</v>
      </c>
      <c r="I1129" t="e">
        <f>RigheOfferte[[#This Row],[Colore]]</f>
        <v>#VALUE!</v>
      </c>
      <c r="J1129" t="e">
        <f>RigheOfferte[[#This Row],[Velocità]]</f>
        <v>#VALUE!</v>
      </c>
      <c r="K1129" t="e">
        <f>RigheOfferte[[#This Row],[Superf.pz Mq]]</f>
        <v>#VALUE!</v>
      </c>
      <c r="L1129" t="e">
        <f>RigheOfferte[[#This Row],[passo]]</f>
        <v>#VALUE!</v>
      </c>
      <c r="M1129" t="e">
        <f>RigheOfferte[[#This Row],[nr.pezzi Telaio]]</f>
        <v>#VALUE!</v>
      </c>
      <c r="N1129" t="e">
        <f>RigheOfferte[[#This Row],[nr.pezzi ora-unita]]</f>
        <v>#VALUE!</v>
      </c>
      <c r="O1129" t="e">
        <f>Tabella1[[#This Row],[superificie]]*Resa</f>
        <v>#VALUE!</v>
      </c>
      <c r="P1129" t="e">
        <f>Tabella1[[#This Row],[KgPezzo]]*Tabella1[[#This Row],[q.ta offerta]]</f>
        <v>#VALUE!</v>
      </c>
      <c r="Q1129" t="e">
        <f>RigheOfferte[[#This Row],[QtaProtez]]</f>
        <v>#VALUE!</v>
      </c>
      <c r="R1129" t="e">
        <f>RigheOfferte[[#This Row],[Tipo Protezione]]</f>
        <v>#VALUE!</v>
      </c>
    </row>
    <row r="1130" spans="1:18">
      <c r="A1130" t="e">
        <f>RigheOfferte[[#This Row],[Nprev]]</f>
        <v>#VALUE!</v>
      </c>
      <c r="B1130" t="e">
        <f>RigheOfferte[[#This Row],[Nriga]]</f>
        <v>#VALUE!</v>
      </c>
      <c r="C1130" t="e">
        <f>RigheOfferte[[#This Row],[Cliente]]</f>
        <v>#VALUE!</v>
      </c>
      <c r="D1130" t="e">
        <f>RigheOfferte[[#This Row],[sub_cliente]]</f>
        <v>#VALUE!</v>
      </c>
      <c r="E1130" t="e">
        <f>RigheOfferte[[#This Row],[cod.Art.]]</f>
        <v>#VALUE!</v>
      </c>
      <c r="F1130" t="e">
        <f>RigheOfferte[[#This Row],[Descrizione]]</f>
        <v>#VALUE!</v>
      </c>
      <c r="G1130" t="e">
        <f>RigheOfferte[[#This Row],[Q.ta'']]</f>
        <v>#VALUE!</v>
      </c>
      <c r="H1130" t="e">
        <f>RigheOfferte[[#This Row],[Lavorazione]]</f>
        <v>#VALUE!</v>
      </c>
      <c r="I1130" t="e">
        <f>RigheOfferte[[#This Row],[Colore]]</f>
        <v>#VALUE!</v>
      </c>
      <c r="J1130" t="e">
        <f>RigheOfferte[[#This Row],[Velocità]]</f>
        <v>#VALUE!</v>
      </c>
      <c r="K1130" t="e">
        <f>RigheOfferte[[#This Row],[Superf.pz Mq]]</f>
        <v>#VALUE!</v>
      </c>
      <c r="L1130" t="e">
        <f>RigheOfferte[[#This Row],[passo]]</f>
        <v>#VALUE!</v>
      </c>
      <c r="M1130" t="e">
        <f>RigheOfferte[[#This Row],[nr.pezzi Telaio]]</f>
        <v>#VALUE!</v>
      </c>
      <c r="N1130" t="e">
        <f>RigheOfferte[[#This Row],[nr.pezzi ora-unita]]</f>
        <v>#VALUE!</v>
      </c>
      <c r="O1130" t="e">
        <f>Tabella1[[#This Row],[superificie]]*Resa</f>
        <v>#VALUE!</v>
      </c>
      <c r="P1130" t="e">
        <f>Tabella1[[#This Row],[KgPezzo]]*Tabella1[[#This Row],[q.ta offerta]]</f>
        <v>#VALUE!</v>
      </c>
      <c r="Q1130" t="e">
        <f>RigheOfferte[[#This Row],[QtaProtez]]</f>
        <v>#VALUE!</v>
      </c>
      <c r="R1130" t="e">
        <f>RigheOfferte[[#This Row],[Tipo Protezione]]</f>
        <v>#VALUE!</v>
      </c>
    </row>
    <row r="1131" spans="1:18">
      <c r="A1131" t="e">
        <f>RigheOfferte[[#This Row],[Nprev]]</f>
        <v>#VALUE!</v>
      </c>
      <c r="B1131" t="e">
        <f>RigheOfferte[[#This Row],[Nriga]]</f>
        <v>#VALUE!</v>
      </c>
      <c r="C1131" t="e">
        <f>RigheOfferte[[#This Row],[Cliente]]</f>
        <v>#VALUE!</v>
      </c>
      <c r="D1131" t="e">
        <f>RigheOfferte[[#This Row],[sub_cliente]]</f>
        <v>#VALUE!</v>
      </c>
      <c r="E1131" t="e">
        <f>RigheOfferte[[#This Row],[cod.Art.]]</f>
        <v>#VALUE!</v>
      </c>
      <c r="F1131" t="e">
        <f>RigheOfferte[[#This Row],[Descrizione]]</f>
        <v>#VALUE!</v>
      </c>
      <c r="G1131" t="e">
        <f>RigheOfferte[[#This Row],[Q.ta'']]</f>
        <v>#VALUE!</v>
      </c>
      <c r="H1131" t="e">
        <f>RigheOfferte[[#This Row],[Lavorazione]]</f>
        <v>#VALUE!</v>
      </c>
      <c r="I1131" t="e">
        <f>RigheOfferte[[#This Row],[Colore]]</f>
        <v>#VALUE!</v>
      </c>
      <c r="J1131" t="e">
        <f>RigheOfferte[[#This Row],[Velocità]]</f>
        <v>#VALUE!</v>
      </c>
      <c r="K1131" t="e">
        <f>RigheOfferte[[#This Row],[Superf.pz Mq]]</f>
        <v>#VALUE!</v>
      </c>
      <c r="L1131" t="e">
        <f>RigheOfferte[[#This Row],[passo]]</f>
        <v>#VALUE!</v>
      </c>
      <c r="M1131" t="e">
        <f>RigheOfferte[[#This Row],[nr.pezzi Telaio]]</f>
        <v>#VALUE!</v>
      </c>
      <c r="N1131" t="e">
        <f>RigheOfferte[[#This Row],[nr.pezzi ora-unita]]</f>
        <v>#VALUE!</v>
      </c>
      <c r="O1131" t="e">
        <f>Tabella1[[#This Row],[superificie]]*Resa</f>
        <v>#VALUE!</v>
      </c>
      <c r="P1131" t="e">
        <f>Tabella1[[#This Row],[KgPezzo]]*Tabella1[[#This Row],[q.ta offerta]]</f>
        <v>#VALUE!</v>
      </c>
      <c r="Q1131" t="e">
        <f>RigheOfferte[[#This Row],[QtaProtez]]</f>
        <v>#VALUE!</v>
      </c>
      <c r="R1131" t="e">
        <f>RigheOfferte[[#This Row],[Tipo Protezione]]</f>
        <v>#VALUE!</v>
      </c>
    </row>
    <row r="1132" spans="1:18">
      <c r="A1132" t="e">
        <f>RigheOfferte[[#This Row],[Nprev]]</f>
        <v>#VALUE!</v>
      </c>
      <c r="B1132" t="e">
        <f>RigheOfferte[[#This Row],[Nriga]]</f>
        <v>#VALUE!</v>
      </c>
      <c r="C1132" t="e">
        <f>RigheOfferte[[#This Row],[Cliente]]</f>
        <v>#VALUE!</v>
      </c>
      <c r="D1132" t="e">
        <f>RigheOfferte[[#This Row],[sub_cliente]]</f>
        <v>#VALUE!</v>
      </c>
      <c r="E1132" t="e">
        <f>RigheOfferte[[#This Row],[cod.Art.]]</f>
        <v>#VALUE!</v>
      </c>
      <c r="F1132" t="e">
        <f>RigheOfferte[[#This Row],[Descrizione]]</f>
        <v>#VALUE!</v>
      </c>
      <c r="G1132" t="e">
        <f>RigheOfferte[[#This Row],[Q.ta'']]</f>
        <v>#VALUE!</v>
      </c>
      <c r="H1132" t="e">
        <f>RigheOfferte[[#This Row],[Lavorazione]]</f>
        <v>#VALUE!</v>
      </c>
      <c r="I1132" t="e">
        <f>RigheOfferte[[#This Row],[Colore]]</f>
        <v>#VALUE!</v>
      </c>
      <c r="J1132" t="e">
        <f>RigheOfferte[[#This Row],[Velocità]]</f>
        <v>#VALUE!</v>
      </c>
      <c r="K1132" t="e">
        <f>RigheOfferte[[#This Row],[Superf.pz Mq]]</f>
        <v>#VALUE!</v>
      </c>
      <c r="L1132" t="e">
        <f>RigheOfferte[[#This Row],[passo]]</f>
        <v>#VALUE!</v>
      </c>
      <c r="M1132" t="e">
        <f>RigheOfferte[[#This Row],[nr.pezzi Telaio]]</f>
        <v>#VALUE!</v>
      </c>
      <c r="N1132" t="e">
        <f>RigheOfferte[[#This Row],[nr.pezzi ora-unita]]</f>
        <v>#VALUE!</v>
      </c>
      <c r="O1132" t="e">
        <f>Tabella1[[#This Row],[superificie]]*Resa</f>
        <v>#VALUE!</v>
      </c>
      <c r="P1132" t="e">
        <f>Tabella1[[#This Row],[KgPezzo]]*Tabella1[[#This Row],[q.ta offerta]]</f>
        <v>#VALUE!</v>
      </c>
      <c r="Q1132" t="e">
        <f>RigheOfferte[[#This Row],[QtaProtez]]</f>
        <v>#VALUE!</v>
      </c>
      <c r="R1132" t="e">
        <f>RigheOfferte[[#This Row],[Tipo Protezione]]</f>
        <v>#VALUE!</v>
      </c>
    </row>
    <row r="1133" spans="1:18">
      <c r="A1133" t="e">
        <f>RigheOfferte[[#This Row],[Nprev]]</f>
        <v>#VALUE!</v>
      </c>
      <c r="B1133" t="e">
        <f>RigheOfferte[[#This Row],[Nriga]]</f>
        <v>#VALUE!</v>
      </c>
      <c r="C1133" t="e">
        <f>RigheOfferte[[#This Row],[Cliente]]</f>
        <v>#VALUE!</v>
      </c>
      <c r="D1133" t="e">
        <f>RigheOfferte[[#This Row],[sub_cliente]]</f>
        <v>#VALUE!</v>
      </c>
      <c r="E1133" t="e">
        <f>RigheOfferte[[#This Row],[cod.Art.]]</f>
        <v>#VALUE!</v>
      </c>
      <c r="F1133" t="e">
        <f>RigheOfferte[[#This Row],[Descrizione]]</f>
        <v>#VALUE!</v>
      </c>
      <c r="G1133" t="e">
        <f>RigheOfferte[[#This Row],[Q.ta'']]</f>
        <v>#VALUE!</v>
      </c>
      <c r="H1133" t="e">
        <f>RigheOfferte[[#This Row],[Lavorazione]]</f>
        <v>#VALUE!</v>
      </c>
      <c r="I1133" t="e">
        <f>RigheOfferte[[#This Row],[Colore]]</f>
        <v>#VALUE!</v>
      </c>
      <c r="J1133" t="e">
        <f>RigheOfferte[[#This Row],[Velocità]]</f>
        <v>#VALUE!</v>
      </c>
      <c r="K1133" t="e">
        <f>RigheOfferte[[#This Row],[Superf.pz Mq]]</f>
        <v>#VALUE!</v>
      </c>
      <c r="L1133" t="e">
        <f>RigheOfferte[[#This Row],[passo]]</f>
        <v>#VALUE!</v>
      </c>
      <c r="M1133" t="e">
        <f>RigheOfferte[[#This Row],[nr.pezzi Telaio]]</f>
        <v>#VALUE!</v>
      </c>
      <c r="N1133" t="e">
        <f>RigheOfferte[[#This Row],[nr.pezzi ora-unita]]</f>
        <v>#VALUE!</v>
      </c>
      <c r="O1133" t="e">
        <f>Tabella1[[#This Row],[superificie]]*Resa</f>
        <v>#VALUE!</v>
      </c>
      <c r="P1133" t="e">
        <f>Tabella1[[#This Row],[KgPezzo]]*Tabella1[[#This Row],[q.ta offerta]]</f>
        <v>#VALUE!</v>
      </c>
      <c r="Q1133" t="e">
        <f>RigheOfferte[[#This Row],[QtaProtez]]</f>
        <v>#VALUE!</v>
      </c>
      <c r="R1133" t="e">
        <f>RigheOfferte[[#This Row],[Tipo Protezione]]</f>
        <v>#VALUE!</v>
      </c>
    </row>
    <row r="1134" spans="1:18">
      <c r="A1134" t="e">
        <f>RigheOfferte[[#This Row],[Nprev]]</f>
        <v>#VALUE!</v>
      </c>
      <c r="B1134" t="e">
        <f>RigheOfferte[[#This Row],[Nriga]]</f>
        <v>#VALUE!</v>
      </c>
      <c r="C1134" t="e">
        <f>RigheOfferte[[#This Row],[Cliente]]</f>
        <v>#VALUE!</v>
      </c>
      <c r="D1134" t="e">
        <f>RigheOfferte[[#This Row],[sub_cliente]]</f>
        <v>#VALUE!</v>
      </c>
      <c r="E1134" t="e">
        <f>RigheOfferte[[#This Row],[cod.Art.]]</f>
        <v>#VALUE!</v>
      </c>
      <c r="F1134" t="e">
        <f>RigheOfferte[[#This Row],[Descrizione]]</f>
        <v>#VALUE!</v>
      </c>
      <c r="G1134" t="e">
        <f>RigheOfferte[[#This Row],[Q.ta'']]</f>
        <v>#VALUE!</v>
      </c>
      <c r="H1134" t="e">
        <f>RigheOfferte[[#This Row],[Lavorazione]]</f>
        <v>#VALUE!</v>
      </c>
      <c r="I1134" t="e">
        <f>RigheOfferte[[#This Row],[Colore]]</f>
        <v>#VALUE!</v>
      </c>
      <c r="J1134" t="e">
        <f>RigheOfferte[[#This Row],[Velocità]]</f>
        <v>#VALUE!</v>
      </c>
      <c r="K1134" t="e">
        <f>RigheOfferte[[#This Row],[Superf.pz Mq]]</f>
        <v>#VALUE!</v>
      </c>
      <c r="L1134" t="e">
        <f>RigheOfferte[[#This Row],[passo]]</f>
        <v>#VALUE!</v>
      </c>
      <c r="M1134" t="e">
        <f>RigheOfferte[[#This Row],[nr.pezzi Telaio]]</f>
        <v>#VALUE!</v>
      </c>
      <c r="N1134" t="e">
        <f>RigheOfferte[[#This Row],[nr.pezzi ora-unita]]</f>
        <v>#VALUE!</v>
      </c>
      <c r="O1134" t="e">
        <f>Tabella1[[#This Row],[superificie]]*Resa</f>
        <v>#VALUE!</v>
      </c>
      <c r="P1134" t="e">
        <f>Tabella1[[#This Row],[KgPezzo]]*Tabella1[[#This Row],[q.ta offerta]]</f>
        <v>#VALUE!</v>
      </c>
      <c r="Q1134" t="e">
        <f>RigheOfferte[[#This Row],[QtaProtez]]</f>
        <v>#VALUE!</v>
      </c>
      <c r="R1134" t="e">
        <f>RigheOfferte[[#This Row],[Tipo Protezione]]</f>
        <v>#VALUE!</v>
      </c>
    </row>
    <row r="1135" spans="1:18">
      <c r="A1135" t="e">
        <f>RigheOfferte[[#This Row],[Nprev]]</f>
        <v>#VALUE!</v>
      </c>
      <c r="B1135" t="e">
        <f>RigheOfferte[[#This Row],[Nriga]]</f>
        <v>#VALUE!</v>
      </c>
      <c r="C1135" t="e">
        <f>RigheOfferte[[#This Row],[Cliente]]</f>
        <v>#VALUE!</v>
      </c>
      <c r="D1135" t="e">
        <f>RigheOfferte[[#This Row],[sub_cliente]]</f>
        <v>#VALUE!</v>
      </c>
      <c r="E1135" t="e">
        <f>RigheOfferte[[#This Row],[cod.Art.]]</f>
        <v>#VALUE!</v>
      </c>
      <c r="F1135" t="e">
        <f>RigheOfferte[[#This Row],[Descrizione]]</f>
        <v>#VALUE!</v>
      </c>
      <c r="G1135" t="e">
        <f>RigheOfferte[[#This Row],[Q.ta'']]</f>
        <v>#VALUE!</v>
      </c>
      <c r="H1135" t="e">
        <f>RigheOfferte[[#This Row],[Lavorazione]]</f>
        <v>#VALUE!</v>
      </c>
      <c r="I1135" t="e">
        <f>RigheOfferte[[#This Row],[Colore]]</f>
        <v>#VALUE!</v>
      </c>
      <c r="J1135" t="e">
        <f>RigheOfferte[[#This Row],[Velocità]]</f>
        <v>#VALUE!</v>
      </c>
      <c r="K1135" t="e">
        <f>RigheOfferte[[#This Row],[Superf.pz Mq]]</f>
        <v>#VALUE!</v>
      </c>
      <c r="L1135" t="e">
        <f>RigheOfferte[[#This Row],[passo]]</f>
        <v>#VALUE!</v>
      </c>
      <c r="M1135" t="e">
        <f>RigheOfferte[[#This Row],[nr.pezzi Telaio]]</f>
        <v>#VALUE!</v>
      </c>
      <c r="N1135" t="e">
        <f>RigheOfferte[[#This Row],[nr.pezzi ora-unita]]</f>
        <v>#VALUE!</v>
      </c>
      <c r="O1135" t="e">
        <f>Tabella1[[#This Row],[superificie]]*Resa</f>
        <v>#VALUE!</v>
      </c>
      <c r="P1135" t="e">
        <f>Tabella1[[#This Row],[KgPezzo]]*Tabella1[[#This Row],[q.ta offerta]]</f>
        <v>#VALUE!</v>
      </c>
      <c r="Q1135" t="e">
        <f>RigheOfferte[[#This Row],[QtaProtez]]</f>
        <v>#VALUE!</v>
      </c>
      <c r="R1135" t="e">
        <f>RigheOfferte[[#This Row],[Tipo Protezione]]</f>
        <v>#VALUE!</v>
      </c>
    </row>
    <row r="1136" spans="1:18">
      <c r="A1136" t="e">
        <f>RigheOfferte[[#This Row],[Nprev]]</f>
        <v>#VALUE!</v>
      </c>
      <c r="B1136" t="e">
        <f>RigheOfferte[[#This Row],[Nriga]]</f>
        <v>#VALUE!</v>
      </c>
      <c r="C1136" t="e">
        <f>RigheOfferte[[#This Row],[Cliente]]</f>
        <v>#VALUE!</v>
      </c>
      <c r="D1136" t="e">
        <f>RigheOfferte[[#This Row],[sub_cliente]]</f>
        <v>#VALUE!</v>
      </c>
      <c r="E1136" t="e">
        <f>RigheOfferte[[#This Row],[cod.Art.]]</f>
        <v>#VALUE!</v>
      </c>
      <c r="F1136" t="e">
        <f>RigheOfferte[[#This Row],[Descrizione]]</f>
        <v>#VALUE!</v>
      </c>
      <c r="G1136" t="e">
        <f>RigheOfferte[[#This Row],[Q.ta'']]</f>
        <v>#VALUE!</v>
      </c>
      <c r="H1136" t="e">
        <f>RigheOfferte[[#This Row],[Lavorazione]]</f>
        <v>#VALUE!</v>
      </c>
      <c r="I1136" t="e">
        <f>RigheOfferte[[#This Row],[Colore]]</f>
        <v>#VALUE!</v>
      </c>
      <c r="J1136" t="e">
        <f>RigheOfferte[[#This Row],[Velocità]]</f>
        <v>#VALUE!</v>
      </c>
      <c r="K1136" t="e">
        <f>RigheOfferte[[#This Row],[Superf.pz Mq]]</f>
        <v>#VALUE!</v>
      </c>
      <c r="L1136" t="e">
        <f>RigheOfferte[[#This Row],[passo]]</f>
        <v>#VALUE!</v>
      </c>
      <c r="M1136" t="e">
        <f>RigheOfferte[[#This Row],[nr.pezzi Telaio]]</f>
        <v>#VALUE!</v>
      </c>
      <c r="N1136" t="e">
        <f>RigheOfferte[[#This Row],[nr.pezzi ora-unita]]</f>
        <v>#VALUE!</v>
      </c>
      <c r="O1136" t="e">
        <f>Tabella1[[#This Row],[superificie]]*Resa</f>
        <v>#VALUE!</v>
      </c>
      <c r="P1136" t="e">
        <f>Tabella1[[#This Row],[KgPezzo]]*Tabella1[[#This Row],[q.ta offerta]]</f>
        <v>#VALUE!</v>
      </c>
      <c r="Q1136" t="e">
        <f>RigheOfferte[[#This Row],[QtaProtez]]</f>
        <v>#VALUE!</v>
      </c>
      <c r="R1136" t="e">
        <f>RigheOfferte[[#This Row],[Tipo Protezione]]</f>
        <v>#VALUE!</v>
      </c>
    </row>
    <row r="1137" spans="1:18">
      <c r="A1137" t="e">
        <f>RigheOfferte[[#This Row],[Nprev]]</f>
        <v>#VALUE!</v>
      </c>
      <c r="B1137" t="e">
        <f>RigheOfferte[[#This Row],[Nriga]]</f>
        <v>#VALUE!</v>
      </c>
      <c r="C1137" t="e">
        <f>RigheOfferte[[#This Row],[Cliente]]</f>
        <v>#VALUE!</v>
      </c>
      <c r="D1137" t="e">
        <f>RigheOfferte[[#This Row],[sub_cliente]]</f>
        <v>#VALUE!</v>
      </c>
      <c r="E1137" t="e">
        <f>RigheOfferte[[#This Row],[cod.Art.]]</f>
        <v>#VALUE!</v>
      </c>
      <c r="F1137" t="e">
        <f>RigheOfferte[[#This Row],[Descrizione]]</f>
        <v>#VALUE!</v>
      </c>
      <c r="G1137" t="e">
        <f>RigheOfferte[[#This Row],[Q.ta'']]</f>
        <v>#VALUE!</v>
      </c>
      <c r="H1137" t="e">
        <f>RigheOfferte[[#This Row],[Lavorazione]]</f>
        <v>#VALUE!</v>
      </c>
      <c r="I1137" t="e">
        <f>RigheOfferte[[#This Row],[Colore]]</f>
        <v>#VALUE!</v>
      </c>
      <c r="J1137" t="e">
        <f>RigheOfferte[[#This Row],[Velocità]]</f>
        <v>#VALUE!</v>
      </c>
      <c r="K1137" t="e">
        <f>RigheOfferte[[#This Row],[Superf.pz Mq]]</f>
        <v>#VALUE!</v>
      </c>
      <c r="L1137" t="e">
        <f>RigheOfferte[[#This Row],[passo]]</f>
        <v>#VALUE!</v>
      </c>
      <c r="M1137" t="e">
        <f>RigheOfferte[[#This Row],[nr.pezzi Telaio]]</f>
        <v>#VALUE!</v>
      </c>
      <c r="N1137" t="e">
        <f>RigheOfferte[[#This Row],[nr.pezzi ora-unita]]</f>
        <v>#VALUE!</v>
      </c>
      <c r="O1137" t="e">
        <f>Tabella1[[#This Row],[superificie]]*Resa</f>
        <v>#VALUE!</v>
      </c>
      <c r="P1137" t="e">
        <f>Tabella1[[#This Row],[KgPezzo]]*Tabella1[[#This Row],[q.ta offerta]]</f>
        <v>#VALUE!</v>
      </c>
      <c r="Q1137" t="e">
        <f>RigheOfferte[[#This Row],[QtaProtez]]</f>
        <v>#VALUE!</v>
      </c>
      <c r="R1137" t="e">
        <f>RigheOfferte[[#This Row],[Tipo Protezione]]</f>
        <v>#VALUE!</v>
      </c>
    </row>
    <row r="1138" spans="1:18">
      <c r="A1138" t="e">
        <f>RigheOfferte[[#This Row],[Nprev]]</f>
        <v>#VALUE!</v>
      </c>
      <c r="B1138" t="e">
        <f>RigheOfferte[[#This Row],[Nriga]]</f>
        <v>#VALUE!</v>
      </c>
      <c r="C1138" t="e">
        <f>RigheOfferte[[#This Row],[Cliente]]</f>
        <v>#VALUE!</v>
      </c>
      <c r="D1138" t="e">
        <f>RigheOfferte[[#This Row],[sub_cliente]]</f>
        <v>#VALUE!</v>
      </c>
      <c r="E1138" t="e">
        <f>RigheOfferte[[#This Row],[cod.Art.]]</f>
        <v>#VALUE!</v>
      </c>
      <c r="F1138" t="e">
        <f>RigheOfferte[[#This Row],[Descrizione]]</f>
        <v>#VALUE!</v>
      </c>
      <c r="G1138" t="e">
        <f>RigheOfferte[[#This Row],[Q.ta'']]</f>
        <v>#VALUE!</v>
      </c>
      <c r="H1138" t="e">
        <f>RigheOfferte[[#This Row],[Lavorazione]]</f>
        <v>#VALUE!</v>
      </c>
      <c r="I1138" t="e">
        <f>RigheOfferte[[#This Row],[Colore]]</f>
        <v>#VALUE!</v>
      </c>
      <c r="J1138" t="e">
        <f>RigheOfferte[[#This Row],[Velocità]]</f>
        <v>#VALUE!</v>
      </c>
      <c r="K1138" t="e">
        <f>RigheOfferte[[#This Row],[Superf.pz Mq]]</f>
        <v>#VALUE!</v>
      </c>
      <c r="L1138" t="e">
        <f>RigheOfferte[[#This Row],[passo]]</f>
        <v>#VALUE!</v>
      </c>
      <c r="M1138" t="e">
        <f>RigheOfferte[[#This Row],[nr.pezzi Telaio]]</f>
        <v>#VALUE!</v>
      </c>
      <c r="N1138" t="e">
        <f>RigheOfferte[[#This Row],[nr.pezzi ora-unita]]</f>
        <v>#VALUE!</v>
      </c>
      <c r="O1138" t="e">
        <f>Tabella1[[#This Row],[superificie]]*Resa</f>
        <v>#VALUE!</v>
      </c>
      <c r="P1138" t="e">
        <f>Tabella1[[#This Row],[KgPezzo]]*Tabella1[[#This Row],[q.ta offerta]]</f>
        <v>#VALUE!</v>
      </c>
      <c r="Q1138" t="e">
        <f>RigheOfferte[[#This Row],[QtaProtez]]</f>
        <v>#VALUE!</v>
      </c>
      <c r="R1138" t="e">
        <f>RigheOfferte[[#This Row],[Tipo Protezione]]</f>
        <v>#VALUE!</v>
      </c>
    </row>
    <row r="1139" spans="1:18">
      <c r="A1139" t="e">
        <f>RigheOfferte[[#This Row],[Nprev]]</f>
        <v>#VALUE!</v>
      </c>
      <c r="B1139" t="e">
        <f>RigheOfferte[[#This Row],[Nriga]]</f>
        <v>#VALUE!</v>
      </c>
      <c r="C1139" t="e">
        <f>RigheOfferte[[#This Row],[Cliente]]</f>
        <v>#VALUE!</v>
      </c>
      <c r="D1139" t="e">
        <f>RigheOfferte[[#This Row],[sub_cliente]]</f>
        <v>#VALUE!</v>
      </c>
      <c r="E1139" t="e">
        <f>RigheOfferte[[#This Row],[cod.Art.]]</f>
        <v>#VALUE!</v>
      </c>
      <c r="F1139" t="e">
        <f>RigheOfferte[[#This Row],[Descrizione]]</f>
        <v>#VALUE!</v>
      </c>
      <c r="G1139" t="e">
        <f>RigheOfferte[[#This Row],[Q.ta'']]</f>
        <v>#VALUE!</v>
      </c>
      <c r="H1139" t="e">
        <f>RigheOfferte[[#This Row],[Lavorazione]]</f>
        <v>#VALUE!</v>
      </c>
      <c r="I1139" t="e">
        <f>RigheOfferte[[#This Row],[Colore]]</f>
        <v>#VALUE!</v>
      </c>
      <c r="J1139" t="e">
        <f>RigheOfferte[[#This Row],[Velocità]]</f>
        <v>#VALUE!</v>
      </c>
      <c r="K1139" t="e">
        <f>RigheOfferte[[#This Row],[Superf.pz Mq]]</f>
        <v>#VALUE!</v>
      </c>
      <c r="L1139" t="e">
        <f>RigheOfferte[[#This Row],[passo]]</f>
        <v>#VALUE!</v>
      </c>
      <c r="M1139" t="e">
        <f>RigheOfferte[[#This Row],[nr.pezzi Telaio]]</f>
        <v>#VALUE!</v>
      </c>
      <c r="N1139" t="e">
        <f>RigheOfferte[[#This Row],[nr.pezzi ora-unita]]</f>
        <v>#VALUE!</v>
      </c>
      <c r="O1139" t="e">
        <f>Tabella1[[#This Row],[superificie]]*Resa</f>
        <v>#VALUE!</v>
      </c>
      <c r="P1139" t="e">
        <f>Tabella1[[#This Row],[KgPezzo]]*Tabella1[[#This Row],[q.ta offerta]]</f>
        <v>#VALUE!</v>
      </c>
      <c r="Q1139" t="e">
        <f>RigheOfferte[[#This Row],[QtaProtez]]</f>
        <v>#VALUE!</v>
      </c>
      <c r="R1139" t="e">
        <f>RigheOfferte[[#This Row],[Tipo Protezione]]</f>
        <v>#VALUE!</v>
      </c>
    </row>
    <row r="1140" spans="1:18">
      <c r="A1140" t="e">
        <f>RigheOfferte[[#This Row],[Nprev]]</f>
        <v>#VALUE!</v>
      </c>
      <c r="B1140" t="e">
        <f>RigheOfferte[[#This Row],[Nriga]]</f>
        <v>#VALUE!</v>
      </c>
      <c r="C1140" t="e">
        <f>RigheOfferte[[#This Row],[Cliente]]</f>
        <v>#VALUE!</v>
      </c>
      <c r="D1140" t="e">
        <f>RigheOfferte[[#This Row],[sub_cliente]]</f>
        <v>#VALUE!</v>
      </c>
      <c r="E1140" t="e">
        <f>RigheOfferte[[#This Row],[cod.Art.]]</f>
        <v>#VALUE!</v>
      </c>
      <c r="F1140" t="e">
        <f>RigheOfferte[[#This Row],[Descrizione]]</f>
        <v>#VALUE!</v>
      </c>
      <c r="G1140" t="e">
        <f>RigheOfferte[[#This Row],[Q.ta'']]</f>
        <v>#VALUE!</v>
      </c>
      <c r="H1140" t="e">
        <f>RigheOfferte[[#This Row],[Lavorazione]]</f>
        <v>#VALUE!</v>
      </c>
      <c r="I1140" t="e">
        <f>RigheOfferte[[#This Row],[Colore]]</f>
        <v>#VALUE!</v>
      </c>
      <c r="J1140" t="e">
        <f>RigheOfferte[[#This Row],[Velocità]]</f>
        <v>#VALUE!</v>
      </c>
      <c r="K1140" t="e">
        <f>RigheOfferte[[#This Row],[Superf.pz Mq]]</f>
        <v>#VALUE!</v>
      </c>
      <c r="L1140" t="e">
        <f>RigheOfferte[[#This Row],[passo]]</f>
        <v>#VALUE!</v>
      </c>
      <c r="M1140" t="e">
        <f>RigheOfferte[[#This Row],[nr.pezzi Telaio]]</f>
        <v>#VALUE!</v>
      </c>
      <c r="N1140" t="e">
        <f>RigheOfferte[[#This Row],[nr.pezzi ora-unita]]</f>
        <v>#VALUE!</v>
      </c>
      <c r="O1140" t="e">
        <f>Tabella1[[#This Row],[superificie]]*Resa</f>
        <v>#VALUE!</v>
      </c>
      <c r="P1140" t="e">
        <f>Tabella1[[#This Row],[KgPezzo]]*Tabella1[[#This Row],[q.ta offerta]]</f>
        <v>#VALUE!</v>
      </c>
      <c r="Q1140" t="e">
        <f>RigheOfferte[[#This Row],[QtaProtez]]</f>
        <v>#VALUE!</v>
      </c>
      <c r="R1140" t="e">
        <f>RigheOfferte[[#This Row],[Tipo Protezione]]</f>
        <v>#VALUE!</v>
      </c>
    </row>
    <row r="1141" spans="1:18">
      <c r="A1141" t="e">
        <f>RigheOfferte[[#This Row],[Nprev]]</f>
        <v>#VALUE!</v>
      </c>
      <c r="B1141" t="e">
        <f>RigheOfferte[[#This Row],[Nriga]]</f>
        <v>#VALUE!</v>
      </c>
      <c r="C1141" t="e">
        <f>RigheOfferte[[#This Row],[Cliente]]</f>
        <v>#VALUE!</v>
      </c>
      <c r="D1141" t="e">
        <f>RigheOfferte[[#This Row],[sub_cliente]]</f>
        <v>#VALUE!</v>
      </c>
      <c r="E1141" t="e">
        <f>RigheOfferte[[#This Row],[cod.Art.]]</f>
        <v>#VALUE!</v>
      </c>
      <c r="F1141" t="e">
        <f>RigheOfferte[[#This Row],[Descrizione]]</f>
        <v>#VALUE!</v>
      </c>
      <c r="G1141" t="e">
        <f>RigheOfferte[[#This Row],[Q.ta'']]</f>
        <v>#VALUE!</v>
      </c>
      <c r="H1141" t="e">
        <f>RigheOfferte[[#This Row],[Lavorazione]]</f>
        <v>#VALUE!</v>
      </c>
      <c r="I1141" t="e">
        <f>RigheOfferte[[#This Row],[Colore]]</f>
        <v>#VALUE!</v>
      </c>
      <c r="J1141" t="e">
        <f>RigheOfferte[[#This Row],[Velocità]]</f>
        <v>#VALUE!</v>
      </c>
      <c r="K1141" t="e">
        <f>RigheOfferte[[#This Row],[Superf.pz Mq]]</f>
        <v>#VALUE!</v>
      </c>
      <c r="L1141" t="e">
        <f>RigheOfferte[[#This Row],[passo]]</f>
        <v>#VALUE!</v>
      </c>
      <c r="M1141" t="e">
        <f>RigheOfferte[[#This Row],[nr.pezzi Telaio]]</f>
        <v>#VALUE!</v>
      </c>
      <c r="N1141" t="e">
        <f>RigheOfferte[[#This Row],[nr.pezzi ora-unita]]</f>
        <v>#VALUE!</v>
      </c>
      <c r="O1141" t="e">
        <f>Tabella1[[#This Row],[superificie]]*Resa</f>
        <v>#VALUE!</v>
      </c>
      <c r="P1141" t="e">
        <f>Tabella1[[#This Row],[KgPezzo]]*Tabella1[[#This Row],[q.ta offerta]]</f>
        <v>#VALUE!</v>
      </c>
      <c r="Q1141" t="e">
        <f>RigheOfferte[[#This Row],[QtaProtez]]</f>
        <v>#VALUE!</v>
      </c>
      <c r="R1141" t="e">
        <f>RigheOfferte[[#This Row],[Tipo Protezione]]</f>
        <v>#VALUE!</v>
      </c>
    </row>
    <row r="1142" spans="1:18">
      <c r="A1142" t="e">
        <f>RigheOfferte[[#This Row],[Nprev]]</f>
        <v>#VALUE!</v>
      </c>
      <c r="B1142" t="e">
        <f>RigheOfferte[[#This Row],[Nriga]]</f>
        <v>#VALUE!</v>
      </c>
      <c r="C1142" t="e">
        <f>RigheOfferte[[#This Row],[Cliente]]</f>
        <v>#VALUE!</v>
      </c>
      <c r="D1142" t="e">
        <f>RigheOfferte[[#This Row],[sub_cliente]]</f>
        <v>#VALUE!</v>
      </c>
      <c r="E1142" t="e">
        <f>RigheOfferte[[#This Row],[cod.Art.]]</f>
        <v>#VALUE!</v>
      </c>
      <c r="F1142" t="e">
        <f>RigheOfferte[[#This Row],[Descrizione]]</f>
        <v>#VALUE!</v>
      </c>
      <c r="G1142" t="e">
        <f>RigheOfferte[[#This Row],[Q.ta'']]</f>
        <v>#VALUE!</v>
      </c>
      <c r="H1142" t="e">
        <f>RigheOfferte[[#This Row],[Lavorazione]]</f>
        <v>#VALUE!</v>
      </c>
      <c r="I1142" t="e">
        <f>RigheOfferte[[#This Row],[Colore]]</f>
        <v>#VALUE!</v>
      </c>
      <c r="J1142" t="e">
        <f>RigheOfferte[[#This Row],[Velocità]]</f>
        <v>#VALUE!</v>
      </c>
      <c r="K1142" t="e">
        <f>RigheOfferte[[#This Row],[Superf.pz Mq]]</f>
        <v>#VALUE!</v>
      </c>
      <c r="L1142" t="e">
        <f>RigheOfferte[[#This Row],[passo]]</f>
        <v>#VALUE!</v>
      </c>
      <c r="M1142" t="e">
        <f>RigheOfferte[[#This Row],[nr.pezzi Telaio]]</f>
        <v>#VALUE!</v>
      </c>
      <c r="N1142" t="e">
        <f>RigheOfferte[[#This Row],[nr.pezzi ora-unita]]</f>
        <v>#VALUE!</v>
      </c>
      <c r="O1142" t="e">
        <f>Tabella1[[#This Row],[superificie]]*Resa</f>
        <v>#VALUE!</v>
      </c>
      <c r="P1142" t="e">
        <f>Tabella1[[#This Row],[KgPezzo]]*Tabella1[[#This Row],[q.ta offerta]]</f>
        <v>#VALUE!</v>
      </c>
      <c r="Q1142" t="e">
        <f>RigheOfferte[[#This Row],[QtaProtez]]</f>
        <v>#VALUE!</v>
      </c>
      <c r="R1142" t="e">
        <f>RigheOfferte[[#This Row],[Tipo Protezione]]</f>
        <v>#VALUE!</v>
      </c>
    </row>
    <row r="1143" spans="1:18">
      <c r="A1143" t="e">
        <f>RigheOfferte[[#This Row],[Nprev]]</f>
        <v>#VALUE!</v>
      </c>
      <c r="B1143" t="e">
        <f>RigheOfferte[[#This Row],[Nriga]]</f>
        <v>#VALUE!</v>
      </c>
      <c r="C1143" t="e">
        <f>RigheOfferte[[#This Row],[Cliente]]</f>
        <v>#VALUE!</v>
      </c>
      <c r="D1143" t="e">
        <f>RigheOfferte[[#This Row],[sub_cliente]]</f>
        <v>#VALUE!</v>
      </c>
      <c r="E1143" t="e">
        <f>RigheOfferte[[#This Row],[cod.Art.]]</f>
        <v>#VALUE!</v>
      </c>
      <c r="F1143" t="e">
        <f>RigheOfferte[[#This Row],[Descrizione]]</f>
        <v>#VALUE!</v>
      </c>
      <c r="G1143" t="e">
        <f>RigheOfferte[[#This Row],[Q.ta'']]</f>
        <v>#VALUE!</v>
      </c>
      <c r="H1143" t="e">
        <f>RigheOfferte[[#This Row],[Lavorazione]]</f>
        <v>#VALUE!</v>
      </c>
      <c r="I1143" t="e">
        <f>RigheOfferte[[#This Row],[Colore]]</f>
        <v>#VALUE!</v>
      </c>
      <c r="J1143" t="e">
        <f>RigheOfferte[[#This Row],[Velocità]]</f>
        <v>#VALUE!</v>
      </c>
      <c r="K1143" t="e">
        <f>RigheOfferte[[#This Row],[Superf.pz Mq]]</f>
        <v>#VALUE!</v>
      </c>
      <c r="L1143" t="e">
        <f>RigheOfferte[[#This Row],[passo]]</f>
        <v>#VALUE!</v>
      </c>
      <c r="M1143" t="e">
        <f>RigheOfferte[[#This Row],[nr.pezzi Telaio]]</f>
        <v>#VALUE!</v>
      </c>
      <c r="N1143" t="e">
        <f>RigheOfferte[[#This Row],[nr.pezzi ora-unita]]</f>
        <v>#VALUE!</v>
      </c>
      <c r="O1143" t="e">
        <f>Tabella1[[#This Row],[superificie]]*Resa</f>
        <v>#VALUE!</v>
      </c>
      <c r="P1143" t="e">
        <f>Tabella1[[#This Row],[KgPezzo]]*Tabella1[[#This Row],[q.ta offerta]]</f>
        <v>#VALUE!</v>
      </c>
      <c r="Q1143" t="e">
        <f>RigheOfferte[[#This Row],[QtaProtez]]</f>
        <v>#VALUE!</v>
      </c>
      <c r="R1143" t="e">
        <f>RigheOfferte[[#This Row],[Tipo Protezione]]</f>
        <v>#VALUE!</v>
      </c>
    </row>
    <row r="1144" spans="1:18">
      <c r="A1144" t="e">
        <f>RigheOfferte[[#This Row],[Nprev]]</f>
        <v>#VALUE!</v>
      </c>
      <c r="B1144" t="e">
        <f>RigheOfferte[[#This Row],[Nriga]]</f>
        <v>#VALUE!</v>
      </c>
      <c r="C1144" t="e">
        <f>RigheOfferte[[#This Row],[Cliente]]</f>
        <v>#VALUE!</v>
      </c>
      <c r="D1144" t="e">
        <f>RigheOfferte[[#This Row],[sub_cliente]]</f>
        <v>#VALUE!</v>
      </c>
      <c r="E1144" t="e">
        <f>RigheOfferte[[#This Row],[cod.Art.]]</f>
        <v>#VALUE!</v>
      </c>
      <c r="F1144" t="e">
        <f>RigheOfferte[[#This Row],[Descrizione]]</f>
        <v>#VALUE!</v>
      </c>
      <c r="G1144" t="e">
        <f>RigheOfferte[[#This Row],[Q.ta'']]</f>
        <v>#VALUE!</v>
      </c>
      <c r="H1144" t="e">
        <f>RigheOfferte[[#This Row],[Lavorazione]]</f>
        <v>#VALUE!</v>
      </c>
      <c r="I1144" t="e">
        <f>RigheOfferte[[#This Row],[Colore]]</f>
        <v>#VALUE!</v>
      </c>
      <c r="J1144" t="e">
        <f>RigheOfferte[[#This Row],[Velocità]]</f>
        <v>#VALUE!</v>
      </c>
      <c r="K1144" t="e">
        <f>RigheOfferte[[#This Row],[Superf.pz Mq]]</f>
        <v>#VALUE!</v>
      </c>
      <c r="L1144" t="e">
        <f>RigheOfferte[[#This Row],[passo]]</f>
        <v>#VALUE!</v>
      </c>
      <c r="M1144" t="e">
        <f>RigheOfferte[[#This Row],[nr.pezzi Telaio]]</f>
        <v>#VALUE!</v>
      </c>
      <c r="N1144" t="e">
        <f>RigheOfferte[[#This Row],[nr.pezzi ora-unita]]</f>
        <v>#VALUE!</v>
      </c>
      <c r="O1144" t="e">
        <f>Tabella1[[#This Row],[superificie]]*Resa</f>
        <v>#VALUE!</v>
      </c>
      <c r="P1144" t="e">
        <f>Tabella1[[#This Row],[KgPezzo]]*Tabella1[[#This Row],[q.ta offerta]]</f>
        <v>#VALUE!</v>
      </c>
      <c r="Q1144" t="e">
        <f>RigheOfferte[[#This Row],[QtaProtez]]</f>
        <v>#VALUE!</v>
      </c>
      <c r="R1144" t="e">
        <f>RigheOfferte[[#This Row],[Tipo Protezione]]</f>
        <v>#VALUE!</v>
      </c>
    </row>
    <row r="1145" spans="1:18">
      <c r="A1145" t="e">
        <f>RigheOfferte[[#This Row],[Nprev]]</f>
        <v>#VALUE!</v>
      </c>
      <c r="B1145" t="e">
        <f>RigheOfferte[[#This Row],[Nriga]]</f>
        <v>#VALUE!</v>
      </c>
      <c r="C1145" t="e">
        <f>RigheOfferte[[#This Row],[Cliente]]</f>
        <v>#VALUE!</v>
      </c>
      <c r="D1145" t="e">
        <f>RigheOfferte[[#This Row],[sub_cliente]]</f>
        <v>#VALUE!</v>
      </c>
      <c r="E1145" t="e">
        <f>RigheOfferte[[#This Row],[cod.Art.]]</f>
        <v>#VALUE!</v>
      </c>
      <c r="F1145" t="e">
        <f>RigheOfferte[[#This Row],[Descrizione]]</f>
        <v>#VALUE!</v>
      </c>
      <c r="G1145" t="e">
        <f>RigheOfferte[[#This Row],[Q.ta'']]</f>
        <v>#VALUE!</v>
      </c>
      <c r="H1145" t="e">
        <f>RigheOfferte[[#This Row],[Lavorazione]]</f>
        <v>#VALUE!</v>
      </c>
      <c r="I1145" t="e">
        <f>RigheOfferte[[#This Row],[Colore]]</f>
        <v>#VALUE!</v>
      </c>
      <c r="J1145" t="e">
        <f>RigheOfferte[[#This Row],[Velocità]]</f>
        <v>#VALUE!</v>
      </c>
      <c r="K1145" t="e">
        <f>RigheOfferte[[#This Row],[Superf.pz Mq]]</f>
        <v>#VALUE!</v>
      </c>
      <c r="L1145" t="e">
        <f>RigheOfferte[[#This Row],[passo]]</f>
        <v>#VALUE!</v>
      </c>
      <c r="M1145" t="e">
        <f>RigheOfferte[[#This Row],[nr.pezzi Telaio]]</f>
        <v>#VALUE!</v>
      </c>
      <c r="N1145" t="e">
        <f>RigheOfferte[[#This Row],[nr.pezzi ora-unita]]</f>
        <v>#VALUE!</v>
      </c>
      <c r="O1145" t="e">
        <f>Tabella1[[#This Row],[superificie]]*Resa</f>
        <v>#VALUE!</v>
      </c>
      <c r="P1145" t="e">
        <f>Tabella1[[#This Row],[KgPezzo]]*Tabella1[[#This Row],[q.ta offerta]]</f>
        <v>#VALUE!</v>
      </c>
      <c r="Q1145" t="e">
        <f>RigheOfferte[[#This Row],[QtaProtez]]</f>
        <v>#VALUE!</v>
      </c>
      <c r="R1145" t="e">
        <f>RigheOfferte[[#This Row],[Tipo Protezione]]</f>
        <v>#VALUE!</v>
      </c>
    </row>
    <row r="1146" spans="1:18">
      <c r="A1146" t="e">
        <f>RigheOfferte[[#This Row],[Nprev]]</f>
        <v>#VALUE!</v>
      </c>
      <c r="B1146" t="e">
        <f>RigheOfferte[[#This Row],[Nriga]]</f>
        <v>#VALUE!</v>
      </c>
      <c r="C1146" t="e">
        <f>RigheOfferte[[#This Row],[Cliente]]</f>
        <v>#VALUE!</v>
      </c>
      <c r="D1146" t="e">
        <f>RigheOfferte[[#This Row],[sub_cliente]]</f>
        <v>#VALUE!</v>
      </c>
      <c r="E1146" t="e">
        <f>RigheOfferte[[#This Row],[cod.Art.]]</f>
        <v>#VALUE!</v>
      </c>
      <c r="F1146" t="e">
        <f>RigheOfferte[[#This Row],[Descrizione]]</f>
        <v>#VALUE!</v>
      </c>
      <c r="G1146" t="e">
        <f>RigheOfferte[[#This Row],[Q.ta'']]</f>
        <v>#VALUE!</v>
      </c>
      <c r="H1146" t="e">
        <f>RigheOfferte[[#This Row],[Lavorazione]]</f>
        <v>#VALUE!</v>
      </c>
      <c r="I1146" t="e">
        <f>RigheOfferte[[#This Row],[Colore]]</f>
        <v>#VALUE!</v>
      </c>
      <c r="J1146" t="e">
        <f>RigheOfferte[[#This Row],[Velocità]]</f>
        <v>#VALUE!</v>
      </c>
      <c r="K1146" t="e">
        <f>RigheOfferte[[#This Row],[Superf.pz Mq]]</f>
        <v>#VALUE!</v>
      </c>
      <c r="L1146" t="e">
        <f>RigheOfferte[[#This Row],[passo]]</f>
        <v>#VALUE!</v>
      </c>
      <c r="M1146" t="e">
        <f>RigheOfferte[[#This Row],[nr.pezzi Telaio]]</f>
        <v>#VALUE!</v>
      </c>
      <c r="N1146" t="e">
        <f>RigheOfferte[[#This Row],[nr.pezzi ora-unita]]</f>
        <v>#VALUE!</v>
      </c>
      <c r="O1146" t="e">
        <f>Tabella1[[#This Row],[superificie]]*Resa</f>
        <v>#VALUE!</v>
      </c>
      <c r="P1146" t="e">
        <f>Tabella1[[#This Row],[KgPezzo]]*Tabella1[[#This Row],[q.ta offerta]]</f>
        <v>#VALUE!</v>
      </c>
      <c r="Q1146" t="e">
        <f>RigheOfferte[[#This Row],[QtaProtez]]</f>
        <v>#VALUE!</v>
      </c>
      <c r="R1146" t="e">
        <f>RigheOfferte[[#This Row],[Tipo Protezione]]</f>
        <v>#VALUE!</v>
      </c>
    </row>
    <row r="1147" spans="1:18">
      <c r="A1147" t="e">
        <f>RigheOfferte[[#This Row],[Nprev]]</f>
        <v>#VALUE!</v>
      </c>
      <c r="B1147" t="e">
        <f>RigheOfferte[[#This Row],[Nriga]]</f>
        <v>#VALUE!</v>
      </c>
      <c r="C1147" t="e">
        <f>RigheOfferte[[#This Row],[Cliente]]</f>
        <v>#VALUE!</v>
      </c>
      <c r="D1147" t="e">
        <f>RigheOfferte[[#This Row],[sub_cliente]]</f>
        <v>#VALUE!</v>
      </c>
      <c r="E1147" t="e">
        <f>RigheOfferte[[#This Row],[cod.Art.]]</f>
        <v>#VALUE!</v>
      </c>
      <c r="F1147" t="e">
        <f>RigheOfferte[[#This Row],[Descrizione]]</f>
        <v>#VALUE!</v>
      </c>
      <c r="G1147" t="e">
        <f>RigheOfferte[[#This Row],[Q.ta'']]</f>
        <v>#VALUE!</v>
      </c>
      <c r="H1147" t="e">
        <f>RigheOfferte[[#This Row],[Lavorazione]]</f>
        <v>#VALUE!</v>
      </c>
      <c r="I1147" t="e">
        <f>RigheOfferte[[#This Row],[Colore]]</f>
        <v>#VALUE!</v>
      </c>
      <c r="J1147" t="e">
        <f>RigheOfferte[[#This Row],[Velocità]]</f>
        <v>#VALUE!</v>
      </c>
      <c r="K1147" t="e">
        <f>RigheOfferte[[#This Row],[Superf.pz Mq]]</f>
        <v>#VALUE!</v>
      </c>
      <c r="L1147" t="e">
        <f>RigheOfferte[[#This Row],[passo]]</f>
        <v>#VALUE!</v>
      </c>
      <c r="M1147" t="e">
        <f>RigheOfferte[[#This Row],[nr.pezzi Telaio]]</f>
        <v>#VALUE!</v>
      </c>
      <c r="N1147" t="e">
        <f>RigheOfferte[[#This Row],[nr.pezzi ora-unita]]</f>
        <v>#VALUE!</v>
      </c>
      <c r="O1147" t="e">
        <f>Tabella1[[#This Row],[superificie]]*Resa</f>
        <v>#VALUE!</v>
      </c>
      <c r="P1147" t="e">
        <f>Tabella1[[#This Row],[KgPezzo]]*Tabella1[[#This Row],[q.ta offerta]]</f>
        <v>#VALUE!</v>
      </c>
      <c r="Q1147" t="e">
        <f>RigheOfferte[[#This Row],[QtaProtez]]</f>
        <v>#VALUE!</v>
      </c>
      <c r="R1147" t="e">
        <f>RigheOfferte[[#This Row],[Tipo Protezione]]</f>
        <v>#VALUE!</v>
      </c>
    </row>
    <row r="1148" spans="1:18">
      <c r="A1148" t="e">
        <f>RigheOfferte[[#This Row],[Nprev]]</f>
        <v>#VALUE!</v>
      </c>
      <c r="B1148" t="e">
        <f>RigheOfferte[[#This Row],[Nriga]]</f>
        <v>#VALUE!</v>
      </c>
      <c r="C1148" t="e">
        <f>RigheOfferte[[#This Row],[Cliente]]</f>
        <v>#VALUE!</v>
      </c>
      <c r="D1148" t="e">
        <f>RigheOfferte[[#This Row],[sub_cliente]]</f>
        <v>#VALUE!</v>
      </c>
      <c r="E1148" t="e">
        <f>RigheOfferte[[#This Row],[cod.Art.]]</f>
        <v>#VALUE!</v>
      </c>
      <c r="F1148" t="e">
        <f>RigheOfferte[[#This Row],[Descrizione]]</f>
        <v>#VALUE!</v>
      </c>
      <c r="G1148" t="e">
        <f>RigheOfferte[[#This Row],[Q.ta'']]</f>
        <v>#VALUE!</v>
      </c>
      <c r="H1148" t="e">
        <f>RigheOfferte[[#This Row],[Lavorazione]]</f>
        <v>#VALUE!</v>
      </c>
      <c r="I1148" t="e">
        <f>RigheOfferte[[#This Row],[Colore]]</f>
        <v>#VALUE!</v>
      </c>
      <c r="J1148" t="e">
        <f>RigheOfferte[[#This Row],[Velocità]]</f>
        <v>#VALUE!</v>
      </c>
      <c r="K1148" t="e">
        <f>RigheOfferte[[#This Row],[Superf.pz Mq]]</f>
        <v>#VALUE!</v>
      </c>
      <c r="L1148" t="e">
        <f>RigheOfferte[[#This Row],[passo]]</f>
        <v>#VALUE!</v>
      </c>
      <c r="M1148" t="e">
        <f>RigheOfferte[[#This Row],[nr.pezzi Telaio]]</f>
        <v>#VALUE!</v>
      </c>
      <c r="N1148" t="e">
        <f>RigheOfferte[[#This Row],[nr.pezzi ora-unita]]</f>
        <v>#VALUE!</v>
      </c>
      <c r="O1148" t="e">
        <f>Tabella1[[#This Row],[superificie]]*Resa</f>
        <v>#VALUE!</v>
      </c>
      <c r="P1148" t="e">
        <f>Tabella1[[#This Row],[KgPezzo]]*Tabella1[[#This Row],[q.ta offerta]]</f>
        <v>#VALUE!</v>
      </c>
      <c r="Q1148" t="e">
        <f>RigheOfferte[[#This Row],[QtaProtez]]</f>
        <v>#VALUE!</v>
      </c>
      <c r="R1148" t="e">
        <f>RigheOfferte[[#This Row],[Tipo Protezione]]</f>
        <v>#VALUE!</v>
      </c>
    </row>
    <row r="1149" spans="1:18">
      <c r="A1149" t="e">
        <f>RigheOfferte[[#This Row],[Nprev]]</f>
        <v>#VALUE!</v>
      </c>
      <c r="B1149" t="e">
        <f>RigheOfferte[[#This Row],[Nriga]]</f>
        <v>#VALUE!</v>
      </c>
      <c r="C1149" t="e">
        <f>RigheOfferte[[#This Row],[Cliente]]</f>
        <v>#VALUE!</v>
      </c>
      <c r="D1149" t="e">
        <f>RigheOfferte[[#This Row],[sub_cliente]]</f>
        <v>#VALUE!</v>
      </c>
      <c r="E1149" t="e">
        <f>RigheOfferte[[#This Row],[cod.Art.]]</f>
        <v>#VALUE!</v>
      </c>
      <c r="F1149" t="e">
        <f>RigheOfferte[[#This Row],[Descrizione]]</f>
        <v>#VALUE!</v>
      </c>
      <c r="G1149" t="e">
        <f>RigheOfferte[[#This Row],[Q.ta'']]</f>
        <v>#VALUE!</v>
      </c>
      <c r="H1149" t="e">
        <f>RigheOfferte[[#This Row],[Lavorazione]]</f>
        <v>#VALUE!</v>
      </c>
      <c r="I1149" t="e">
        <f>RigheOfferte[[#This Row],[Colore]]</f>
        <v>#VALUE!</v>
      </c>
      <c r="J1149" t="e">
        <f>RigheOfferte[[#This Row],[Velocità]]</f>
        <v>#VALUE!</v>
      </c>
      <c r="K1149" t="e">
        <f>RigheOfferte[[#This Row],[Superf.pz Mq]]</f>
        <v>#VALUE!</v>
      </c>
      <c r="L1149" t="e">
        <f>RigheOfferte[[#This Row],[passo]]</f>
        <v>#VALUE!</v>
      </c>
      <c r="M1149" t="e">
        <f>RigheOfferte[[#This Row],[nr.pezzi Telaio]]</f>
        <v>#VALUE!</v>
      </c>
      <c r="N1149" t="e">
        <f>RigheOfferte[[#This Row],[nr.pezzi ora-unita]]</f>
        <v>#VALUE!</v>
      </c>
      <c r="O1149" t="e">
        <f>Tabella1[[#This Row],[superificie]]*Resa</f>
        <v>#VALUE!</v>
      </c>
      <c r="P1149" t="e">
        <f>Tabella1[[#This Row],[KgPezzo]]*Tabella1[[#This Row],[q.ta offerta]]</f>
        <v>#VALUE!</v>
      </c>
      <c r="Q1149" t="e">
        <f>RigheOfferte[[#This Row],[QtaProtez]]</f>
        <v>#VALUE!</v>
      </c>
      <c r="R1149" t="e">
        <f>RigheOfferte[[#This Row],[Tipo Protezione]]</f>
        <v>#VALUE!</v>
      </c>
    </row>
    <row r="1150" spans="1:18">
      <c r="A1150" t="e">
        <f>RigheOfferte[[#This Row],[Nprev]]</f>
        <v>#VALUE!</v>
      </c>
      <c r="B1150" t="e">
        <f>RigheOfferte[[#This Row],[Nriga]]</f>
        <v>#VALUE!</v>
      </c>
      <c r="C1150" t="e">
        <f>RigheOfferte[[#This Row],[Cliente]]</f>
        <v>#VALUE!</v>
      </c>
      <c r="D1150" t="e">
        <f>RigheOfferte[[#This Row],[sub_cliente]]</f>
        <v>#VALUE!</v>
      </c>
      <c r="E1150" t="e">
        <f>RigheOfferte[[#This Row],[cod.Art.]]</f>
        <v>#VALUE!</v>
      </c>
      <c r="F1150" t="e">
        <f>RigheOfferte[[#This Row],[Descrizione]]</f>
        <v>#VALUE!</v>
      </c>
      <c r="G1150" t="e">
        <f>RigheOfferte[[#This Row],[Q.ta'']]</f>
        <v>#VALUE!</v>
      </c>
      <c r="H1150" t="e">
        <f>RigheOfferte[[#This Row],[Lavorazione]]</f>
        <v>#VALUE!</v>
      </c>
      <c r="I1150" t="e">
        <f>RigheOfferte[[#This Row],[Colore]]</f>
        <v>#VALUE!</v>
      </c>
      <c r="J1150" t="e">
        <f>RigheOfferte[[#This Row],[Velocità]]</f>
        <v>#VALUE!</v>
      </c>
      <c r="K1150" t="e">
        <f>RigheOfferte[[#This Row],[Superf.pz Mq]]</f>
        <v>#VALUE!</v>
      </c>
      <c r="L1150" t="e">
        <f>RigheOfferte[[#This Row],[passo]]</f>
        <v>#VALUE!</v>
      </c>
      <c r="M1150" t="e">
        <f>RigheOfferte[[#This Row],[nr.pezzi Telaio]]</f>
        <v>#VALUE!</v>
      </c>
      <c r="N1150" t="e">
        <f>RigheOfferte[[#This Row],[nr.pezzi ora-unita]]</f>
        <v>#VALUE!</v>
      </c>
      <c r="O1150" t="e">
        <f>Tabella1[[#This Row],[superificie]]*Resa</f>
        <v>#VALUE!</v>
      </c>
      <c r="P1150" t="e">
        <f>Tabella1[[#This Row],[KgPezzo]]*Tabella1[[#This Row],[q.ta offerta]]</f>
        <v>#VALUE!</v>
      </c>
      <c r="Q1150" t="e">
        <f>RigheOfferte[[#This Row],[QtaProtez]]</f>
        <v>#VALUE!</v>
      </c>
      <c r="R1150" t="e">
        <f>RigheOfferte[[#This Row],[Tipo Protezione]]</f>
        <v>#VALUE!</v>
      </c>
    </row>
    <row r="1151" spans="1:18">
      <c r="A1151" t="e">
        <f>RigheOfferte[[#This Row],[Nprev]]</f>
        <v>#VALUE!</v>
      </c>
      <c r="B1151" t="e">
        <f>RigheOfferte[[#This Row],[Nriga]]</f>
        <v>#VALUE!</v>
      </c>
      <c r="C1151" t="e">
        <f>RigheOfferte[[#This Row],[Cliente]]</f>
        <v>#VALUE!</v>
      </c>
      <c r="D1151" t="e">
        <f>RigheOfferte[[#This Row],[sub_cliente]]</f>
        <v>#VALUE!</v>
      </c>
      <c r="E1151" t="e">
        <f>RigheOfferte[[#This Row],[cod.Art.]]</f>
        <v>#VALUE!</v>
      </c>
      <c r="F1151" t="e">
        <f>RigheOfferte[[#This Row],[Descrizione]]</f>
        <v>#VALUE!</v>
      </c>
      <c r="G1151" t="e">
        <f>RigheOfferte[[#This Row],[Q.ta'']]</f>
        <v>#VALUE!</v>
      </c>
      <c r="H1151" t="e">
        <f>RigheOfferte[[#This Row],[Lavorazione]]</f>
        <v>#VALUE!</v>
      </c>
      <c r="I1151" t="e">
        <f>RigheOfferte[[#This Row],[Colore]]</f>
        <v>#VALUE!</v>
      </c>
      <c r="J1151" t="e">
        <f>RigheOfferte[[#This Row],[Velocità]]</f>
        <v>#VALUE!</v>
      </c>
      <c r="K1151" t="e">
        <f>RigheOfferte[[#This Row],[Superf.pz Mq]]</f>
        <v>#VALUE!</v>
      </c>
      <c r="L1151" t="e">
        <f>RigheOfferte[[#This Row],[passo]]</f>
        <v>#VALUE!</v>
      </c>
      <c r="M1151" t="e">
        <f>RigheOfferte[[#This Row],[nr.pezzi Telaio]]</f>
        <v>#VALUE!</v>
      </c>
      <c r="N1151" t="e">
        <f>RigheOfferte[[#This Row],[nr.pezzi ora-unita]]</f>
        <v>#VALUE!</v>
      </c>
      <c r="O1151" t="e">
        <f>Tabella1[[#This Row],[superificie]]*Resa</f>
        <v>#VALUE!</v>
      </c>
      <c r="P1151" t="e">
        <f>Tabella1[[#This Row],[KgPezzo]]*Tabella1[[#This Row],[q.ta offerta]]</f>
        <v>#VALUE!</v>
      </c>
      <c r="Q1151" t="e">
        <f>RigheOfferte[[#This Row],[QtaProtez]]</f>
        <v>#VALUE!</v>
      </c>
      <c r="R1151" t="e">
        <f>RigheOfferte[[#This Row],[Tipo Protezione]]</f>
        <v>#VALUE!</v>
      </c>
    </row>
    <row r="1152" spans="1:18">
      <c r="A1152" t="e">
        <f>RigheOfferte[[#This Row],[Nprev]]</f>
        <v>#VALUE!</v>
      </c>
      <c r="B1152" t="e">
        <f>RigheOfferte[[#This Row],[Nriga]]</f>
        <v>#VALUE!</v>
      </c>
      <c r="C1152" t="e">
        <f>RigheOfferte[[#This Row],[Cliente]]</f>
        <v>#VALUE!</v>
      </c>
      <c r="D1152" t="e">
        <f>RigheOfferte[[#This Row],[sub_cliente]]</f>
        <v>#VALUE!</v>
      </c>
      <c r="E1152" t="e">
        <f>RigheOfferte[[#This Row],[cod.Art.]]</f>
        <v>#VALUE!</v>
      </c>
      <c r="F1152" t="e">
        <f>RigheOfferte[[#This Row],[Descrizione]]</f>
        <v>#VALUE!</v>
      </c>
      <c r="G1152" t="e">
        <f>RigheOfferte[[#This Row],[Q.ta'']]</f>
        <v>#VALUE!</v>
      </c>
      <c r="H1152" t="e">
        <f>RigheOfferte[[#This Row],[Lavorazione]]</f>
        <v>#VALUE!</v>
      </c>
      <c r="I1152" t="e">
        <f>RigheOfferte[[#This Row],[Colore]]</f>
        <v>#VALUE!</v>
      </c>
      <c r="J1152" t="e">
        <f>RigheOfferte[[#This Row],[Velocità]]</f>
        <v>#VALUE!</v>
      </c>
      <c r="K1152" t="e">
        <f>RigheOfferte[[#This Row],[Superf.pz Mq]]</f>
        <v>#VALUE!</v>
      </c>
      <c r="L1152" t="e">
        <f>RigheOfferte[[#This Row],[passo]]</f>
        <v>#VALUE!</v>
      </c>
      <c r="M1152" t="e">
        <f>RigheOfferte[[#This Row],[nr.pezzi Telaio]]</f>
        <v>#VALUE!</v>
      </c>
      <c r="N1152" t="e">
        <f>RigheOfferte[[#This Row],[nr.pezzi ora-unita]]</f>
        <v>#VALUE!</v>
      </c>
      <c r="O1152" t="e">
        <f>Tabella1[[#This Row],[superificie]]*Resa</f>
        <v>#VALUE!</v>
      </c>
      <c r="P1152" t="e">
        <f>Tabella1[[#This Row],[KgPezzo]]*Tabella1[[#This Row],[q.ta offerta]]</f>
        <v>#VALUE!</v>
      </c>
      <c r="Q1152" t="e">
        <f>RigheOfferte[[#This Row],[QtaProtez]]</f>
        <v>#VALUE!</v>
      </c>
      <c r="R1152" t="e">
        <f>RigheOfferte[[#This Row],[Tipo Protezione]]</f>
        <v>#VALUE!</v>
      </c>
    </row>
    <row r="1153" spans="1:18">
      <c r="A1153" t="e">
        <f>RigheOfferte[[#This Row],[Nprev]]</f>
        <v>#VALUE!</v>
      </c>
      <c r="B1153" t="e">
        <f>RigheOfferte[[#This Row],[Nriga]]</f>
        <v>#VALUE!</v>
      </c>
      <c r="C1153" t="e">
        <f>RigheOfferte[[#This Row],[Cliente]]</f>
        <v>#VALUE!</v>
      </c>
      <c r="D1153" t="e">
        <f>RigheOfferte[[#This Row],[sub_cliente]]</f>
        <v>#VALUE!</v>
      </c>
      <c r="E1153" t="e">
        <f>RigheOfferte[[#This Row],[cod.Art.]]</f>
        <v>#VALUE!</v>
      </c>
      <c r="F1153" t="e">
        <f>RigheOfferte[[#This Row],[Descrizione]]</f>
        <v>#VALUE!</v>
      </c>
      <c r="G1153" t="e">
        <f>RigheOfferte[[#This Row],[Q.ta'']]</f>
        <v>#VALUE!</v>
      </c>
      <c r="H1153" t="e">
        <f>RigheOfferte[[#This Row],[Lavorazione]]</f>
        <v>#VALUE!</v>
      </c>
      <c r="I1153" t="e">
        <f>RigheOfferte[[#This Row],[Colore]]</f>
        <v>#VALUE!</v>
      </c>
      <c r="J1153" t="e">
        <f>RigheOfferte[[#This Row],[Velocità]]</f>
        <v>#VALUE!</v>
      </c>
      <c r="K1153" t="e">
        <f>RigheOfferte[[#This Row],[Superf.pz Mq]]</f>
        <v>#VALUE!</v>
      </c>
      <c r="L1153" t="e">
        <f>RigheOfferte[[#This Row],[passo]]</f>
        <v>#VALUE!</v>
      </c>
      <c r="M1153" t="e">
        <f>RigheOfferte[[#This Row],[nr.pezzi Telaio]]</f>
        <v>#VALUE!</v>
      </c>
      <c r="N1153" t="e">
        <f>RigheOfferte[[#This Row],[nr.pezzi ora-unita]]</f>
        <v>#VALUE!</v>
      </c>
      <c r="O1153" t="e">
        <f>Tabella1[[#This Row],[superificie]]*Resa</f>
        <v>#VALUE!</v>
      </c>
      <c r="P1153" t="e">
        <f>Tabella1[[#This Row],[KgPezzo]]*Tabella1[[#This Row],[q.ta offerta]]</f>
        <v>#VALUE!</v>
      </c>
      <c r="Q1153" t="e">
        <f>RigheOfferte[[#This Row],[QtaProtez]]</f>
        <v>#VALUE!</v>
      </c>
      <c r="R1153" t="e">
        <f>RigheOfferte[[#This Row],[Tipo Protezione]]</f>
        <v>#VALUE!</v>
      </c>
    </row>
    <row r="1154" spans="1:18">
      <c r="A1154" t="e">
        <f>RigheOfferte[[#This Row],[Nprev]]</f>
        <v>#VALUE!</v>
      </c>
      <c r="B1154" t="e">
        <f>RigheOfferte[[#This Row],[Nriga]]</f>
        <v>#VALUE!</v>
      </c>
      <c r="C1154" t="e">
        <f>RigheOfferte[[#This Row],[Cliente]]</f>
        <v>#VALUE!</v>
      </c>
      <c r="D1154" t="e">
        <f>RigheOfferte[[#This Row],[sub_cliente]]</f>
        <v>#VALUE!</v>
      </c>
      <c r="E1154" t="e">
        <f>RigheOfferte[[#This Row],[cod.Art.]]</f>
        <v>#VALUE!</v>
      </c>
      <c r="F1154" t="e">
        <f>RigheOfferte[[#This Row],[Descrizione]]</f>
        <v>#VALUE!</v>
      </c>
      <c r="G1154" t="e">
        <f>RigheOfferte[[#This Row],[Q.ta'']]</f>
        <v>#VALUE!</v>
      </c>
      <c r="H1154" t="e">
        <f>RigheOfferte[[#This Row],[Lavorazione]]</f>
        <v>#VALUE!</v>
      </c>
      <c r="I1154" t="e">
        <f>RigheOfferte[[#This Row],[Colore]]</f>
        <v>#VALUE!</v>
      </c>
      <c r="J1154" t="e">
        <f>RigheOfferte[[#This Row],[Velocità]]</f>
        <v>#VALUE!</v>
      </c>
      <c r="K1154" t="e">
        <f>RigheOfferte[[#This Row],[Superf.pz Mq]]</f>
        <v>#VALUE!</v>
      </c>
      <c r="L1154" t="e">
        <f>RigheOfferte[[#This Row],[passo]]</f>
        <v>#VALUE!</v>
      </c>
      <c r="M1154" t="e">
        <f>RigheOfferte[[#This Row],[nr.pezzi Telaio]]</f>
        <v>#VALUE!</v>
      </c>
      <c r="N1154" t="e">
        <f>RigheOfferte[[#This Row],[nr.pezzi ora-unita]]</f>
        <v>#VALUE!</v>
      </c>
      <c r="O1154" t="e">
        <f>Tabella1[[#This Row],[superificie]]*Resa</f>
        <v>#VALUE!</v>
      </c>
      <c r="P1154" t="e">
        <f>Tabella1[[#This Row],[KgPezzo]]*Tabella1[[#This Row],[q.ta offerta]]</f>
        <v>#VALUE!</v>
      </c>
      <c r="Q1154" t="e">
        <f>RigheOfferte[[#This Row],[QtaProtez]]</f>
        <v>#VALUE!</v>
      </c>
      <c r="R1154" t="e">
        <f>RigheOfferte[[#This Row],[Tipo Protezione]]</f>
        <v>#VALUE!</v>
      </c>
    </row>
    <row r="1155" spans="1:18">
      <c r="A1155" t="e">
        <f>RigheOfferte[[#This Row],[Nprev]]</f>
        <v>#VALUE!</v>
      </c>
      <c r="B1155" t="e">
        <f>RigheOfferte[[#This Row],[Nriga]]</f>
        <v>#VALUE!</v>
      </c>
      <c r="C1155" t="e">
        <f>RigheOfferte[[#This Row],[Cliente]]</f>
        <v>#VALUE!</v>
      </c>
      <c r="D1155" t="e">
        <f>RigheOfferte[[#This Row],[sub_cliente]]</f>
        <v>#VALUE!</v>
      </c>
      <c r="E1155" t="e">
        <f>RigheOfferte[[#This Row],[cod.Art.]]</f>
        <v>#VALUE!</v>
      </c>
      <c r="F1155" t="e">
        <f>RigheOfferte[[#This Row],[Descrizione]]</f>
        <v>#VALUE!</v>
      </c>
      <c r="G1155" t="e">
        <f>RigheOfferte[[#This Row],[Q.ta'']]</f>
        <v>#VALUE!</v>
      </c>
      <c r="H1155" t="e">
        <f>RigheOfferte[[#This Row],[Lavorazione]]</f>
        <v>#VALUE!</v>
      </c>
      <c r="I1155" t="e">
        <f>RigheOfferte[[#This Row],[Colore]]</f>
        <v>#VALUE!</v>
      </c>
      <c r="J1155" t="e">
        <f>RigheOfferte[[#This Row],[Velocità]]</f>
        <v>#VALUE!</v>
      </c>
      <c r="K1155" t="e">
        <f>RigheOfferte[[#This Row],[Superf.pz Mq]]</f>
        <v>#VALUE!</v>
      </c>
      <c r="L1155" t="e">
        <f>RigheOfferte[[#This Row],[passo]]</f>
        <v>#VALUE!</v>
      </c>
      <c r="M1155" t="e">
        <f>RigheOfferte[[#This Row],[nr.pezzi Telaio]]</f>
        <v>#VALUE!</v>
      </c>
      <c r="N1155" t="e">
        <f>RigheOfferte[[#This Row],[nr.pezzi ora-unita]]</f>
        <v>#VALUE!</v>
      </c>
      <c r="O1155" t="e">
        <f>Tabella1[[#This Row],[superificie]]*Resa</f>
        <v>#VALUE!</v>
      </c>
      <c r="P1155" t="e">
        <f>Tabella1[[#This Row],[KgPezzo]]*Tabella1[[#This Row],[q.ta offerta]]</f>
        <v>#VALUE!</v>
      </c>
      <c r="Q1155" t="e">
        <f>RigheOfferte[[#This Row],[QtaProtez]]</f>
        <v>#VALUE!</v>
      </c>
      <c r="R1155" t="e">
        <f>RigheOfferte[[#This Row],[Tipo Protezione]]</f>
        <v>#VALUE!</v>
      </c>
    </row>
    <row r="1156" spans="1:18">
      <c r="A1156" t="e">
        <f>RigheOfferte[[#This Row],[Nprev]]</f>
        <v>#VALUE!</v>
      </c>
      <c r="B1156" t="e">
        <f>RigheOfferte[[#This Row],[Nriga]]</f>
        <v>#VALUE!</v>
      </c>
      <c r="C1156" t="e">
        <f>RigheOfferte[[#This Row],[Cliente]]</f>
        <v>#VALUE!</v>
      </c>
      <c r="D1156" t="e">
        <f>RigheOfferte[[#This Row],[sub_cliente]]</f>
        <v>#VALUE!</v>
      </c>
      <c r="E1156" t="e">
        <f>RigheOfferte[[#This Row],[cod.Art.]]</f>
        <v>#VALUE!</v>
      </c>
      <c r="F1156" t="e">
        <f>RigheOfferte[[#This Row],[Descrizione]]</f>
        <v>#VALUE!</v>
      </c>
      <c r="G1156" t="e">
        <f>RigheOfferte[[#This Row],[Q.ta'']]</f>
        <v>#VALUE!</v>
      </c>
      <c r="H1156" t="e">
        <f>RigheOfferte[[#This Row],[Lavorazione]]</f>
        <v>#VALUE!</v>
      </c>
      <c r="I1156" t="e">
        <f>RigheOfferte[[#This Row],[Colore]]</f>
        <v>#VALUE!</v>
      </c>
      <c r="J1156" t="e">
        <f>RigheOfferte[[#This Row],[Velocità]]</f>
        <v>#VALUE!</v>
      </c>
      <c r="K1156" t="e">
        <f>RigheOfferte[[#This Row],[Superf.pz Mq]]</f>
        <v>#VALUE!</v>
      </c>
      <c r="L1156" t="e">
        <f>RigheOfferte[[#This Row],[passo]]</f>
        <v>#VALUE!</v>
      </c>
      <c r="M1156" t="e">
        <f>RigheOfferte[[#This Row],[nr.pezzi Telaio]]</f>
        <v>#VALUE!</v>
      </c>
      <c r="N1156" t="e">
        <f>RigheOfferte[[#This Row],[nr.pezzi ora-unita]]</f>
        <v>#VALUE!</v>
      </c>
      <c r="O1156" t="e">
        <f>Tabella1[[#This Row],[superificie]]*Resa</f>
        <v>#VALUE!</v>
      </c>
      <c r="P1156" t="e">
        <f>Tabella1[[#This Row],[KgPezzo]]*Tabella1[[#This Row],[q.ta offerta]]</f>
        <v>#VALUE!</v>
      </c>
      <c r="Q1156" t="e">
        <f>RigheOfferte[[#This Row],[QtaProtez]]</f>
        <v>#VALUE!</v>
      </c>
      <c r="R1156" t="e">
        <f>RigheOfferte[[#This Row],[Tipo Protezione]]</f>
        <v>#VALUE!</v>
      </c>
    </row>
    <row r="1157" spans="1:18">
      <c r="A1157" t="e">
        <f>RigheOfferte[[#This Row],[Nprev]]</f>
        <v>#VALUE!</v>
      </c>
      <c r="B1157" t="e">
        <f>RigheOfferte[[#This Row],[Nriga]]</f>
        <v>#VALUE!</v>
      </c>
      <c r="C1157" t="e">
        <f>RigheOfferte[[#This Row],[Cliente]]</f>
        <v>#VALUE!</v>
      </c>
      <c r="D1157" t="e">
        <f>RigheOfferte[[#This Row],[sub_cliente]]</f>
        <v>#VALUE!</v>
      </c>
      <c r="E1157" t="e">
        <f>RigheOfferte[[#This Row],[cod.Art.]]</f>
        <v>#VALUE!</v>
      </c>
      <c r="F1157" t="e">
        <f>RigheOfferte[[#This Row],[Descrizione]]</f>
        <v>#VALUE!</v>
      </c>
      <c r="G1157" t="e">
        <f>RigheOfferte[[#This Row],[Q.ta'']]</f>
        <v>#VALUE!</v>
      </c>
      <c r="H1157" t="e">
        <f>RigheOfferte[[#This Row],[Lavorazione]]</f>
        <v>#VALUE!</v>
      </c>
      <c r="I1157" t="e">
        <f>RigheOfferte[[#This Row],[Colore]]</f>
        <v>#VALUE!</v>
      </c>
      <c r="J1157" t="e">
        <f>RigheOfferte[[#This Row],[Velocità]]</f>
        <v>#VALUE!</v>
      </c>
      <c r="K1157" t="e">
        <f>RigheOfferte[[#This Row],[Superf.pz Mq]]</f>
        <v>#VALUE!</v>
      </c>
      <c r="L1157" t="e">
        <f>RigheOfferte[[#This Row],[passo]]</f>
        <v>#VALUE!</v>
      </c>
      <c r="M1157" t="e">
        <f>RigheOfferte[[#This Row],[nr.pezzi Telaio]]</f>
        <v>#VALUE!</v>
      </c>
      <c r="N1157" t="e">
        <f>RigheOfferte[[#This Row],[nr.pezzi ora-unita]]</f>
        <v>#VALUE!</v>
      </c>
      <c r="O1157" t="e">
        <f>Tabella1[[#This Row],[superificie]]*Resa</f>
        <v>#VALUE!</v>
      </c>
      <c r="P1157" t="e">
        <f>Tabella1[[#This Row],[KgPezzo]]*Tabella1[[#This Row],[q.ta offerta]]</f>
        <v>#VALUE!</v>
      </c>
      <c r="Q1157" t="e">
        <f>RigheOfferte[[#This Row],[QtaProtez]]</f>
        <v>#VALUE!</v>
      </c>
      <c r="R1157" t="e">
        <f>RigheOfferte[[#This Row],[Tipo Protezione]]</f>
        <v>#VALUE!</v>
      </c>
    </row>
    <row r="1158" spans="1:18">
      <c r="A1158" t="e">
        <f>RigheOfferte[[#This Row],[Nprev]]</f>
        <v>#VALUE!</v>
      </c>
      <c r="B1158" t="e">
        <f>RigheOfferte[[#This Row],[Nriga]]</f>
        <v>#VALUE!</v>
      </c>
      <c r="C1158" t="e">
        <f>RigheOfferte[[#This Row],[Cliente]]</f>
        <v>#VALUE!</v>
      </c>
      <c r="D1158" t="e">
        <f>RigheOfferte[[#This Row],[sub_cliente]]</f>
        <v>#VALUE!</v>
      </c>
      <c r="E1158" t="e">
        <f>RigheOfferte[[#This Row],[cod.Art.]]</f>
        <v>#VALUE!</v>
      </c>
      <c r="F1158" t="e">
        <f>RigheOfferte[[#This Row],[Descrizione]]</f>
        <v>#VALUE!</v>
      </c>
      <c r="G1158" t="e">
        <f>RigheOfferte[[#This Row],[Q.ta'']]</f>
        <v>#VALUE!</v>
      </c>
      <c r="H1158" t="e">
        <f>RigheOfferte[[#This Row],[Lavorazione]]</f>
        <v>#VALUE!</v>
      </c>
      <c r="I1158" t="e">
        <f>RigheOfferte[[#This Row],[Colore]]</f>
        <v>#VALUE!</v>
      </c>
      <c r="J1158" t="e">
        <f>RigheOfferte[[#This Row],[Velocità]]</f>
        <v>#VALUE!</v>
      </c>
      <c r="K1158" t="e">
        <f>RigheOfferte[[#This Row],[Superf.pz Mq]]</f>
        <v>#VALUE!</v>
      </c>
      <c r="L1158" t="e">
        <f>RigheOfferte[[#This Row],[passo]]</f>
        <v>#VALUE!</v>
      </c>
      <c r="M1158" t="e">
        <f>RigheOfferte[[#This Row],[nr.pezzi Telaio]]</f>
        <v>#VALUE!</v>
      </c>
      <c r="N1158" t="e">
        <f>RigheOfferte[[#This Row],[nr.pezzi ora-unita]]</f>
        <v>#VALUE!</v>
      </c>
      <c r="O1158" t="e">
        <f>Tabella1[[#This Row],[superificie]]*Resa</f>
        <v>#VALUE!</v>
      </c>
      <c r="P1158" t="e">
        <f>Tabella1[[#This Row],[KgPezzo]]*Tabella1[[#This Row],[q.ta offerta]]</f>
        <v>#VALUE!</v>
      </c>
      <c r="Q1158" t="e">
        <f>RigheOfferte[[#This Row],[QtaProtez]]</f>
        <v>#VALUE!</v>
      </c>
      <c r="R1158" t="e">
        <f>RigheOfferte[[#This Row],[Tipo Protezione]]</f>
        <v>#VALUE!</v>
      </c>
    </row>
    <row r="1159" spans="1:18">
      <c r="A1159" t="e">
        <f>RigheOfferte[[#This Row],[Nprev]]</f>
        <v>#VALUE!</v>
      </c>
      <c r="B1159" t="e">
        <f>RigheOfferte[[#This Row],[Nriga]]</f>
        <v>#VALUE!</v>
      </c>
      <c r="C1159" t="e">
        <f>RigheOfferte[[#This Row],[Cliente]]</f>
        <v>#VALUE!</v>
      </c>
      <c r="D1159" t="e">
        <f>RigheOfferte[[#This Row],[sub_cliente]]</f>
        <v>#VALUE!</v>
      </c>
      <c r="E1159" t="e">
        <f>RigheOfferte[[#This Row],[cod.Art.]]</f>
        <v>#VALUE!</v>
      </c>
      <c r="F1159" t="e">
        <f>RigheOfferte[[#This Row],[Descrizione]]</f>
        <v>#VALUE!</v>
      </c>
      <c r="G1159" t="e">
        <f>RigheOfferte[[#This Row],[Q.ta'']]</f>
        <v>#VALUE!</v>
      </c>
      <c r="H1159" t="e">
        <f>RigheOfferte[[#This Row],[Lavorazione]]</f>
        <v>#VALUE!</v>
      </c>
      <c r="I1159" t="e">
        <f>RigheOfferte[[#This Row],[Colore]]</f>
        <v>#VALUE!</v>
      </c>
      <c r="J1159" t="e">
        <f>RigheOfferte[[#This Row],[Velocità]]</f>
        <v>#VALUE!</v>
      </c>
      <c r="K1159" t="e">
        <f>RigheOfferte[[#This Row],[Superf.pz Mq]]</f>
        <v>#VALUE!</v>
      </c>
      <c r="L1159" t="e">
        <f>RigheOfferte[[#This Row],[passo]]</f>
        <v>#VALUE!</v>
      </c>
      <c r="M1159" t="e">
        <f>RigheOfferte[[#This Row],[nr.pezzi Telaio]]</f>
        <v>#VALUE!</v>
      </c>
      <c r="N1159" t="e">
        <f>RigheOfferte[[#This Row],[nr.pezzi ora-unita]]</f>
        <v>#VALUE!</v>
      </c>
      <c r="O1159" t="e">
        <f>Tabella1[[#This Row],[superificie]]*Resa</f>
        <v>#VALUE!</v>
      </c>
      <c r="P1159" t="e">
        <f>Tabella1[[#This Row],[KgPezzo]]*Tabella1[[#This Row],[q.ta offerta]]</f>
        <v>#VALUE!</v>
      </c>
      <c r="Q1159" t="e">
        <f>RigheOfferte[[#This Row],[QtaProtez]]</f>
        <v>#VALUE!</v>
      </c>
      <c r="R1159" t="e">
        <f>RigheOfferte[[#This Row],[Tipo Protezione]]</f>
        <v>#VALUE!</v>
      </c>
    </row>
    <row r="1160" spans="1:18">
      <c r="A1160" t="e">
        <f>RigheOfferte[[#This Row],[Nprev]]</f>
        <v>#VALUE!</v>
      </c>
      <c r="B1160" t="e">
        <f>RigheOfferte[[#This Row],[Nriga]]</f>
        <v>#VALUE!</v>
      </c>
      <c r="C1160" t="e">
        <f>RigheOfferte[[#This Row],[Cliente]]</f>
        <v>#VALUE!</v>
      </c>
      <c r="D1160" t="e">
        <f>RigheOfferte[[#This Row],[sub_cliente]]</f>
        <v>#VALUE!</v>
      </c>
      <c r="E1160" t="e">
        <f>RigheOfferte[[#This Row],[cod.Art.]]</f>
        <v>#VALUE!</v>
      </c>
      <c r="F1160" t="e">
        <f>RigheOfferte[[#This Row],[Descrizione]]</f>
        <v>#VALUE!</v>
      </c>
      <c r="G1160" t="e">
        <f>RigheOfferte[[#This Row],[Q.ta'']]</f>
        <v>#VALUE!</v>
      </c>
      <c r="H1160" t="e">
        <f>RigheOfferte[[#This Row],[Lavorazione]]</f>
        <v>#VALUE!</v>
      </c>
      <c r="I1160" t="e">
        <f>RigheOfferte[[#This Row],[Colore]]</f>
        <v>#VALUE!</v>
      </c>
      <c r="J1160" t="e">
        <f>RigheOfferte[[#This Row],[Velocità]]</f>
        <v>#VALUE!</v>
      </c>
      <c r="K1160" t="e">
        <f>RigheOfferte[[#This Row],[Superf.pz Mq]]</f>
        <v>#VALUE!</v>
      </c>
      <c r="L1160" t="e">
        <f>RigheOfferte[[#This Row],[passo]]</f>
        <v>#VALUE!</v>
      </c>
      <c r="M1160" t="e">
        <f>RigheOfferte[[#This Row],[nr.pezzi Telaio]]</f>
        <v>#VALUE!</v>
      </c>
      <c r="N1160" t="e">
        <f>RigheOfferte[[#This Row],[nr.pezzi ora-unita]]</f>
        <v>#VALUE!</v>
      </c>
      <c r="O1160" t="e">
        <f>Tabella1[[#This Row],[superificie]]*Resa</f>
        <v>#VALUE!</v>
      </c>
      <c r="P1160" t="e">
        <f>Tabella1[[#This Row],[KgPezzo]]*Tabella1[[#This Row],[q.ta offerta]]</f>
        <v>#VALUE!</v>
      </c>
      <c r="Q1160" t="e">
        <f>RigheOfferte[[#This Row],[QtaProtez]]</f>
        <v>#VALUE!</v>
      </c>
      <c r="R1160" t="e">
        <f>RigheOfferte[[#This Row],[Tipo Protezione]]</f>
        <v>#VALUE!</v>
      </c>
    </row>
    <row r="1161" spans="1:18">
      <c r="A1161" t="e">
        <f>RigheOfferte[[#This Row],[Nprev]]</f>
        <v>#VALUE!</v>
      </c>
      <c r="B1161" t="e">
        <f>RigheOfferte[[#This Row],[Nriga]]</f>
        <v>#VALUE!</v>
      </c>
      <c r="C1161" t="e">
        <f>RigheOfferte[[#This Row],[Cliente]]</f>
        <v>#VALUE!</v>
      </c>
      <c r="D1161" t="e">
        <f>RigheOfferte[[#This Row],[sub_cliente]]</f>
        <v>#VALUE!</v>
      </c>
      <c r="E1161" t="e">
        <f>RigheOfferte[[#This Row],[cod.Art.]]</f>
        <v>#VALUE!</v>
      </c>
      <c r="F1161" t="e">
        <f>RigheOfferte[[#This Row],[Descrizione]]</f>
        <v>#VALUE!</v>
      </c>
      <c r="G1161" t="e">
        <f>RigheOfferte[[#This Row],[Q.ta'']]</f>
        <v>#VALUE!</v>
      </c>
      <c r="H1161" t="e">
        <f>RigheOfferte[[#This Row],[Lavorazione]]</f>
        <v>#VALUE!</v>
      </c>
      <c r="I1161" t="e">
        <f>RigheOfferte[[#This Row],[Colore]]</f>
        <v>#VALUE!</v>
      </c>
      <c r="J1161" t="e">
        <f>RigheOfferte[[#This Row],[Velocità]]</f>
        <v>#VALUE!</v>
      </c>
      <c r="K1161" t="e">
        <f>RigheOfferte[[#This Row],[Superf.pz Mq]]</f>
        <v>#VALUE!</v>
      </c>
      <c r="L1161" t="e">
        <f>RigheOfferte[[#This Row],[passo]]</f>
        <v>#VALUE!</v>
      </c>
      <c r="M1161" t="e">
        <f>RigheOfferte[[#This Row],[nr.pezzi Telaio]]</f>
        <v>#VALUE!</v>
      </c>
      <c r="N1161" t="e">
        <f>RigheOfferte[[#This Row],[nr.pezzi ora-unita]]</f>
        <v>#VALUE!</v>
      </c>
      <c r="O1161" t="e">
        <f>Tabella1[[#This Row],[superificie]]*Resa</f>
        <v>#VALUE!</v>
      </c>
      <c r="P1161" t="e">
        <f>Tabella1[[#This Row],[KgPezzo]]*Tabella1[[#This Row],[q.ta offerta]]</f>
        <v>#VALUE!</v>
      </c>
      <c r="Q1161" t="e">
        <f>RigheOfferte[[#This Row],[QtaProtez]]</f>
        <v>#VALUE!</v>
      </c>
      <c r="R1161" t="e">
        <f>RigheOfferte[[#This Row],[Tipo Protezione]]</f>
        <v>#VALUE!</v>
      </c>
    </row>
    <row r="1162" spans="1:18">
      <c r="A1162" t="e">
        <f>RigheOfferte[[#This Row],[Nprev]]</f>
        <v>#VALUE!</v>
      </c>
      <c r="B1162" t="e">
        <f>RigheOfferte[[#This Row],[Nriga]]</f>
        <v>#VALUE!</v>
      </c>
      <c r="C1162" t="e">
        <f>RigheOfferte[[#This Row],[Cliente]]</f>
        <v>#VALUE!</v>
      </c>
      <c r="D1162" t="e">
        <f>RigheOfferte[[#This Row],[sub_cliente]]</f>
        <v>#VALUE!</v>
      </c>
      <c r="E1162" t="e">
        <f>RigheOfferte[[#This Row],[cod.Art.]]</f>
        <v>#VALUE!</v>
      </c>
      <c r="F1162" t="e">
        <f>RigheOfferte[[#This Row],[Descrizione]]</f>
        <v>#VALUE!</v>
      </c>
      <c r="G1162" t="e">
        <f>RigheOfferte[[#This Row],[Q.ta'']]</f>
        <v>#VALUE!</v>
      </c>
      <c r="H1162" t="e">
        <f>RigheOfferte[[#This Row],[Lavorazione]]</f>
        <v>#VALUE!</v>
      </c>
      <c r="I1162" t="e">
        <f>RigheOfferte[[#This Row],[Colore]]</f>
        <v>#VALUE!</v>
      </c>
      <c r="J1162" t="e">
        <f>RigheOfferte[[#This Row],[Velocità]]</f>
        <v>#VALUE!</v>
      </c>
      <c r="K1162" t="e">
        <f>RigheOfferte[[#This Row],[Superf.pz Mq]]</f>
        <v>#VALUE!</v>
      </c>
      <c r="L1162" t="e">
        <f>RigheOfferte[[#This Row],[passo]]</f>
        <v>#VALUE!</v>
      </c>
      <c r="M1162" t="e">
        <f>RigheOfferte[[#This Row],[nr.pezzi Telaio]]</f>
        <v>#VALUE!</v>
      </c>
      <c r="N1162" t="e">
        <f>RigheOfferte[[#This Row],[nr.pezzi ora-unita]]</f>
        <v>#VALUE!</v>
      </c>
      <c r="O1162" t="e">
        <f>Tabella1[[#This Row],[superificie]]*Resa</f>
        <v>#VALUE!</v>
      </c>
      <c r="P1162" t="e">
        <f>Tabella1[[#This Row],[KgPezzo]]*Tabella1[[#This Row],[q.ta offerta]]</f>
        <v>#VALUE!</v>
      </c>
      <c r="Q1162" t="e">
        <f>RigheOfferte[[#This Row],[QtaProtez]]</f>
        <v>#VALUE!</v>
      </c>
      <c r="R1162" t="e">
        <f>RigheOfferte[[#This Row],[Tipo Protezione]]</f>
        <v>#VALUE!</v>
      </c>
    </row>
    <row r="1163" spans="1:18">
      <c r="A1163" t="e">
        <f>RigheOfferte[[#This Row],[Nprev]]</f>
        <v>#VALUE!</v>
      </c>
      <c r="B1163" t="e">
        <f>RigheOfferte[[#This Row],[Nriga]]</f>
        <v>#VALUE!</v>
      </c>
      <c r="C1163" t="e">
        <f>RigheOfferte[[#This Row],[Cliente]]</f>
        <v>#VALUE!</v>
      </c>
      <c r="D1163" t="e">
        <f>RigheOfferte[[#This Row],[sub_cliente]]</f>
        <v>#VALUE!</v>
      </c>
      <c r="E1163" t="e">
        <f>RigheOfferte[[#This Row],[cod.Art.]]</f>
        <v>#VALUE!</v>
      </c>
      <c r="F1163" t="e">
        <f>RigheOfferte[[#This Row],[Descrizione]]</f>
        <v>#VALUE!</v>
      </c>
      <c r="G1163" t="e">
        <f>RigheOfferte[[#This Row],[Q.ta'']]</f>
        <v>#VALUE!</v>
      </c>
      <c r="H1163" t="e">
        <f>RigheOfferte[[#This Row],[Lavorazione]]</f>
        <v>#VALUE!</v>
      </c>
      <c r="I1163" t="e">
        <f>RigheOfferte[[#This Row],[Colore]]</f>
        <v>#VALUE!</v>
      </c>
      <c r="J1163" t="e">
        <f>RigheOfferte[[#This Row],[Velocità]]</f>
        <v>#VALUE!</v>
      </c>
      <c r="K1163" t="e">
        <f>RigheOfferte[[#This Row],[Superf.pz Mq]]</f>
        <v>#VALUE!</v>
      </c>
      <c r="L1163" t="e">
        <f>RigheOfferte[[#This Row],[passo]]</f>
        <v>#VALUE!</v>
      </c>
      <c r="M1163" t="e">
        <f>RigheOfferte[[#This Row],[nr.pezzi Telaio]]</f>
        <v>#VALUE!</v>
      </c>
      <c r="N1163" t="e">
        <f>RigheOfferte[[#This Row],[nr.pezzi ora-unita]]</f>
        <v>#VALUE!</v>
      </c>
      <c r="O1163" t="e">
        <f>Tabella1[[#This Row],[superificie]]*Resa</f>
        <v>#VALUE!</v>
      </c>
      <c r="P1163" t="e">
        <f>Tabella1[[#This Row],[KgPezzo]]*Tabella1[[#This Row],[q.ta offerta]]</f>
        <v>#VALUE!</v>
      </c>
      <c r="Q1163" t="e">
        <f>RigheOfferte[[#This Row],[QtaProtez]]</f>
        <v>#VALUE!</v>
      </c>
      <c r="R1163" t="e">
        <f>RigheOfferte[[#This Row],[Tipo Protezione]]</f>
        <v>#VALUE!</v>
      </c>
    </row>
    <row r="1164" spans="1:18">
      <c r="A1164" t="e">
        <f>RigheOfferte[[#This Row],[Nprev]]</f>
        <v>#VALUE!</v>
      </c>
      <c r="B1164" t="e">
        <f>RigheOfferte[[#This Row],[Nriga]]</f>
        <v>#VALUE!</v>
      </c>
      <c r="C1164" t="e">
        <f>RigheOfferte[[#This Row],[Cliente]]</f>
        <v>#VALUE!</v>
      </c>
      <c r="D1164" t="e">
        <f>RigheOfferte[[#This Row],[sub_cliente]]</f>
        <v>#VALUE!</v>
      </c>
      <c r="E1164" t="e">
        <f>RigheOfferte[[#This Row],[cod.Art.]]</f>
        <v>#VALUE!</v>
      </c>
      <c r="F1164" t="e">
        <f>RigheOfferte[[#This Row],[Descrizione]]</f>
        <v>#VALUE!</v>
      </c>
      <c r="G1164" t="e">
        <f>RigheOfferte[[#This Row],[Q.ta'']]</f>
        <v>#VALUE!</v>
      </c>
      <c r="H1164" t="e">
        <f>RigheOfferte[[#This Row],[Lavorazione]]</f>
        <v>#VALUE!</v>
      </c>
      <c r="I1164" t="e">
        <f>RigheOfferte[[#This Row],[Colore]]</f>
        <v>#VALUE!</v>
      </c>
      <c r="J1164" t="e">
        <f>RigheOfferte[[#This Row],[Velocità]]</f>
        <v>#VALUE!</v>
      </c>
      <c r="K1164" t="e">
        <f>RigheOfferte[[#This Row],[Superf.pz Mq]]</f>
        <v>#VALUE!</v>
      </c>
      <c r="L1164" t="e">
        <f>RigheOfferte[[#This Row],[passo]]</f>
        <v>#VALUE!</v>
      </c>
      <c r="M1164" t="e">
        <f>RigheOfferte[[#This Row],[nr.pezzi Telaio]]</f>
        <v>#VALUE!</v>
      </c>
      <c r="N1164" t="e">
        <f>RigheOfferte[[#This Row],[nr.pezzi ora-unita]]</f>
        <v>#VALUE!</v>
      </c>
      <c r="O1164" t="e">
        <f>Tabella1[[#This Row],[superificie]]*Resa</f>
        <v>#VALUE!</v>
      </c>
      <c r="P1164" t="e">
        <f>Tabella1[[#This Row],[KgPezzo]]*Tabella1[[#This Row],[q.ta offerta]]</f>
        <v>#VALUE!</v>
      </c>
      <c r="Q1164" t="e">
        <f>RigheOfferte[[#This Row],[QtaProtez]]</f>
        <v>#VALUE!</v>
      </c>
      <c r="R1164" t="e">
        <f>RigheOfferte[[#This Row],[Tipo Protezione]]</f>
        <v>#VALUE!</v>
      </c>
    </row>
    <row r="1165" spans="1:18">
      <c r="A1165" t="e">
        <f>RigheOfferte[[#This Row],[Nprev]]</f>
        <v>#VALUE!</v>
      </c>
      <c r="B1165" t="e">
        <f>RigheOfferte[[#This Row],[Nriga]]</f>
        <v>#VALUE!</v>
      </c>
      <c r="C1165" t="e">
        <f>RigheOfferte[[#This Row],[Cliente]]</f>
        <v>#VALUE!</v>
      </c>
      <c r="D1165" t="e">
        <f>RigheOfferte[[#This Row],[sub_cliente]]</f>
        <v>#VALUE!</v>
      </c>
      <c r="E1165" t="e">
        <f>RigheOfferte[[#This Row],[cod.Art.]]</f>
        <v>#VALUE!</v>
      </c>
      <c r="F1165" t="e">
        <f>RigheOfferte[[#This Row],[Descrizione]]</f>
        <v>#VALUE!</v>
      </c>
      <c r="G1165" t="e">
        <f>RigheOfferte[[#This Row],[Q.ta'']]</f>
        <v>#VALUE!</v>
      </c>
      <c r="H1165" t="e">
        <f>RigheOfferte[[#This Row],[Lavorazione]]</f>
        <v>#VALUE!</v>
      </c>
      <c r="I1165" t="e">
        <f>RigheOfferte[[#This Row],[Colore]]</f>
        <v>#VALUE!</v>
      </c>
      <c r="J1165" t="e">
        <f>RigheOfferte[[#This Row],[Velocità]]</f>
        <v>#VALUE!</v>
      </c>
      <c r="K1165" t="e">
        <f>RigheOfferte[[#This Row],[Superf.pz Mq]]</f>
        <v>#VALUE!</v>
      </c>
      <c r="L1165" t="e">
        <f>RigheOfferte[[#This Row],[passo]]</f>
        <v>#VALUE!</v>
      </c>
      <c r="M1165" t="e">
        <f>RigheOfferte[[#This Row],[nr.pezzi Telaio]]</f>
        <v>#VALUE!</v>
      </c>
      <c r="N1165" t="e">
        <f>RigheOfferte[[#This Row],[nr.pezzi ora-unita]]</f>
        <v>#VALUE!</v>
      </c>
      <c r="O1165" t="e">
        <f>Tabella1[[#This Row],[superificie]]*Resa</f>
        <v>#VALUE!</v>
      </c>
      <c r="P1165" t="e">
        <f>Tabella1[[#This Row],[KgPezzo]]*Tabella1[[#This Row],[q.ta offerta]]</f>
        <v>#VALUE!</v>
      </c>
      <c r="Q1165" t="e">
        <f>RigheOfferte[[#This Row],[QtaProtez]]</f>
        <v>#VALUE!</v>
      </c>
      <c r="R1165" t="e">
        <f>RigheOfferte[[#This Row],[Tipo Protezione]]</f>
        <v>#VALUE!</v>
      </c>
    </row>
    <row r="1166" spans="1:18">
      <c r="A1166" t="e">
        <f>RigheOfferte[[#This Row],[Nprev]]</f>
        <v>#VALUE!</v>
      </c>
      <c r="B1166" t="e">
        <f>RigheOfferte[[#This Row],[Nriga]]</f>
        <v>#VALUE!</v>
      </c>
      <c r="C1166" t="e">
        <f>RigheOfferte[[#This Row],[Cliente]]</f>
        <v>#VALUE!</v>
      </c>
      <c r="D1166" t="e">
        <f>RigheOfferte[[#This Row],[sub_cliente]]</f>
        <v>#VALUE!</v>
      </c>
      <c r="E1166" t="e">
        <f>RigheOfferte[[#This Row],[cod.Art.]]</f>
        <v>#VALUE!</v>
      </c>
      <c r="F1166" t="e">
        <f>RigheOfferte[[#This Row],[Descrizione]]</f>
        <v>#VALUE!</v>
      </c>
      <c r="G1166" t="e">
        <f>RigheOfferte[[#This Row],[Q.ta'']]</f>
        <v>#VALUE!</v>
      </c>
      <c r="H1166" t="e">
        <f>RigheOfferte[[#This Row],[Lavorazione]]</f>
        <v>#VALUE!</v>
      </c>
      <c r="I1166" t="e">
        <f>RigheOfferte[[#This Row],[Colore]]</f>
        <v>#VALUE!</v>
      </c>
      <c r="J1166" t="e">
        <f>RigheOfferte[[#This Row],[Velocità]]</f>
        <v>#VALUE!</v>
      </c>
      <c r="K1166" t="e">
        <f>RigheOfferte[[#This Row],[Superf.pz Mq]]</f>
        <v>#VALUE!</v>
      </c>
      <c r="L1166" t="e">
        <f>RigheOfferte[[#This Row],[passo]]</f>
        <v>#VALUE!</v>
      </c>
      <c r="M1166" t="e">
        <f>RigheOfferte[[#This Row],[nr.pezzi Telaio]]</f>
        <v>#VALUE!</v>
      </c>
      <c r="N1166" t="e">
        <f>RigheOfferte[[#This Row],[nr.pezzi ora-unita]]</f>
        <v>#VALUE!</v>
      </c>
      <c r="O1166" t="e">
        <f>Tabella1[[#This Row],[superificie]]*Resa</f>
        <v>#VALUE!</v>
      </c>
      <c r="P1166" t="e">
        <f>Tabella1[[#This Row],[KgPezzo]]*Tabella1[[#This Row],[q.ta offerta]]</f>
        <v>#VALUE!</v>
      </c>
      <c r="Q1166" t="e">
        <f>RigheOfferte[[#This Row],[QtaProtez]]</f>
        <v>#VALUE!</v>
      </c>
      <c r="R1166" t="e">
        <f>RigheOfferte[[#This Row],[Tipo Protezione]]</f>
        <v>#VALUE!</v>
      </c>
    </row>
    <row r="1167" spans="1:18">
      <c r="A1167" t="e">
        <f>RigheOfferte[[#This Row],[Nprev]]</f>
        <v>#VALUE!</v>
      </c>
      <c r="B1167" t="e">
        <f>RigheOfferte[[#This Row],[Nriga]]</f>
        <v>#VALUE!</v>
      </c>
      <c r="C1167" t="e">
        <f>RigheOfferte[[#This Row],[Cliente]]</f>
        <v>#VALUE!</v>
      </c>
      <c r="D1167" t="e">
        <f>RigheOfferte[[#This Row],[sub_cliente]]</f>
        <v>#VALUE!</v>
      </c>
      <c r="E1167" t="e">
        <f>RigheOfferte[[#This Row],[cod.Art.]]</f>
        <v>#VALUE!</v>
      </c>
      <c r="F1167" t="e">
        <f>RigheOfferte[[#This Row],[Descrizione]]</f>
        <v>#VALUE!</v>
      </c>
      <c r="G1167" t="e">
        <f>RigheOfferte[[#This Row],[Q.ta'']]</f>
        <v>#VALUE!</v>
      </c>
      <c r="H1167" t="e">
        <f>RigheOfferte[[#This Row],[Lavorazione]]</f>
        <v>#VALUE!</v>
      </c>
      <c r="I1167" t="e">
        <f>RigheOfferte[[#This Row],[Colore]]</f>
        <v>#VALUE!</v>
      </c>
      <c r="J1167" t="e">
        <f>RigheOfferte[[#This Row],[Velocità]]</f>
        <v>#VALUE!</v>
      </c>
      <c r="K1167" t="e">
        <f>RigheOfferte[[#This Row],[Superf.pz Mq]]</f>
        <v>#VALUE!</v>
      </c>
      <c r="L1167" t="e">
        <f>RigheOfferte[[#This Row],[passo]]</f>
        <v>#VALUE!</v>
      </c>
      <c r="M1167" t="e">
        <f>RigheOfferte[[#This Row],[nr.pezzi Telaio]]</f>
        <v>#VALUE!</v>
      </c>
      <c r="N1167" t="e">
        <f>RigheOfferte[[#This Row],[nr.pezzi ora-unita]]</f>
        <v>#VALUE!</v>
      </c>
      <c r="O1167" t="e">
        <f>Tabella1[[#This Row],[superificie]]*Resa</f>
        <v>#VALUE!</v>
      </c>
      <c r="P1167" t="e">
        <f>Tabella1[[#This Row],[KgPezzo]]*Tabella1[[#This Row],[q.ta offerta]]</f>
        <v>#VALUE!</v>
      </c>
      <c r="Q1167" t="e">
        <f>RigheOfferte[[#This Row],[QtaProtez]]</f>
        <v>#VALUE!</v>
      </c>
      <c r="R1167" t="e">
        <f>RigheOfferte[[#This Row],[Tipo Protezione]]</f>
        <v>#VALUE!</v>
      </c>
    </row>
    <row r="1168" spans="1:18">
      <c r="A1168" t="e">
        <f>RigheOfferte[[#This Row],[Nprev]]</f>
        <v>#VALUE!</v>
      </c>
      <c r="B1168" t="e">
        <f>RigheOfferte[[#This Row],[Nriga]]</f>
        <v>#VALUE!</v>
      </c>
      <c r="C1168" t="e">
        <f>RigheOfferte[[#This Row],[Cliente]]</f>
        <v>#VALUE!</v>
      </c>
      <c r="D1168" t="e">
        <f>RigheOfferte[[#This Row],[sub_cliente]]</f>
        <v>#VALUE!</v>
      </c>
      <c r="E1168" t="e">
        <f>RigheOfferte[[#This Row],[cod.Art.]]</f>
        <v>#VALUE!</v>
      </c>
      <c r="F1168" t="e">
        <f>RigheOfferte[[#This Row],[Descrizione]]</f>
        <v>#VALUE!</v>
      </c>
      <c r="G1168" t="e">
        <f>RigheOfferte[[#This Row],[Q.ta'']]</f>
        <v>#VALUE!</v>
      </c>
      <c r="H1168" t="e">
        <f>RigheOfferte[[#This Row],[Lavorazione]]</f>
        <v>#VALUE!</v>
      </c>
      <c r="I1168" t="e">
        <f>RigheOfferte[[#This Row],[Colore]]</f>
        <v>#VALUE!</v>
      </c>
      <c r="J1168" t="e">
        <f>RigheOfferte[[#This Row],[Velocità]]</f>
        <v>#VALUE!</v>
      </c>
      <c r="K1168" t="e">
        <f>RigheOfferte[[#This Row],[Superf.pz Mq]]</f>
        <v>#VALUE!</v>
      </c>
      <c r="L1168" t="e">
        <f>RigheOfferte[[#This Row],[passo]]</f>
        <v>#VALUE!</v>
      </c>
      <c r="M1168" t="e">
        <f>RigheOfferte[[#This Row],[nr.pezzi Telaio]]</f>
        <v>#VALUE!</v>
      </c>
      <c r="N1168" t="e">
        <f>RigheOfferte[[#This Row],[nr.pezzi ora-unita]]</f>
        <v>#VALUE!</v>
      </c>
      <c r="O1168" t="e">
        <f>Tabella1[[#This Row],[superificie]]*Resa</f>
        <v>#VALUE!</v>
      </c>
      <c r="P1168" t="e">
        <f>Tabella1[[#This Row],[KgPezzo]]*Tabella1[[#This Row],[q.ta offerta]]</f>
        <v>#VALUE!</v>
      </c>
      <c r="Q1168" t="e">
        <f>RigheOfferte[[#This Row],[QtaProtez]]</f>
        <v>#VALUE!</v>
      </c>
      <c r="R1168" t="e">
        <f>RigheOfferte[[#This Row],[Tipo Protezione]]</f>
        <v>#VALUE!</v>
      </c>
    </row>
    <row r="1169" spans="1:18">
      <c r="A1169" t="e">
        <f>RigheOfferte[[#This Row],[Nprev]]</f>
        <v>#VALUE!</v>
      </c>
      <c r="B1169" t="e">
        <f>RigheOfferte[[#This Row],[Nriga]]</f>
        <v>#VALUE!</v>
      </c>
      <c r="C1169" t="e">
        <f>RigheOfferte[[#This Row],[Cliente]]</f>
        <v>#VALUE!</v>
      </c>
      <c r="D1169" t="e">
        <f>RigheOfferte[[#This Row],[sub_cliente]]</f>
        <v>#VALUE!</v>
      </c>
      <c r="E1169" t="e">
        <f>RigheOfferte[[#This Row],[cod.Art.]]</f>
        <v>#VALUE!</v>
      </c>
      <c r="F1169" t="e">
        <f>RigheOfferte[[#This Row],[Descrizione]]</f>
        <v>#VALUE!</v>
      </c>
      <c r="G1169" t="e">
        <f>RigheOfferte[[#This Row],[Q.ta'']]</f>
        <v>#VALUE!</v>
      </c>
      <c r="H1169" t="e">
        <f>RigheOfferte[[#This Row],[Lavorazione]]</f>
        <v>#VALUE!</v>
      </c>
      <c r="I1169" t="e">
        <f>RigheOfferte[[#This Row],[Colore]]</f>
        <v>#VALUE!</v>
      </c>
      <c r="J1169" t="e">
        <f>RigheOfferte[[#This Row],[Velocità]]</f>
        <v>#VALUE!</v>
      </c>
      <c r="K1169" t="e">
        <f>RigheOfferte[[#This Row],[Superf.pz Mq]]</f>
        <v>#VALUE!</v>
      </c>
      <c r="L1169" t="e">
        <f>RigheOfferte[[#This Row],[passo]]</f>
        <v>#VALUE!</v>
      </c>
      <c r="M1169" t="e">
        <f>RigheOfferte[[#This Row],[nr.pezzi Telaio]]</f>
        <v>#VALUE!</v>
      </c>
      <c r="N1169" t="e">
        <f>RigheOfferte[[#This Row],[nr.pezzi ora-unita]]</f>
        <v>#VALUE!</v>
      </c>
      <c r="O1169" t="e">
        <f>Tabella1[[#This Row],[superificie]]*Resa</f>
        <v>#VALUE!</v>
      </c>
      <c r="P1169" t="e">
        <f>Tabella1[[#This Row],[KgPezzo]]*Tabella1[[#This Row],[q.ta offerta]]</f>
        <v>#VALUE!</v>
      </c>
      <c r="Q1169" t="e">
        <f>RigheOfferte[[#This Row],[QtaProtez]]</f>
        <v>#VALUE!</v>
      </c>
      <c r="R1169" t="e">
        <f>RigheOfferte[[#This Row],[Tipo Protezione]]</f>
        <v>#VALUE!</v>
      </c>
    </row>
    <row r="1170" spans="1:18">
      <c r="A1170" t="e">
        <f>RigheOfferte[[#This Row],[Nprev]]</f>
        <v>#VALUE!</v>
      </c>
      <c r="B1170" t="e">
        <f>RigheOfferte[[#This Row],[Nriga]]</f>
        <v>#VALUE!</v>
      </c>
      <c r="C1170" t="e">
        <f>RigheOfferte[[#This Row],[Cliente]]</f>
        <v>#VALUE!</v>
      </c>
      <c r="D1170" t="e">
        <f>RigheOfferte[[#This Row],[sub_cliente]]</f>
        <v>#VALUE!</v>
      </c>
      <c r="E1170" t="e">
        <f>RigheOfferte[[#This Row],[cod.Art.]]</f>
        <v>#VALUE!</v>
      </c>
      <c r="F1170" t="e">
        <f>RigheOfferte[[#This Row],[Descrizione]]</f>
        <v>#VALUE!</v>
      </c>
      <c r="G1170" t="e">
        <f>RigheOfferte[[#This Row],[Q.ta'']]</f>
        <v>#VALUE!</v>
      </c>
      <c r="H1170" t="e">
        <f>RigheOfferte[[#This Row],[Lavorazione]]</f>
        <v>#VALUE!</v>
      </c>
      <c r="I1170" t="e">
        <f>RigheOfferte[[#This Row],[Colore]]</f>
        <v>#VALUE!</v>
      </c>
      <c r="J1170" t="e">
        <f>RigheOfferte[[#This Row],[Velocità]]</f>
        <v>#VALUE!</v>
      </c>
      <c r="K1170" t="e">
        <f>RigheOfferte[[#This Row],[Superf.pz Mq]]</f>
        <v>#VALUE!</v>
      </c>
      <c r="L1170" t="e">
        <f>RigheOfferte[[#This Row],[passo]]</f>
        <v>#VALUE!</v>
      </c>
      <c r="M1170" t="e">
        <f>RigheOfferte[[#This Row],[nr.pezzi Telaio]]</f>
        <v>#VALUE!</v>
      </c>
      <c r="N1170" t="e">
        <f>RigheOfferte[[#This Row],[nr.pezzi ora-unita]]</f>
        <v>#VALUE!</v>
      </c>
      <c r="O1170" t="e">
        <f>Tabella1[[#This Row],[superificie]]*Resa</f>
        <v>#VALUE!</v>
      </c>
      <c r="P1170" t="e">
        <f>Tabella1[[#This Row],[KgPezzo]]*Tabella1[[#This Row],[q.ta offerta]]</f>
        <v>#VALUE!</v>
      </c>
      <c r="Q1170" t="e">
        <f>RigheOfferte[[#This Row],[QtaProtez]]</f>
        <v>#VALUE!</v>
      </c>
      <c r="R1170" t="e">
        <f>RigheOfferte[[#This Row],[Tipo Protezione]]</f>
        <v>#VALUE!</v>
      </c>
    </row>
    <row r="1171" spans="1:18">
      <c r="A1171" t="e">
        <f>RigheOfferte[[#This Row],[Nprev]]</f>
        <v>#VALUE!</v>
      </c>
      <c r="B1171" t="e">
        <f>RigheOfferte[[#This Row],[Nriga]]</f>
        <v>#VALUE!</v>
      </c>
      <c r="C1171" t="e">
        <f>RigheOfferte[[#This Row],[Cliente]]</f>
        <v>#VALUE!</v>
      </c>
      <c r="D1171" t="e">
        <f>RigheOfferte[[#This Row],[sub_cliente]]</f>
        <v>#VALUE!</v>
      </c>
      <c r="E1171" t="e">
        <f>RigheOfferte[[#This Row],[cod.Art.]]</f>
        <v>#VALUE!</v>
      </c>
      <c r="F1171" t="e">
        <f>RigheOfferte[[#This Row],[Descrizione]]</f>
        <v>#VALUE!</v>
      </c>
      <c r="G1171" t="e">
        <f>RigheOfferte[[#This Row],[Q.ta'']]</f>
        <v>#VALUE!</v>
      </c>
      <c r="H1171" t="e">
        <f>RigheOfferte[[#This Row],[Lavorazione]]</f>
        <v>#VALUE!</v>
      </c>
      <c r="I1171" t="e">
        <f>RigheOfferte[[#This Row],[Colore]]</f>
        <v>#VALUE!</v>
      </c>
      <c r="J1171" t="e">
        <f>RigheOfferte[[#This Row],[Velocità]]</f>
        <v>#VALUE!</v>
      </c>
      <c r="K1171" t="e">
        <f>RigheOfferte[[#This Row],[Superf.pz Mq]]</f>
        <v>#VALUE!</v>
      </c>
      <c r="L1171" t="e">
        <f>RigheOfferte[[#This Row],[passo]]</f>
        <v>#VALUE!</v>
      </c>
      <c r="M1171" t="e">
        <f>RigheOfferte[[#This Row],[nr.pezzi Telaio]]</f>
        <v>#VALUE!</v>
      </c>
      <c r="N1171" t="e">
        <f>RigheOfferte[[#This Row],[nr.pezzi ora-unita]]</f>
        <v>#VALUE!</v>
      </c>
      <c r="O1171" t="e">
        <f>Tabella1[[#This Row],[superificie]]*Resa</f>
        <v>#VALUE!</v>
      </c>
      <c r="P1171" t="e">
        <f>Tabella1[[#This Row],[KgPezzo]]*Tabella1[[#This Row],[q.ta offerta]]</f>
        <v>#VALUE!</v>
      </c>
      <c r="Q1171" t="e">
        <f>RigheOfferte[[#This Row],[QtaProtez]]</f>
        <v>#VALUE!</v>
      </c>
      <c r="R1171" t="e">
        <f>RigheOfferte[[#This Row],[Tipo Protezione]]</f>
        <v>#VALUE!</v>
      </c>
    </row>
    <row r="1172" spans="1:18">
      <c r="A1172" t="e">
        <f>RigheOfferte[[#This Row],[Nprev]]</f>
        <v>#VALUE!</v>
      </c>
      <c r="B1172" t="e">
        <f>RigheOfferte[[#This Row],[Nriga]]</f>
        <v>#VALUE!</v>
      </c>
      <c r="C1172" t="e">
        <f>RigheOfferte[[#This Row],[Cliente]]</f>
        <v>#VALUE!</v>
      </c>
      <c r="D1172" t="e">
        <f>RigheOfferte[[#This Row],[sub_cliente]]</f>
        <v>#VALUE!</v>
      </c>
      <c r="E1172" t="e">
        <f>RigheOfferte[[#This Row],[cod.Art.]]</f>
        <v>#VALUE!</v>
      </c>
      <c r="F1172" t="e">
        <f>RigheOfferte[[#This Row],[Descrizione]]</f>
        <v>#VALUE!</v>
      </c>
      <c r="G1172" t="e">
        <f>RigheOfferte[[#This Row],[Q.ta'']]</f>
        <v>#VALUE!</v>
      </c>
      <c r="H1172" t="e">
        <f>RigheOfferte[[#This Row],[Lavorazione]]</f>
        <v>#VALUE!</v>
      </c>
      <c r="I1172" t="e">
        <f>RigheOfferte[[#This Row],[Colore]]</f>
        <v>#VALUE!</v>
      </c>
      <c r="J1172" t="e">
        <f>RigheOfferte[[#This Row],[Velocità]]</f>
        <v>#VALUE!</v>
      </c>
      <c r="K1172" t="e">
        <f>RigheOfferte[[#This Row],[Superf.pz Mq]]</f>
        <v>#VALUE!</v>
      </c>
      <c r="L1172" t="e">
        <f>RigheOfferte[[#This Row],[passo]]</f>
        <v>#VALUE!</v>
      </c>
      <c r="M1172" t="e">
        <f>RigheOfferte[[#This Row],[nr.pezzi Telaio]]</f>
        <v>#VALUE!</v>
      </c>
      <c r="N1172" t="e">
        <f>RigheOfferte[[#This Row],[nr.pezzi ora-unita]]</f>
        <v>#VALUE!</v>
      </c>
      <c r="O1172" t="e">
        <f>Tabella1[[#This Row],[superificie]]*Resa</f>
        <v>#VALUE!</v>
      </c>
      <c r="P1172" t="e">
        <f>Tabella1[[#This Row],[KgPezzo]]*Tabella1[[#This Row],[q.ta offerta]]</f>
        <v>#VALUE!</v>
      </c>
      <c r="Q1172" t="e">
        <f>RigheOfferte[[#This Row],[QtaProtez]]</f>
        <v>#VALUE!</v>
      </c>
      <c r="R1172" t="e">
        <f>RigheOfferte[[#This Row],[Tipo Protezione]]</f>
        <v>#VALUE!</v>
      </c>
    </row>
    <row r="1173" spans="1:18">
      <c r="A1173" t="e">
        <f>RigheOfferte[[#This Row],[Nprev]]</f>
        <v>#VALUE!</v>
      </c>
      <c r="B1173" t="e">
        <f>RigheOfferte[[#This Row],[Nriga]]</f>
        <v>#VALUE!</v>
      </c>
      <c r="C1173" t="e">
        <f>RigheOfferte[[#This Row],[Cliente]]</f>
        <v>#VALUE!</v>
      </c>
      <c r="D1173" t="e">
        <f>RigheOfferte[[#This Row],[sub_cliente]]</f>
        <v>#VALUE!</v>
      </c>
      <c r="E1173" t="e">
        <f>RigheOfferte[[#This Row],[cod.Art.]]</f>
        <v>#VALUE!</v>
      </c>
      <c r="F1173" t="e">
        <f>RigheOfferte[[#This Row],[Descrizione]]</f>
        <v>#VALUE!</v>
      </c>
      <c r="G1173" t="e">
        <f>RigheOfferte[[#This Row],[Q.ta'']]</f>
        <v>#VALUE!</v>
      </c>
      <c r="H1173" t="e">
        <f>RigheOfferte[[#This Row],[Lavorazione]]</f>
        <v>#VALUE!</v>
      </c>
      <c r="I1173" t="e">
        <f>RigheOfferte[[#This Row],[Colore]]</f>
        <v>#VALUE!</v>
      </c>
      <c r="J1173" t="e">
        <f>RigheOfferte[[#This Row],[Velocità]]</f>
        <v>#VALUE!</v>
      </c>
      <c r="K1173" t="e">
        <f>RigheOfferte[[#This Row],[Superf.pz Mq]]</f>
        <v>#VALUE!</v>
      </c>
      <c r="L1173" t="e">
        <f>RigheOfferte[[#This Row],[passo]]</f>
        <v>#VALUE!</v>
      </c>
      <c r="M1173" t="e">
        <f>RigheOfferte[[#This Row],[nr.pezzi Telaio]]</f>
        <v>#VALUE!</v>
      </c>
      <c r="N1173" t="e">
        <f>RigheOfferte[[#This Row],[nr.pezzi ora-unita]]</f>
        <v>#VALUE!</v>
      </c>
      <c r="O1173" t="e">
        <f>Tabella1[[#This Row],[superificie]]*Resa</f>
        <v>#VALUE!</v>
      </c>
      <c r="P1173" t="e">
        <f>Tabella1[[#This Row],[KgPezzo]]*Tabella1[[#This Row],[q.ta offerta]]</f>
        <v>#VALUE!</v>
      </c>
      <c r="Q1173" t="e">
        <f>RigheOfferte[[#This Row],[QtaProtez]]</f>
        <v>#VALUE!</v>
      </c>
      <c r="R1173" t="e">
        <f>RigheOfferte[[#This Row],[Tipo Protezione]]</f>
        <v>#VALUE!</v>
      </c>
    </row>
    <row r="1174" spans="1:18">
      <c r="A1174" t="e">
        <f>RigheOfferte[[#This Row],[Nprev]]</f>
        <v>#VALUE!</v>
      </c>
      <c r="B1174" t="e">
        <f>RigheOfferte[[#This Row],[Nriga]]</f>
        <v>#VALUE!</v>
      </c>
      <c r="C1174" t="e">
        <f>RigheOfferte[[#This Row],[Cliente]]</f>
        <v>#VALUE!</v>
      </c>
      <c r="D1174" t="e">
        <f>RigheOfferte[[#This Row],[sub_cliente]]</f>
        <v>#VALUE!</v>
      </c>
      <c r="E1174" t="e">
        <f>RigheOfferte[[#This Row],[cod.Art.]]</f>
        <v>#VALUE!</v>
      </c>
      <c r="F1174" t="e">
        <f>RigheOfferte[[#This Row],[Descrizione]]</f>
        <v>#VALUE!</v>
      </c>
      <c r="G1174" t="e">
        <f>RigheOfferte[[#This Row],[Q.ta'']]</f>
        <v>#VALUE!</v>
      </c>
      <c r="H1174" t="e">
        <f>RigheOfferte[[#This Row],[Lavorazione]]</f>
        <v>#VALUE!</v>
      </c>
      <c r="I1174" t="e">
        <f>RigheOfferte[[#This Row],[Colore]]</f>
        <v>#VALUE!</v>
      </c>
      <c r="J1174" t="e">
        <f>RigheOfferte[[#This Row],[Velocità]]</f>
        <v>#VALUE!</v>
      </c>
      <c r="K1174" t="e">
        <f>RigheOfferte[[#This Row],[Superf.pz Mq]]</f>
        <v>#VALUE!</v>
      </c>
      <c r="L1174" t="e">
        <f>RigheOfferte[[#This Row],[passo]]</f>
        <v>#VALUE!</v>
      </c>
      <c r="M1174" t="e">
        <f>RigheOfferte[[#This Row],[nr.pezzi Telaio]]</f>
        <v>#VALUE!</v>
      </c>
      <c r="N1174" t="e">
        <f>RigheOfferte[[#This Row],[nr.pezzi ora-unita]]</f>
        <v>#VALUE!</v>
      </c>
      <c r="O1174" t="e">
        <f>Tabella1[[#This Row],[superificie]]*Resa</f>
        <v>#VALUE!</v>
      </c>
      <c r="P1174" t="e">
        <f>Tabella1[[#This Row],[KgPezzo]]*Tabella1[[#This Row],[q.ta offerta]]</f>
        <v>#VALUE!</v>
      </c>
      <c r="Q1174" t="e">
        <f>RigheOfferte[[#This Row],[QtaProtez]]</f>
        <v>#VALUE!</v>
      </c>
      <c r="R1174" t="e">
        <f>RigheOfferte[[#This Row],[Tipo Protezione]]</f>
        <v>#VALUE!</v>
      </c>
    </row>
    <row r="1175" spans="1:18">
      <c r="A1175" t="e">
        <f>RigheOfferte[[#This Row],[Nprev]]</f>
        <v>#VALUE!</v>
      </c>
      <c r="B1175" t="e">
        <f>RigheOfferte[[#This Row],[Nriga]]</f>
        <v>#VALUE!</v>
      </c>
      <c r="C1175" t="e">
        <f>RigheOfferte[[#This Row],[Cliente]]</f>
        <v>#VALUE!</v>
      </c>
      <c r="D1175" t="e">
        <f>RigheOfferte[[#This Row],[sub_cliente]]</f>
        <v>#VALUE!</v>
      </c>
      <c r="E1175" t="e">
        <f>RigheOfferte[[#This Row],[cod.Art.]]</f>
        <v>#VALUE!</v>
      </c>
      <c r="F1175" t="e">
        <f>RigheOfferte[[#This Row],[Descrizione]]</f>
        <v>#VALUE!</v>
      </c>
      <c r="G1175" t="e">
        <f>RigheOfferte[[#This Row],[Q.ta'']]</f>
        <v>#VALUE!</v>
      </c>
      <c r="H1175" t="e">
        <f>RigheOfferte[[#This Row],[Lavorazione]]</f>
        <v>#VALUE!</v>
      </c>
      <c r="I1175" t="e">
        <f>RigheOfferte[[#This Row],[Colore]]</f>
        <v>#VALUE!</v>
      </c>
      <c r="J1175" t="e">
        <f>RigheOfferte[[#This Row],[Velocità]]</f>
        <v>#VALUE!</v>
      </c>
      <c r="K1175" t="e">
        <f>RigheOfferte[[#This Row],[Superf.pz Mq]]</f>
        <v>#VALUE!</v>
      </c>
      <c r="L1175" t="e">
        <f>RigheOfferte[[#This Row],[passo]]</f>
        <v>#VALUE!</v>
      </c>
      <c r="M1175" t="e">
        <f>RigheOfferte[[#This Row],[nr.pezzi Telaio]]</f>
        <v>#VALUE!</v>
      </c>
      <c r="N1175" t="e">
        <f>RigheOfferte[[#This Row],[nr.pezzi ora-unita]]</f>
        <v>#VALUE!</v>
      </c>
      <c r="O1175" t="e">
        <f>Tabella1[[#This Row],[superificie]]*Resa</f>
        <v>#VALUE!</v>
      </c>
      <c r="P1175" t="e">
        <f>Tabella1[[#This Row],[KgPezzo]]*Tabella1[[#This Row],[q.ta offerta]]</f>
        <v>#VALUE!</v>
      </c>
      <c r="Q1175" t="e">
        <f>RigheOfferte[[#This Row],[QtaProtez]]</f>
        <v>#VALUE!</v>
      </c>
      <c r="R1175" t="e">
        <f>RigheOfferte[[#This Row],[Tipo Protezione]]</f>
        <v>#VALUE!</v>
      </c>
    </row>
    <row r="1176" spans="1:18">
      <c r="A1176" t="e">
        <f>RigheOfferte[[#This Row],[Nprev]]</f>
        <v>#VALUE!</v>
      </c>
      <c r="B1176" t="e">
        <f>RigheOfferte[[#This Row],[Nriga]]</f>
        <v>#VALUE!</v>
      </c>
      <c r="C1176" t="e">
        <f>RigheOfferte[[#This Row],[Cliente]]</f>
        <v>#VALUE!</v>
      </c>
      <c r="D1176" t="e">
        <f>RigheOfferte[[#This Row],[sub_cliente]]</f>
        <v>#VALUE!</v>
      </c>
      <c r="E1176" t="e">
        <f>RigheOfferte[[#This Row],[cod.Art.]]</f>
        <v>#VALUE!</v>
      </c>
      <c r="F1176" t="e">
        <f>RigheOfferte[[#This Row],[Descrizione]]</f>
        <v>#VALUE!</v>
      </c>
      <c r="G1176" t="e">
        <f>RigheOfferte[[#This Row],[Q.ta'']]</f>
        <v>#VALUE!</v>
      </c>
      <c r="H1176" t="e">
        <f>RigheOfferte[[#This Row],[Lavorazione]]</f>
        <v>#VALUE!</v>
      </c>
      <c r="I1176" t="e">
        <f>RigheOfferte[[#This Row],[Colore]]</f>
        <v>#VALUE!</v>
      </c>
      <c r="J1176" t="e">
        <f>RigheOfferte[[#This Row],[Velocità]]</f>
        <v>#VALUE!</v>
      </c>
      <c r="K1176" t="e">
        <f>RigheOfferte[[#This Row],[Superf.pz Mq]]</f>
        <v>#VALUE!</v>
      </c>
      <c r="L1176" t="e">
        <f>RigheOfferte[[#This Row],[passo]]</f>
        <v>#VALUE!</v>
      </c>
      <c r="M1176" t="e">
        <f>RigheOfferte[[#This Row],[nr.pezzi Telaio]]</f>
        <v>#VALUE!</v>
      </c>
      <c r="N1176" t="e">
        <f>RigheOfferte[[#This Row],[nr.pezzi ora-unita]]</f>
        <v>#VALUE!</v>
      </c>
      <c r="O1176" t="e">
        <f>Tabella1[[#This Row],[superificie]]*Resa</f>
        <v>#VALUE!</v>
      </c>
      <c r="P1176" t="e">
        <f>Tabella1[[#This Row],[KgPezzo]]*Tabella1[[#This Row],[q.ta offerta]]</f>
        <v>#VALUE!</v>
      </c>
      <c r="Q1176" t="e">
        <f>RigheOfferte[[#This Row],[QtaProtez]]</f>
        <v>#VALUE!</v>
      </c>
      <c r="R1176" t="e">
        <f>RigheOfferte[[#This Row],[Tipo Protezione]]</f>
        <v>#VALUE!</v>
      </c>
    </row>
    <row r="1177" spans="1:18">
      <c r="A1177" t="e">
        <f>RigheOfferte[[#This Row],[Nprev]]</f>
        <v>#VALUE!</v>
      </c>
      <c r="B1177" t="e">
        <f>RigheOfferte[[#This Row],[Nriga]]</f>
        <v>#VALUE!</v>
      </c>
      <c r="C1177" t="e">
        <f>RigheOfferte[[#This Row],[Cliente]]</f>
        <v>#VALUE!</v>
      </c>
      <c r="D1177" t="e">
        <f>RigheOfferte[[#This Row],[sub_cliente]]</f>
        <v>#VALUE!</v>
      </c>
      <c r="E1177" t="e">
        <f>RigheOfferte[[#This Row],[cod.Art.]]</f>
        <v>#VALUE!</v>
      </c>
      <c r="F1177" t="e">
        <f>RigheOfferte[[#This Row],[Descrizione]]</f>
        <v>#VALUE!</v>
      </c>
      <c r="G1177" t="e">
        <f>RigheOfferte[[#This Row],[Q.ta'']]</f>
        <v>#VALUE!</v>
      </c>
      <c r="H1177" t="e">
        <f>RigheOfferte[[#This Row],[Lavorazione]]</f>
        <v>#VALUE!</v>
      </c>
      <c r="I1177" t="e">
        <f>RigheOfferte[[#This Row],[Colore]]</f>
        <v>#VALUE!</v>
      </c>
      <c r="J1177" t="e">
        <f>RigheOfferte[[#This Row],[Velocità]]</f>
        <v>#VALUE!</v>
      </c>
      <c r="K1177" t="e">
        <f>RigheOfferte[[#This Row],[Superf.pz Mq]]</f>
        <v>#VALUE!</v>
      </c>
      <c r="L1177" t="e">
        <f>RigheOfferte[[#This Row],[passo]]</f>
        <v>#VALUE!</v>
      </c>
      <c r="M1177" t="e">
        <f>RigheOfferte[[#This Row],[nr.pezzi Telaio]]</f>
        <v>#VALUE!</v>
      </c>
      <c r="N1177" t="e">
        <f>RigheOfferte[[#This Row],[nr.pezzi ora-unita]]</f>
        <v>#VALUE!</v>
      </c>
      <c r="O1177" t="e">
        <f>Tabella1[[#This Row],[superificie]]*Resa</f>
        <v>#VALUE!</v>
      </c>
      <c r="P1177" t="e">
        <f>Tabella1[[#This Row],[KgPezzo]]*Tabella1[[#This Row],[q.ta offerta]]</f>
        <v>#VALUE!</v>
      </c>
      <c r="Q1177" t="e">
        <f>RigheOfferte[[#This Row],[QtaProtez]]</f>
        <v>#VALUE!</v>
      </c>
      <c r="R1177" t="e">
        <f>RigheOfferte[[#This Row],[Tipo Protezione]]</f>
        <v>#VALUE!</v>
      </c>
    </row>
    <row r="1178" spans="1:18">
      <c r="A1178" t="e">
        <f>RigheOfferte[[#This Row],[Nprev]]</f>
        <v>#VALUE!</v>
      </c>
      <c r="B1178" t="e">
        <f>RigheOfferte[[#This Row],[Nriga]]</f>
        <v>#VALUE!</v>
      </c>
      <c r="C1178" t="e">
        <f>RigheOfferte[[#This Row],[Cliente]]</f>
        <v>#VALUE!</v>
      </c>
      <c r="D1178" t="e">
        <f>RigheOfferte[[#This Row],[sub_cliente]]</f>
        <v>#VALUE!</v>
      </c>
      <c r="E1178" t="e">
        <f>RigheOfferte[[#This Row],[cod.Art.]]</f>
        <v>#VALUE!</v>
      </c>
      <c r="F1178" t="e">
        <f>RigheOfferte[[#This Row],[Descrizione]]</f>
        <v>#VALUE!</v>
      </c>
      <c r="G1178" t="e">
        <f>RigheOfferte[[#This Row],[Q.ta'']]</f>
        <v>#VALUE!</v>
      </c>
      <c r="H1178" t="e">
        <f>RigheOfferte[[#This Row],[Lavorazione]]</f>
        <v>#VALUE!</v>
      </c>
      <c r="I1178" t="e">
        <f>RigheOfferte[[#This Row],[Colore]]</f>
        <v>#VALUE!</v>
      </c>
      <c r="J1178" t="e">
        <f>RigheOfferte[[#This Row],[Velocità]]</f>
        <v>#VALUE!</v>
      </c>
      <c r="K1178" t="e">
        <f>RigheOfferte[[#This Row],[Superf.pz Mq]]</f>
        <v>#VALUE!</v>
      </c>
      <c r="L1178" t="e">
        <f>RigheOfferte[[#This Row],[passo]]</f>
        <v>#VALUE!</v>
      </c>
      <c r="M1178" t="e">
        <f>RigheOfferte[[#This Row],[nr.pezzi Telaio]]</f>
        <v>#VALUE!</v>
      </c>
      <c r="N1178" t="e">
        <f>RigheOfferte[[#This Row],[nr.pezzi ora-unita]]</f>
        <v>#VALUE!</v>
      </c>
      <c r="O1178" t="e">
        <f>Tabella1[[#This Row],[superificie]]*Resa</f>
        <v>#VALUE!</v>
      </c>
      <c r="P1178" t="e">
        <f>Tabella1[[#This Row],[KgPezzo]]*Tabella1[[#This Row],[q.ta offerta]]</f>
        <v>#VALUE!</v>
      </c>
      <c r="Q1178" t="e">
        <f>RigheOfferte[[#This Row],[QtaProtez]]</f>
        <v>#VALUE!</v>
      </c>
      <c r="R1178" t="e">
        <f>RigheOfferte[[#This Row],[Tipo Protezione]]</f>
        <v>#VALUE!</v>
      </c>
    </row>
    <row r="1179" spans="1:18">
      <c r="A1179" t="e">
        <f>RigheOfferte[[#This Row],[Nprev]]</f>
        <v>#VALUE!</v>
      </c>
      <c r="B1179" t="e">
        <f>RigheOfferte[[#This Row],[Nriga]]</f>
        <v>#VALUE!</v>
      </c>
      <c r="C1179" t="e">
        <f>RigheOfferte[[#This Row],[Cliente]]</f>
        <v>#VALUE!</v>
      </c>
      <c r="D1179" t="e">
        <f>RigheOfferte[[#This Row],[sub_cliente]]</f>
        <v>#VALUE!</v>
      </c>
      <c r="E1179" t="e">
        <f>RigheOfferte[[#This Row],[cod.Art.]]</f>
        <v>#VALUE!</v>
      </c>
      <c r="F1179" t="e">
        <f>RigheOfferte[[#This Row],[Descrizione]]</f>
        <v>#VALUE!</v>
      </c>
      <c r="G1179" t="e">
        <f>RigheOfferte[[#This Row],[Q.ta'']]</f>
        <v>#VALUE!</v>
      </c>
      <c r="H1179" t="e">
        <f>RigheOfferte[[#This Row],[Lavorazione]]</f>
        <v>#VALUE!</v>
      </c>
      <c r="I1179" t="e">
        <f>RigheOfferte[[#This Row],[Colore]]</f>
        <v>#VALUE!</v>
      </c>
      <c r="J1179" t="e">
        <f>RigheOfferte[[#This Row],[Velocità]]</f>
        <v>#VALUE!</v>
      </c>
      <c r="K1179" t="e">
        <f>RigheOfferte[[#This Row],[Superf.pz Mq]]</f>
        <v>#VALUE!</v>
      </c>
      <c r="L1179" t="e">
        <f>RigheOfferte[[#This Row],[passo]]</f>
        <v>#VALUE!</v>
      </c>
      <c r="M1179" t="e">
        <f>RigheOfferte[[#This Row],[nr.pezzi Telaio]]</f>
        <v>#VALUE!</v>
      </c>
      <c r="N1179" t="e">
        <f>RigheOfferte[[#This Row],[nr.pezzi ora-unita]]</f>
        <v>#VALUE!</v>
      </c>
      <c r="O1179" t="e">
        <f>Tabella1[[#This Row],[superificie]]*Resa</f>
        <v>#VALUE!</v>
      </c>
      <c r="P1179" t="e">
        <f>Tabella1[[#This Row],[KgPezzo]]*Tabella1[[#This Row],[q.ta offerta]]</f>
        <v>#VALUE!</v>
      </c>
      <c r="Q1179" t="e">
        <f>RigheOfferte[[#This Row],[QtaProtez]]</f>
        <v>#VALUE!</v>
      </c>
      <c r="R1179" t="e">
        <f>RigheOfferte[[#This Row],[Tipo Protezione]]</f>
        <v>#VALUE!</v>
      </c>
    </row>
    <row r="1180" spans="1:18">
      <c r="A1180" t="e">
        <f>RigheOfferte[[#This Row],[Nprev]]</f>
        <v>#VALUE!</v>
      </c>
      <c r="B1180" t="e">
        <f>RigheOfferte[[#This Row],[Nriga]]</f>
        <v>#VALUE!</v>
      </c>
      <c r="C1180" t="e">
        <f>RigheOfferte[[#This Row],[Cliente]]</f>
        <v>#VALUE!</v>
      </c>
      <c r="D1180" t="e">
        <f>RigheOfferte[[#This Row],[sub_cliente]]</f>
        <v>#VALUE!</v>
      </c>
      <c r="E1180" t="e">
        <f>RigheOfferte[[#This Row],[cod.Art.]]</f>
        <v>#VALUE!</v>
      </c>
      <c r="F1180" t="e">
        <f>RigheOfferte[[#This Row],[Descrizione]]</f>
        <v>#VALUE!</v>
      </c>
      <c r="G1180" t="e">
        <f>RigheOfferte[[#This Row],[Q.ta'']]</f>
        <v>#VALUE!</v>
      </c>
      <c r="H1180" t="e">
        <f>RigheOfferte[[#This Row],[Lavorazione]]</f>
        <v>#VALUE!</v>
      </c>
      <c r="I1180" t="e">
        <f>RigheOfferte[[#This Row],[Colore]]</f>
        <v>#VALUE!</v>
      </c>
      <c r="J1180" t="e">
        <f>RigheOfferte[[#This Row],[Velocità]]</f>
        <v>#VALUE!</v>
      </c>
      <c r="K1180" t="e">
        <f>RigheOfferte[[#This Row],[Superf.pz Mq]]</f>
        <v>#VALUE!</v>
      </c>
      <c r="L1180" t="e">
        <f>RigheOfferte[[#This Row],[passo]]</f>
        <v>#VALUE!</v>
      </c>
      <c r="M1180" t="e">
        <f>RigheOfferte[[#This Row],[nr.pezzi Telaio]]</f>
        <v>#VALUE!</v>
      </c>
      <c r="N1180" t="e">
        <f>RigheOfferte[[#This Row],[nr.pezzi ora-unita]]</f>
        <v>#VALUE!</v>
      </c>
      <c r="O1180" t="e">
        <f>Tabella1[[#This Row],[superificie]]*Resa</f>
        <v>#VALUE!</v>
      </c>
      <c r="P1180" t="e">
        <f>Tabella1[[#This Row],[KgPezzo]]*Tabella1[[#This Row],[q.ta offerta]]</f>
        <v>#VALUE!</v>
      </c>
      <c r="Q1180" t="e">
        <f>RigheOfferte[[#This Row],[QtaProtez]]</f>
        <v>#VALUE!</v>
      </c>
      <c r="R1180" t="e">
        <f>RigheOfferte[[#This Row],[Tipo Protezione]]</f>
        <v>#VALUE!</v>
      </c>
    </row>
    <row r="1181" spans="1:18">
      <c r="A1181" t="e">
        <f>RigheOfferte[[#This Row],[Nprev]]</f>
        <v>#VALUE!</v>
      </c>
      <c r="B1181" t="e">
        <f>RigheOfferte[[#This Row],[Nriga]]</f>
        <v>#VALUE!</v>
      </c>
      <c r="C1181" t="e">
        <f>RigheOfferte[[#This Row],[Cliente]]</f>
        <v>#VALUE!</v>
      </c>
      <c r="D1181" t="e">
        <f>RigheOfferte[[#This Row],[sub_cliente]]</f>
        <v>#VALUE!</v>
      </c>
      <c r="E1181" t="e">
        <f>RigheOfferte[[#This Row],[cod.Art.]]</f>
        <v>#VALUE!</v>
      </c>
      <c r="F1181" t="e">
        <f>RigheOfferte[[#This Row],[Descrizione]]</f>
        <v>#VALUE!</v>
      </c>
      <c r="G1181" t="e">
        <f>RigheOfferte[[#This Row],[Q.ta'']]</f>
        <v>#VALUE!</v>
      </c>
      <c r="H1181" t="e">
        <f>RigheOfferte[[#This Row],[Lavorazione]]</f>
        <v>#VALUE!</v>
      </c>
      <c r="I1181" t="e">
        <f>RigheOfferte[[#This Row],[Colore]]</f>
        <v>#VALUE!</v>
      </c>
      <c r="J1181" t="e">
        <f>RigheOfferte[[#This Row],[Velocità]]</f>
        <v>#VALUE!</v>
      </c>
      <c r="K1181" t="e">
        <f>RigheOfferte[[#This Row],[Superf.pz Mq]]</f>
        <v>#VALUE!</v>
      </c>
      <c r="L1181" t="e">
        <f>RigheOfferte[[#This Row],[passo]]</f>
        <v>#VALUE!</v>
      </c>
      <c r="M1181" t="e">
        <f>RigheOfferte[[#This Row],[nr.pezzi Telaio]]</f>
        <v>#VALUE!</v>
      </c>
      <c r="N1181" t="e">
        <f>RigheOfferte[[#This Row],[nr.pezzi ora-unita]]</f>
        <v>#VALUE!</v>
      </c>
      <c r="O1181" t="e">
        <f>Tabella1[[#This Row],[superificie]]*Resa</f>
        <v>#VALUE!</v>
      </c>
      <c r="P1181" t="e">
        <f>Tabella1[[#This Row],[KgPezzo]]*Tabella1[[#This Row],[q.ta offerta]]</f>
        <v>#VALUE!</v>
      </c>
      <c r="Q1181" t="e">
        <f>RigheOfferte[[#This Row],[QtaProtez]]</f>
        <v>#VALUE!</v>
      </c>
      <c r="R1181" t="e">
        <f>RigheOfferte[[#This Row],[Tipo Protezione]]</f>
        <v>#VALUE!</v>
      </c>
    </row>
    <row r="1182" spans="1:18">
      <c r="A1182" t="e">
        <f>RigheOfferte[[#This Row],[Nprev]]</f>
        <v>#VALUE!</v>
      </c>
      <c r="B1182" t="e">
        <f>RigheOfferte[[#This Row],[Nriga]]</f>
        <v>#VALUE!</v>
      </c>
      <c r="C1182" t="e">
        <f>RigheOfferte[[#This Row],[Cliente]]</f>
        <v>#VALUE!</v>
      </c>
      <c r="D1182" t="e">
        <f>RigheOfferte[[#This Row],[sub_cliente]]</f>
        <v>#VALUE!</v>
      </c>
      <c r="E1182" t="e">
        <f>RigheOfferte[[#This Row],[cod.Art.]]</f>
        <v>#VALUE!</v>
      </c>
      <c r="F1182" t="e">
        <f>RigheOfferte[[#This Row],[Descrizione]]</f>
        <v>#VALUE!</v>
      </c>
      <c r="G1182" t="e">
        <f>RigheOfferte[[#This Row],[Q.ta'']]</f>
        <v>#VALUE!</v>
      </c>
      <c r="H1182" t="e">
        <f>RigheOfferte[[#This Row],[Lavorazione]]</f>
        <v>#VALUE!</v>
      </c>
      <c r="I1182" t="e">
        <f>RigheOfferte[[#This Row],[Colore]]</f>
        <v>#VALUE!</v>
      </c>
      <c r="J1182" t="e">
        <f>RigheOfferte[[#This Row],[Velocità]]</f>
        <v>#VALUE!</v>
      </c>
      <c r="K1182" t="e">
        <f>RigheOfferte[[#This Row],[Superf.pz Mq]]</f>
        <v>#VALUE!</v>
      </c>
      <c r="L1182" t="e">
        <f>RigheOfferte[[#This Row],[passo]]</f>
        <v>#VALUE!</v>
      </c>
      <c r="M1182" t="e">
        <f>RigheOfferte[[#This Row],[nr.pezzi Telaio]]</f>
        <v>#VALUE!</v>
      </c>
      <c r="N1182" t="e">
        <f>RigheOfferte[[#This Row],[nr.pezzi ora-unita]]</f>
        <v>#VALUE!</v>
      </c>
      <c r="O1182" t="e">
        <f>Tabella1[[#This Row],[superificie]]*Resa</f>
        <v>#VALUE!</v>
      </c>
      <c r="P1182" t="e">
        <f>Tabella1[[#This Row],[KgPezzo]]*Tabella1[[#This Row],[q.ta offerta]]</f>
        <v>#VALUE!</v>
      </c>
      <c r="Q1182" t="e">
        <f>RigheOfferte[[#This Row],[QtaProtez]]</f>
        <v>#VALUE!</v>
      </c>
      <c r="R1182" t="e">
        <f>RigheOfferte[[#This Row],[Tipo Protezione]]</f>
        <v>#VALUE!</v>
      </c>
    </row>
    <row r="1183" spans="1:18">
      <c r="A1183" t="e">
        <f>RigheOfferte[[#This Row],[Nprev]]</f>
        <v>#VALUE!</v>
      </c>
      <c r="B1183" t="e">
        <f>RigheOfferte[[#This Row],[Nriga]]</f>
        <v>#VALUE!</v>
      </c>
      <c r="C1183" t="e">
        <f>RigheOfferte[[#This Row],[Cliente]]</f>
        <v>#VALUE!</v>
      </c>
      <c r="D1183" t="e">
        <f>RigheOfferte[[#This Row],[sub_cliente]]</f>
        <v>#VALUE!</v>
      </c>
      <c r="E1183" t="e">
        <f>RigheOfferte[[#This Row],[cod.Art.]]</f>
        <v>#VALUE!</v>
      </c>
      <c r="F1183" t="e">
        <f>RigheOfferte[[#This Row],[Descrizione]]</f>
        <v>#VALUE!</v>
      </c>
      <c r="G1183" t="e">
        <f>RigheOfferte[[#This Row],[Q.ta'']]</f>
        <v>#VALUE!</v>
      </c>
      <c r="H1183" t="e">
        <f>RigheOfferte[[#This Row],[Lavorazione]]</f>
        <v>#VALUE!</v>
      </c>
      <c r="I1183" t="e">
        <f>RigheOfferte[[#This Row],[Colore]]</f>
        <v>#VALUE!</v>
      </c>
      <c r="J1183" t="e">
        <f>RigheOfferte[[#This Row],[Velocità]]</f>
        <v>#VALUE!</v>
      </c>
      <c r="K1183" t="e">
        <f>RigheOfferte[[#This Row],[Superf.pz Mq]]</f>
        <v>#VALUE!</v>
      </c>
      <c r="L1183" t="e">
        <f>RigheOfferte[[#This Row],[passo]]</f>
        <v>#VALUE!</v>
      </c>
      <c r="M1183" t="e">
        <f>RigheOfferte[[#This Row],[nr.pezzi Telaio]]</f>
        <v>#VALUE!</v>
      </c>
      <c r="N1183" t="e">
        <f>RigheOfferte[[#This Row],[nr.pezzi ora-unita]]</f>
        <v>#VALUE!</v>
      </c>
      <c r="O1183" t="e">
        <f>Tabella1[[#This Row],[superificie]]*Resa</f>
        <v>#VALUE!</v>
      </c>
      <c r="P1183" t="e">
        <f>Tabella1[[#This Row],[KgPezzo]]*Tabella1[[#This Row],[q.ta offerta]]</f>
        <v>#VALUE!</v>
      </c>
      <c r="Q1183" t="e">
        <f>RigheOfferte[[#This Row],[QtaProtez]]</f>
        <v>#VALUE!</v>
      </c>
      <c r="R1183" t="e">
        <f>RigheOfferte[[#This Row],[Tipo Protezione]]</f>
        <v>#VALUE!</v>
      </c>
    </row>
    <row r="1184" spans="1:18">
      <c r="A1184" t="e">
        <f>RigheOfferte[[#This Row],[Nprev]]</f>
        <v>#VALUE!</v>
      </c>
      <c r="B1184" t="e">
        <f>RigheOfferte[[#This Row],[Nriga]]</f>
        <v>#VALUE!</v>
      </c>
      <c r="C1184" t="e">
        <f>RigheOfferte[[#This Row],[Cliente]]</f>
        <v>#VALUE!</v>
      </c>
      <c r="D1184" t="e">
        <f>RigheOfferte[[#This Row],[sub_cliente]]</f>
        <v>#VALUE!</v>
      </c>
      <c r="E1184" t="e">
        <f>RigheOfferte[[#This Row],[cod.Art.]]</f>
        <v>#VALUE!</v>
      </c>
      <c r="F1184" t="e">
        <f>RigheOfferte[[#This Row],[Descrizione]]</f>
        <v>#VALUE!</v>
      </c>
      <c r="G1184" t="e">
        <f>RigheOfferte[[#This Row],[Q.ta'']]</f>
        <v>#VALUE!</v>
      </c>
      <c r="H1184" t="e">
        <f>RigheOfferte[[#This Row],[Lavorazione]]</f>
        <v>#VALUE!</v>
      </c>
      <c r="I1184" t="e">
        <f>RigheOfferte[[#This Row],[Colore]]</f>
        <v>#VALUE!</v>
      </c>
      <c r="J1184" t="e">
        <f>RigheOfferte[[#This Row],[Velocità]]</f>
        <v>#VALUE!</v>
      </c>
      <c r="K1184" t="e">
        <f>RigheOfferte[[#This Row],[Superf.pz Mq]]</f>
        <v>#VALUE!</v>
      </c>
      <c r="L1184" t="e">
        <f>RigheOfferte[[#This Row],[passo]]</f>
        <v>#VALUE!</v>
      </c>
      <c r="M1184" t="e">
        <f>RigheOfferte[[#This Row],[nr.pezzi Telaio]]</f>
        <v>#VALUE!</v>
      </c>
      <c r="N1184" t="e">
        <f>RigheOfferte[[#This Row],[nr.pezzi ora-unita]]</f>
        <v>#VALUE!</v>
      </c>
      <c r="O1184" t="e">
        <f>Tabella1[[#This Row],[superificie]]*Resa</f>
        <v>#VALUE!</v>
      </c>
      <c r="P1184" t="e">
        <f>Tabella1[[#This Row],[KgPezzo]]*Tabella1[[#This Row],[q.ta offerta]]</f>
        <v>#VALUE!</v>
      </c>
      <c r="Q1184" t="e">
        <f>RigheOfferte[[#This Row],[QtaProtez]]</f>
        <v>#VALUE!</v>
      </c>
      <c r="R1184" t="e">
        <f>RigheOfferte[[#This Row],[Tipo Protezione]]</f>
        <v>#VALUE!</v>
      </c>
    </row>
    <row r="1185" spans="1:18">
      <c r="A1185" t="e">
        <f>RigheOfferte[[#This Row],[Nprev]]</f>
        <v>#VALUE!</v>
      </c>
      <c r="B1185" t="e">
        <f>RigheOfferte[[#This Row],[Nriga]]</f>
        <v>#VALUE!</v>
      </c>
      <c r="C1185" t="e">
        <f>RigheOfferte[[#This Row],[Cliente]]</f>
        <v>#VALUE!</v>
      </c>
      <c r="D1185" t="e">
        <f>RigheOfferte[[#This Row],[sub_cliente]]</f>
        <v>#VALUE!</v>
      </c>
      <c r="E1185" t="e">
        <f>RigheOfferte[[#This Row],[cod.Art.]]</f>
        <v>#VALUE!</v>
      </c>
      <c r="F1185" t="e">
        <f>RigheOfferte[[#This Row],[Descrizione]]</f>
        <v>#VALUE!</v>
      </c>
      <c r="G1185" t="e">
        <f>RigheOfferte[[#This Row],[Q.ta'']]</f>
        <v>#VALUE!</v>
      </c>
      <c r="H1185" t="e">
        <f>RigheOfferte[[#This Row],[Lavorazione]]</f>
        <v>#VALUE!</v>
      </c>
      <c r="I1185" t="e">
        <f>RigheOfferte[[#This Row],[Colore]]</f>
        <v>#VALUE!</v>
      </c>
      <c r="J1185" t="e">
        <f>RigheOfferte[[#This Row],[Velocità]]</f>
        <v>#VALUE!</v>
      </c>
      <c r="K1185" t="e">
        <f>RigheOfferte[[#This Row],[Superf.pz Mq]]</f>
        <v>#VALUE!</v>
      </c>
      <c r="L1185" t="e">
        <f>RigheOfferte[[#This Row],[passo]]</f>
        <v>#VALUE!</v>
      </c>
      <c r="M1185" t="e">
        <f>RigheOfferte[[#This Row],[nr.pezzi Telaio]]</f>
        <v>#VALUE!</v>
      </c>
      <c r="N1185" t="e">
        <f>RigheOfferte[[#This Row],[nr.pezzi ora-unita]]</f>
        <v>#VALUE!</v>
      </c>
      <c r="O1185" t="e">
        <f>Tabella1[[#This Row],[superificie]]*Resa</f>
        <v>#VALUE!</v>
      </c>
      <c r="P1185" t="e">
        <f>Tabella1[[#This Row],[KgPezzo]]*Tabella1[[#This Row],[q.ta offerta]]</f>
        <v>#VALUE!</v>
      </c>
      <c r="Q1185" t="e">
        <f>RigheOfferte[[#This Row],[QtaProtez]]</f>
        <v>#VALUE!</v>
      </c>
      <c r="R1185" t="e">
        <f>RigheOfferte[[#This Row],[Tipo Protezione]]</f>
        <v>#VALUE!</v>
      </c>
    </row>
    <row r="1186" spans="1:18">
      <c r="A1186" t="e">
        <f>RigheOfferte[[#This Row],[Nprev]]</f>
        <v>#VALUE!</v>
      </c>
      <c r="B1186" t="e">
        <f>RigheOfferte[[#This Row],[Nriga]]</f>
        <v>#VALUE!</v>
      </c>
      <c r="C1186" t="e">
        <f>RigheOfferte[[#This Row],[Cliente]]</f>
        <v>#VALUE!</v>
      </c>
      <c r="D1186" t="e">
        <f>RigheOfferte[[#This Row],[sub_cliente]]</f>
        <v>#VALUE!</v>
      </c>
      <c r="E1186" t="e">
        <f>RigheOfferte[[#This Row],[cod.Art.]]</f>
        <v>#VALUE!</v>
      </c>
      <c r="F1186" t="e">
        <f>RigheOfferte[[#This Row],[Descrizione]]</f>
        <v>#VALUE!</v>
      </c>
      <c r="G1186" t="e">
        <f>RigheOfferte[[#This Row],[Q.ta'']]</f>
        <v>#VALUE!</v>
      </c>
      <c r="H1186" t="e">
        <f>RigheOfferte[[#This Row],[Lavorazione]]</f>
        <v>#VALUE!</v>
      </c>
      <c r="I1186" t="e">
        <f>RigheOfferte[[#This Row],[Colore]]</f>
        <v>#VALUE!</v>
      </c>
      <c r="J1186" t="e">
        <f>RigheOfferte[[#This Row],[Velocità]]</f>
        <v>#VALUE!</v>
      </c>
      <c r="K1186" t="e">
        <f>RigheOfferte[[#This Row],[Superf.pz Mq]]</f>
        <v>#VALUE!</v>
      </c>
      <c r="L1186" t="e">
        <f>RigheOfferte[[#This Row],[passo]]</f>
        <v>#VALUE!</v>
      </c>
      <c r="M1186" t="e">
        <f>RigheOfferte[[#This Row],[nr.pezzi Telaio]]</f>
        <v>#VALUE!</v>
      </c>
      <c r="N1186" t="e">
        <f>RigheOfferte[[#This Row],[nr.pezzi ora-unita]]</f>
        <v>#VALUE!</v>
      </c>
      <c r="O1186" t="e">
        <f>Tabella1[[#This Row],[superificie]]*Resa</f>
        <v>#VALUE!</v>
      </c>
      <c r="P1186" t="e">
        <f>Tabella1[[#This Row],[KgPezzo]]*Tabella1[[#This Row],[q.ta offerta]]</f>
        <v>#VALUE!</v>
      </c>
      <c r="Q1186" t="e">
        <f>RigheOfferte[[#This Row],[QtaProtez]]</f>
        <v>#VALUE!</v>
      </c>
      <c r="R1186" t="e">
        <f>RigheOfferte[[#This Row],[Tipo Protezione]]</f>
        <v>#VALUE!</v>
      </c>
    </row>
    <row r="1187" spans="1:18">
      <c r="A1187" t="e">
        <f>RigheOfferte[[#This Row],[Nprev]]</f>
        <v>#VALUE!</v>
      </c>
      <c r="B1187" t="e">
        <f>RigheOfferte[[#This Row],[Nriga]]</f>
        <v>#VALUE!</v>
      </c>
      <c r="C1187" t="e">
        <f>RigheOfferte[[#This Row],[Cliente]]</f>
        <v>#VALUE!</v>
      </c>
      <c r="D1187" t="e">
        <f>RigheOfferte[[#This Row],[sub_cliente]]</f>
        <v>#VALUE!</v>
      </c>
      <c r="E1187" t="e">
        <f>RigheOfferte[[#This Row],[cod.Art.]]</f>
        <v>#VALUE!</v>
      </c>
      <c r="F1187" t="e">
        <f>RigheOfferte[[#This Row],[Descrizione]]</f>
        <v>#VALUE!</v>
      </c>
      <c r="G1187" t="e">
        <f>RigheOfferte[[#This Row],[Q.ta'']]</f>
        <v>#VALUE!</v>
      </c>
      <c r="H1187" t="e">
        <f>RigheOfferte[[#This Row],[Lavorazione]]</f>
        <v>#VALUE!</v>
      </c>
      <c r="I1187" t="e">
        <f>RigheOfferte[[#This Row],[Colore]]</f>
        <v>#VALUE!</v>
      </c>
      <c r="J1187" t="e">
        <f>RigheOfferte[[#This Row],[Velocità]]</f>
        <v>#VALUE!</v>
      </c>
      <c r="K1187" t="e">
        <f>RigheOfferte[[#This Row],[Superf.pz Mq]]</f>
        <v>#VALUE!</v>
      </c>
      <c r="L1187" t="e">
        <f>RigheOfferte[[#This Row],[passo]]</f>
        <v>#VALUE!</v>
      </c>
      <c r="M1187" t="e">
        <f>RigheOfferte[[#This Row],[nr.pezzi Telaio]]</f>
        <v>#VALUE!</v>
      </c>
      <c r="N1187" t="e">
        <f>RigheOfferte[[#This Row],[nr.pezzi ora-unita]]</f>
        <v>#VALUE!</v>
      </c>
      <c r="O1187" t="e">
        <f>Tabella1[[#This Row],[superificie]]*Resa</f>
        <v>#VALUE!</v>
      </c>
      <c r="P1187" t="e">
        <f>Tabella1[[#This Row],[KgPezzo]]*Tabella1[[#This Row],[q.ta offerta]]</f>
        <v>#VALUE!</v>
      </c>
      <c r="Q1187" t="e">
        <f>RigheOfferte[[#This Row],[QtaProtez]]</f>
        <v>#VALUE!</v>
      </c>
      <c r="R1187" t="e">
        <f>RigheOfferte[[#This Row],[Tipo Protezione]]</f>
        <v>#VALUE!</v>
      </c>
    </row>
    <row r="1188" spans="1:18">
      <c r="A1188" t="e">
        <f>RigheOfferte[[#This Row],[Nprev]]</f>
        <v>#VALUE!</v>
      </c>
      <c r="B1188" t="e">
        <f>RigheOfferte[[#This Row],[Nriga]]</f>
        <v>#VALUE!</v>
      </c>
      <c r="C1188" t="e">
        <f>RigheOfferte[[#This Row],[Cliente]]</f>
        <v>#VALUE!</v>
      </c>
      <c r="D1188" t="e">
        <f>RigheOfferte[[#This Row],[sub_cliente]]</f>
        <v>#VALUE!</v>
      </c>
      <c r="E1188" t="e">
        <f>RigheOfferte[[#This Row],[cod.Art.]]</f>
        <v>#VALUE!</v>
      </c>
      <c r="F1188" t="e">
        <f>RigheOfferte[[#This Row],[Descrizione]]</f>
        <v>#VALUE!</v>
      </c>
      <c r="G1188" t="e">
        <f>RigheOfferte[[#This Row],[Q.ta'']]</f>
        <v>#VALUE!</v>
      </c>
      <c r="H1188" t="e">
        <f>RigheOfferte[[#This Row],[Lavorazione]]</f>
        <v>#VALUE!</v>
      </c>
      <c r="I1188" t="e">
        <f>RigheOfferte[[#This Row],[Colore]]</f>
        <v>#VALUE!</v>
      </c>
      <c r="J1188" t="e">
        <f>RigheOfferte[[#This Row],[Velocità]]</f>
        <v>#VALUE!</v>
      </c>
      <c r="K1188" t="e">
        <f>RigheOfferte[[#This Row],[Superf.pz Mq]]</f>
        <v>#VALUE!</v>
      </c>
      <c r="L1188" t="e">
        <f>RigheOfferte[[#This Row],[passo]]</f>
        <v>#VALUE!</v>
      </c>
      <c r="M1188" t="e">
        <f>RigheOfferte[[#This Row],[nr.pezzi Telaio]]</f>
        <v>#VALUE!</v>
      </c>
      <c r="N1188" t="e">
        <f>RigheOfferte[[#This Row],[nr.pezzi ora-unita]]</f>
        <v>#VALUE!</v>
      </c>
      <c r="O1188" t="e">
        <f>Tabella1[[#This Row],[superificie]]*Resa</f>
        <v>#VALUE!</v>
      </c>
      <c r="P1188" t="e">
        <f>Tabella1[[#This Row],[KgPezzo]]*Tabella1[[#This Row],[q.ta offerta]]</f>
        <v>#VALUE!</v>
      </c>
      <c r="Q1188" t="e">
        <f>RigheOfferte[[#This Row],[QtaProtez]]</f>
        <v>#VALUE!</v>
      </c>
      <c r="R1188" t="e">
        <f>RigheOfferte[[#This Row],[Tipo Protezione]]</f>
        <v>#VALUE!</v>
      </c>
    </row>
    <row r="1189" spans="1:18">
      <c r="A1189" t="e">
        <f>RigheOfferte[[#This Row],[Nprev]]</f>
        <v>#VALUE!</v>
      </c>
      <c r="B1189" t="e">
        <f>RigheOfferte[[#This Row],[Nriga]]</f>
        <v>#VALUE!</v>
      </c>
      <c r="C1189" t="e">
        <f>RigheOfferte[[#This Row],[Cliente]]</f>
        <v>#VALUE!</v>
      </c>
      <c r="D1189" t="e">
        <f>RigheOfferte[[#This Row],[sub_cliente]]</f>
        <v>#VALUE!</v>
      </c>
      <c r="E1189" t="e">
        <f>RigheOfferte[[#This Row],[cod.Art.]]</f>
        <v>#VALUE!</v>
      </c>
      <c r="F1189" t="e">
        <f>RigheOfferte[[#This Row],[Descrizione]]</f>
        <v>#VALUE!</v>
      </c>
      <c r="G1189" t="e">
        <f>RigheOfferte[[#This Row],[Q.ta'']]</f>
        <v>#VALUE!</v>
      </c>
      <c r="H1189" t="e">
        <f>RigheOfferte[[#This Row],[Lavorazione]]</f>
        <v>#VALUE!</v>
      </c>
      <c r="I1189" t="e">
        <f>RigheOfferte[[#This Row],[Colore]]</f>
        <v>#VALUE!</v>
      </c>
      <c r="J1189" t="e">
        <f>RigheOfferte[[#This Row],[Velocità]]</f>
        <v>#VALUE!</v>
      </c>
      <c r="K1189" t="e">
        <f>RigheOfferte[[#This Row],[Superf.pz Mq]]</f>
        <v>#VALUE!</v>
      </c>
      <c r="L1189" t="e">
        <f>RigheOfferte[[#This Row],[passo]]</f>
        <v>#VALUE!</v>
      </c>
      <c r="M1189" t="e">
        <f>RigheOfferte[[#This Row],[nr.pezzi Telaio]]</f>
        <v>#VALUE!</v>
      </c>
      <c r="N1189" t="e">
        <f>RigheOfferte[[#This Row],[nr.pezzi ora-unita]]</f>
        <v>#VALUE!</v>
      </c>
      <c r="O1189" t="e">
        <f>Tabella1[[#This Row],[superificie]]*Resa</f>
        <v>#VALUE!</v>
      </c>
      <c r="P1189" t="e">
        <f>Tabella1[[#This Row],[KgPezzo]]*Tabella1[[#This Row],[q.ta offerta]]</f>
        <v>#VALUE!</v>
      </c>
      <c r="Q1189" t="e">
        <f>RigheOfferte[[#This Row],[QtaProtez]]</f>
        <v>#VALUE!</v>
      </c>
      <c r="R1189" t="e">
        <f>RigheOfferte[[#This Row],[Tipo Protezione]]</f>
        <v>#VALUE!</v>
      </c>
    </row>
    <row r="1190" spans="1:18">
      <c r="A1190" t="e">
        <f>RigheOfferte[[#This Row],[Nprev]]</f>
        <v>#VALUE!</v>
      </c>
      <c r="B1190" t="e">
        <f>RigheOfferte[[#This Row],[Nriga]]</f>
        <v>#VALUE!</v>
      </c>
      <c r="C1190" t="e">
        <f>RigheOfferte[[#This Row],[Cliente]]</f>
        <v>#VALUE!</v>
      </c>
      <c r="D1190" t="e">
        <f>RigheOfferte[[#This Row],[sub_cliente]]</f>
        <v>#VALUE!</v>
      </c>
      <c r="E1190" t="e">
        <f>RigheOfferte[[#This Row],[cod.Art.]]</f>
        <v>#VALUE!</v>
      </c>
      <c r="F1190" t="e">
        <f>RigheOfferte[[#This Row],[Descrizione]]</f>
        <v>#VALUE!</v>
      </c>
      <c r="G1190" t="e">
        <f>RigheOfferte[[#This Row],[Q.ta'']]</f>
        <v>#VALUE!</v>
      </c>
      <c r="H1190" t="e">
        <f>RigheOfferte[[#This Row],[Lavorazione]]</f>
        <v>#VALUE!</v>
      </c>
      <c r="I1190" t="e">
        <f>RigheOfferte[[#This Row],[Colore]]</f>
        <v>#VALUE!</v>
      </c>
      <c r="J1190" t="e">
        <f>RigheOfferte[[#This Row],[Velocità]]</f>
        <v>#VALUE!</v>
      </c>
      <c r="K1190" t="e">
        <f>RigheOfferte[[#This Row],[Superf.pz Mq]]</f>
        <v>#VALUE!</v>
      </c>
      <c r="L1190" t="e">
        <f>RigheOfferte[[#This Row],[passo]]</f>
        <v>#VALUE!</v>
      </c>
      <c r="M1190" t="e">
        <f>RigheOfferte[[#This Row],[nr.pezzi Telaio]]</f>
        <v>#VALUE!</v>
      </c>
      <c r="N1190" t="e">
        <f>RigheOfferte[[#This Row],[nr.pezzi ora-unita]]</f>
        <v>#VALUE!</v>
      </c>
      <c r="O1190" t="e">
        <f>Tabella1[[#This Row],[superificie]]*Resa</f>
        <v>#VALUE!</v>
      </c>
      <c r="P1190" t="e">
        <f>Tabella1[[#This Row],[KgPezzo]]*Tabella1[[#This Row],[q.ta offerta]]</f>
        <v>#VALUE!</v>
      </c>
      <c r="Q1190" t="e">
        <f>RigheOfferte[[#This Row],[QtaProtez]]</f>
        <v>#VALUE!</v>
      </c>
      <c r="R1190" t="e">
        <f>RigheOfferte[[#This Row],[Tipo Protezione]]</f>
        <v>#VALUE!</v>
      </c>
    </row>
    <row r="1191" spans="1:18">
      <c r="A1191" t="e">
        <f>RigheOfferte[[#This Row],[Nprev]]</f>
        <v>#VALUE!</v>
      </c>
      <c r="B1191" t="e">
        <f>RigheOfferte[[#This Row],[Nriga]]</f>
        <v>#VALUE!</v>
      </c>
      <c r="C1191" t="e">
        <f>RigheOfferte[[#This Row],[Cliente]]</f>
        <v>#VALUE!</v>
      </c>
      <c r="D1191" t="e">
        <f>RigheOfferte[[#This Row],[sub_cliente]]</f>
        <v>#VALUE!</v>
      </c>
      <c r="E1191" t="e">
        <f>RigheOfferte[[#This Row],[cod.Art.]]</f>
        <v>#VALUE!</v>
      </c>
      <c r="F1191" t="e">
        <f>RigheOfferte[[#This Row],[Descrizione]]</f>
        <v>#VALUE!</v>
      </c>
      <c r="G1191" t="e">
        <f>RigheOfferte[[#This Row],[Q.ta'']]</f>
        <v>#VALUE!</v>
      </c>
      <c r="H1191" t="e">
        <f>RigheOfferte[[#This Row],[Lavorazione]]</f>
        <v>#VALUE!</v>
      </c>
      <c r="I1191" t="e">
        <f>RigheOfferte[[#This Row],[Colore]]</f>
        <v>#VALUE!</v>
      </c>
      <c r="J1191" t="e">
        <f>RigheOfferte[[#This Row],[Velocità]]</f>
        <v>#VALUE!</v>
      </c>
      <c r="K1191" t="e">
        <f>RigheOfferte[[#This Row],[Superf.pz Mq]]</f>
        <v>#VALUE!</v>
      </c>
      <c r="L1191" t="e">
        <f>RigheOfferte[[#This Row],[passo]]</f>
        <v>#VALUE!</v>
      </c>
      <c r="M1191" t="e">
        <f>RigheOfferte[[#This Row],[nr.pezzi Telaio]]</f>
        <v>#VALUE!</v>
      </c>
      <c r="N1191" t="e">
        <f>RigheOfferte[[#This Row],[nr.pezzi ora-unita]]</f>
        <v>#VALUE!</v>
      </c>
      <c r="O1191" t="e">
        <f>Tabella1[[#This Row],[superificie]]*Resa</f>
        <v>#VALUE!</v>
      </c>
      <c r="P1191" t="e">
        <f>Tabella1[[#This Row],[KgPezzo]]*Tabella1[[#This Row],[q.ta offerta]]</f>
        <v>#VALUE!</v>
      </c>
      <c r="Q1191" t="e">
        <f>RigheOfferte[[#This Row],[QtaProtez]]</f>
        <v>#VALUE!</v>
      </c>
      <c r="R1191" t="e">
        <f>RigheOfferte[[#This Row],[Tipo Protezione]]</f>
        <v>#VALUE!</v>
      </c>
    </row>
    <row r="1192" spans="1:18">
      <c r="A1192" t="e">
        <f>RigheOfferte[[#This Row],[Nprev]]</f>
        <v>#VALUE!</v>
      </c>
      <c r="B1192" t="e">
        <f>RigheOfferte[[#This Row],[Nriga]]</f>
        <v>#VALUE!</v>
      </c>
      <c r="C1192" t="e">
        <f>RigheOfferte[[#This Row],[Cliente]]</f>
        <v>#VALUE!</v>
      </c>
      <c r="D1192" t="e">
        <f>RigheOfferte[[#This Row],[sub_cliente]]</f>
        <v>#VALUE!</v>
      </c>
      <c r="E1192" t="e">
        <f>RigheOfferte[[#This Row],[cod.Art.]]</f>
        <v>#VALUE!</v>
      </c>
      <c r="F1192" t="e">
        <f>RigheOfferte[[#This Row],[Descrizione]]</f>
        <v>#VALUE!</v>
      </c>
      <c r="G1192" t="e">
        <f>RigheOfferte[[#This Row],[Q.ta'']]</f>
        <v>#VALUE!</v>
      </c>
      <c r="H1192" t="e">
        <f>RigheOfferte[[#This Row],[Lavorazione]]</f>
        <v>#VALUE!</v>
      </c>
      <c r="I1192" t="e">
        <f>RigheOfferte[[#This Row],[Colore]]</f>
        <v>#VALUE!</v>
      </c>
      <c r="J1192" t="e">
        <f>RigheOfferte[[#This Row],[Velocità]]</f>
        <v>#VALUE!</v>
      </c>
      <c r="K1192" t="e">
        <f>RigheOfferte[[#This Row],[Superf.pz Mq]]</f>
        <v>#VALUE!</v>
      </c>
      <c r="L1192" t="e">
        <f>RigheOfferte[[#This Row],[passo]]</f>
        <v>#VALUE!</v>
      </c>
      <c r="M1192" t="e">
        <f>RigheOfferte[[#This Row],[nr.pezzi Telaio]]</f>
        <v>#VALUE!</v>
      </c>
      <c r="N1192" t="e">
        <f>RigheOfferte[[#This Row],[nr.pezzi ora-unita]]</f>
        <v>#VALUE!</v>
      </c>
      <c r="O1192" t="e">
        <f>Tabella1[[#This Row],[superificie]]*Resa</f>
        <v>#VALUE!</v>
      </c>
      <c r="P1192" t="e">
        <f>Tabella1[[#This Row],[KgPezzo]]*Tabella1[[#This Row],[q.ta offerta]]</f>
        <v>#VALUE!</v>
      </c>
      <c r="Q1192" t="e">
        <f>RigheOfferte[[#This Row],[QtaProtez]]</f>
        <v>#VALUE!</v>
      </c>
      <c r="R1192" t="e">
        <f>RigheOfferte[[#This Row],[Tipo Protezione]]</f>
        <v>#VALUE!</v>
      </c>
    </row>
    <row r="1193" spans="1:18">
      <c r="A1193" t="e">
        <f>RigheOfferte[[#This Row],[Nprev]]</f>
        <v>#VALUE!</v>
      </c>
      <c r="B1193" t="e">
        <f>RigheOfferte[[#This Row],[Nriga]]</f>
        <v>#VALUE!</v>
      </c>
      <c r="C1193" t="e">
        <f>RigheOfferte[[#This Row],[Cliente]]</f>
        <v>#VALUE!</v>
      </c>
      <c r="D1193" t="e">
        <f>RigheOfferte[[#This Row],[sub_cliente]]</f>
        <v>#VALUE!</v>
      </c>
      <c r="E1193" t="e">
        <f>RigheOfferte[[#This Row],[cod.Art.]]</f>
        <v>#VALUE!</v>
      </c>
      <c r="F1193" t="e">
        <f>RigheOfferte[[#This Row],[Descrizione]]</f>
        <v>#VALUE!</v>
      </c>
      <c r="G1193" t="e">
        <f>RigheOfferte[[#This Row],[Q.ta'']]</f>
        <v>#VALUE!</v>
      </c>
      <c r="H1193" t="e">
        <f>RigheOfferte[[#This Row],[Lavorazione]]</f>
        <v>#VALUE!</v>
      </c>
      <c r="I1193" t="e">
        <f>RigheOfferte[[#This Row],[Colore]]</f>
        <v>#VALUE!</v>
      </c>
      <c r="J1193" t="e">
        <f>RigheOfferte[[#This Row],[Velocità]]</f>
        <v>#VALUE!</v>
      </c>
      <c r="K1193" t="e">
        <f>RigheOfferte[[#This Row],[Superf.pz Mq]]</f>
        <v>#VALUE!</v>
      </c>
      <c r="L1193" t="e">
        <f>RigheOfferte[[#This Row],[passo]]</f>
        <v>#VALUE!</v>
      </c>
      <c r="M1193" t="e">
        <f>RigheOfferte[[#This Row],[nr.pezzi Telaio]]</f>
        <v>#VALUE!</v>
      </c>
      <c r="N1193" t="e">
        <f>RigheOfferte[[#This Row],[nr.pezzi ora-unita]]</f>
        <v>#VALUE!</v>
      </c>
      <c r="O1193" t="e">
        <f>Tabella1[[#This Row],[superificie]]*Resa</f>
        <v>#VALUE!</v>
      </c>
      <c r="P1193" t="e">
        <f>Tabella1[[#This Row],[KgPezzo]]*Tabella1[[#This Row],[q.ta offerta]]</f>
        <v>#VALUE!</v>
      </c>
      <c r="Q1193" t="e">
        <f>RigheOfferte[[#This Row],[QtaProtez]]</f>
        <v>#VALUE!</v>
      </c>
      <c r="R1193" t="e">
        <f>RigheOfferte[[#This Row],[Tipo Protezione]]</f>
        <v>#VALUE!</v>
      </c>
    </row>
    <row r="1194" spans="1:18">
      <c r="A1194" t="e">
        <f>RigheOfferte[[#This Row],[Nprev]]</f>
        <v>#VALUE!</v>
      </c>
      <c r="B1194" t="e">
        <f>RigheOfferte[[#This Row],[Nriga]]</f>
        <v>#VALUE!</v>
      </c>
      <c r="C1194" t="e">
        <f>RigheOfferte[[#This Row],[Cliente]]</f>
        <v>#VALUE!</v>
      </c>
      <c r="D1194" t="e">
        <f>RigheOfferte[[#This Row],[sub_cliente]]</f>
        <v>#VALUE!</v>
      </c>
      <c r="E1194" t="e">
        <f>RigheOfferte[[#This Row],[cod.Art.]]</f>
        <v>#VALUE!</v>
      </c>
      <c r="F1194" t="e">
        <f>RigheOfferte[[#This Row],[Descrizione]]</f>
        <v>#VALUE!</v>
      </c>
      <c r="G1194" t="e">
        <f>RigheOfferte[[#This Row],[Q.ta'']]</f>
        <v>#VALUE!</v>
      </c>
      <c r="H1194" t="e">
        <f>RigheOfferte[[#This Row],[Lavorazione]]</f>
        <v>#VALUE!</v>
      </c>
      <c r="I1194" t="e">
        <f>RigheOfferte[[#This Row],[Colore]]</f>
        <v>#VALUE!</v>
      </c>
      <c r="J1194" t="e">
        <f>RigheOfferte[[#This Row],[Velocità]]</f>
        <v>#VALUE!</v>
      </c>
      <c r="K1194" t="e">
        <f>RigheOfferte[[#This Row],[Superf.pz Mq]]</f>
        <v>#VALUE!</v>
      </c>
      <c r="L1194" t="e">
        <f>RigheOfferte[[#This Row],[passo]]</f>
        <v>#VALUE!</v>
      </c>
      <c r="M1194" t="e">
        <f>RigheOfferte[[#This Row],[nr.pezzi Telaio]]</f>
        <v>#VALUE!</v>
      </c>
      <c r="N1194" t="e">
        <f>RigheOfferte[[#This Row],[nr.pezzi ora-unita]]</f>
        <v>#VALUE!</v>
      </c>
      <c r="O1194" t="e">
        <f>Tabella1[[#This Row],[superificie]]*Resa</f>
        <v>#VALUE!</v>
      </c>
      <c r="P1194" t="e">
        <f>Tabella1[[#This Row],[KgPezzo]]*Tabella1[[#This Row],[q.ta offerta]]</f>
        <v>#VALUE!</v>
      </c>
      <c r="Q1194" t="e">
        <f>RigheOfferte[[#This Row],[QtaProtez]]</f>
        <v>#VALUE!</v>
      </c>
      <c r="R1194" t="e">
        <f>RigheOfferte[[#This Row],[Tipo Protezione]]</f>
        <v>#VALUE!</v>
      </c>
    </row>
    <row r="1195" spans="1:18">
      <c r="A1195" t="e">
        <f>RigheOfferte[[#This Row],[Nprev]]</f>
        <v>#VALUE!</v>
      </c>
      <c r="B1195" t="e">
        <f>RigheOfferte[[#This Row],[Nriga]]</f>
        <v>#VALUE!</v>
      </c>
      <c r="C1195" t="e">
        <f>RigheOfferte[[#This Row],[Cliente]]</f>
        <v>#VALUE!</v>
      </c>
      <c r="D1195" t="e">
        <f>RigheOfferte[[#This Row],[sub_cliente]]</f>
        <v>#VALUE!</v>
      </c>
      <c r="E1195" t="e">
        <f>RigheOfferte[[#This Row],[cod.Art.]]</f>
        <v>#VALUE!</v>
      </c>
      <c r="F1195" t="e">
        <f>RigheOfferte[[#This Row],[Descrizione]]</f>
        <v>#VALUE!</v>
      </c>
      <c r="G1195" t="e">
        <f>RigheOfferte[[#This Row],[Q.ta'']]</f>
        <v>#VALUE!</v>
      </c>
      <c r="H1195" t="e">
        <f>RigheOfferte[[#This Row],[Lavorazione]]</f>
        <v>#VALUE!</v>
      </c>
      <c r="I1195" t="e">
        <f>RigheOfferte[[#This Row],[Colore]]</f>
        <v>#VALUE!</v>
      </c>
      <c r="J1195" t="e">
        <f>RigheOfferte[[#This Row],[Velocità]]</f>
        <v>#VALUE!</v>
      </c>
      <c r="K1195" t="e">
        <f>RigheOfferte[[#This Row],[Superf.pz Mq]]</f>
        <v>#VALUE!</v>
      </c>
      <c r="L1195" t="e">
        <f>RigheOfferte[[#This Row],[passo]]</f>
        <v>#VALUE!</v>
      </c>
      <c r="M1195" t="e">
        <f>RigheOfferte[[#This Row],[nr.pezzi Telaio]]</f>
        <v>#VALUE!</v>
      </c>
      <c r="N1195" t="e">
        <f>RigheOfferte[[#This Row],[nr.pezzi ora-unita]]</f>
        <v>#VALUE!</v>
      </c>
      <c r="O1195" t="e">
        <f>Tabella1[[#This Row],[superificie]]*Resa</f>
        <v>#VALUE!</v>
      </c>
      <c r="P1195" t="e">
        <f>Tabella1[[#This Row],[KgPezzo]]*Tabella1[[#This Row],[q.ta offerta]]</f>
        <v>#VALUE!</v>
      </c>
      <c r="Q1195" t="e">
        <f>RigheOfferte[[#This Row],[QtaProtez]]</f>
        <v>#VALUE!</v>
      </c>
      <c r="R1195" t="e">
        <f>RigheOfferte[[#This Row],[Tipo Protezione]]</f>
        <v>#VALUE!</v>
      </c>
    </row>
    <row r="1196" spans="1:18">
      <c r="A1196" t="e">
        <f>RigheOfferte[[#This Row],[Nprev]]</f>
        <v>#VALUE!</v>
      </c>
      <c r="B1196" t="e">
        <f>RigheOfferte[[#This Row],[Nriga]]</f>
        <v>#VALUE!</v>
      </c>
      <c r="C1196" t="e">
        <f>RigheOfferte[[#This Row],[Cliente]]</f>
        <v>#VALUE!</v>
      </c>
      <c r="D1196" t="e">
        <f>RigheOfferte[[#This Row],[sub_cliente]]</f>
        <v>#VALUE!</v>
      </c>
      <c r="E1196" t="e">
        <f>RigheOfferte[[#This Row],[cod.Art.]]</f>
        <v>#VALUE!</v>
      </c>
      <c r="F1196" t="e">
        <f>RigheOfferte[[#This Row],[Descrizione]]</f>
        <v>#VALUE!</v>
      </c>
      <c r="G1196" t="e">
        <f>RigheOfferte[[#This Row],[Q.ta'']]</f>
        <v>#VALUE!</v>
      </c>
      <c r="H1196" t="e">
        <f>RigheOfferte[[#This Row],[Lavorazione]]</f>
        <v>#VALUE!</v>
      </c>
      <c r="I1196" t="e">
        <f>RigheOfferte[[#This Row],[Colore]]</f>
        <v>#VALUE!</v>
      </c>
      <c r="J1196" t="e">
        <f>RigheOfferte[[#This Row],[Velocità]]</f>
        <v>#VALUE!</v>
      </c>
      <c r="K1196" t="e">
        <f>RigheOfferte[[#This Row],[Superf.pz Mq]]</f>
        <v>#VALUE!</v>
      </c>
      <c r="L1196" t="e">
        <f>RigheOfferte[[#This Row],[passo]]</f>
        <v>#VALUE!</v>
      </c>
      <c r="M1196" t="e">
        <f>RigheOfferte[[#This Row],[nr.pezzi Telaio]]</f>
        <v>#VALUE!</v>
      </c>
      <c r="N1196" t="e">
        <f>RigheOfferte[[#This Row],[nr.pezzi ora-unita]]</f>
        <v>#VALUE!</v>
      </c>
      <c r="O1196" t="e">
        <f>Tabella1[[#This Row],[superificie]]*Resa</f>
        <v>#VALUE!</v>
      </c>
      <c r="P1196" t="e">
        <f>Tabella1[[#This Row],[KgPezzo]]*Tabella1[[#This Row],[q.ta offerta]]</f>
        <v>#VALUE!</v>
      </c>
      <c r="Q1196" t="e">
        <f>RigheOfferte[[#This Row],[QtaProtez]]</f>
        <v>#VALUE!</v>
      </c>
      <c r="R1196" t="e">
        <f>RigheOfferte[[#This Row],[Tipo Protezione]]</f>
        <v>#VALUE!</v>
      </c>
    </row>
    <row r="1197" spans="1:18">
      <c r="A1197" t="e">
        <f>RigheOfferte[[#This Row],[Nprev]]</f>
        <v>#VALUE!</v>
      </c>
      <c r="B1197" t="e">
        <f>RigheOfferte[[#This Row],[Nriga]]</f>
        <v>#VALUE!</v>
      </c>
      <c r="C1197" t="e">
        <f>RigheOfferte[[#This Row],[Cliente]]</f>
        <v>#VALUE!</v>
      </c>
      <c r="D1197" t="e">
        <f>RigheOfferte[[#This Row],[sub_cliente]]</f>
        <v>#VALUE!</v>
      </c>
      <c r="E1197" t="e">
        <f>RigheOfferte[[#This Row],[cod.Art.]]</f>
        <v>#VALUE!</v>
      </c>
      <c r="F1197" t="e">
        <f>RigheOfferte[[#This Row],[Descrizione]]</f>
        <v>#VALUE!</v>
      </c>
      <c r="G1197" t="e">
        <f>RigheOfferte[[#This Row],[Q.ta'']]</f>
        <v>#VALUE!</v>
      </c>
      <c r="H1197" t="e">
        <f>RigheOfferte[[#This Row],[Lavorazione]]</f>
        <v>#VALUE!</v>
      </c>
      <c r="I1197" t="e">
        <f>RigheOfferte[[#This Row],[Colore]]</f>
        <v>#VALUE!</v>
      </c>
      <c r="J1197" t="e">
        <f>RigheOfferte[[#This Row],[Velocità]]</f>
        <v>#VALUE!</v>
      </c>
      <c r="K1197" t="e">
        <f>RigheOfferte[[#This Row],[Superf.pz Mq]]</f>
        <v>#VALUE!</v>
      </c>
      <c r="L1197" t="e">
        <f>RigheOfferte[[#This Row],[passo]]</f>
        <v>#VALUE!</v>
      </c>
      <c r="M1197" t="e">
        <f>RigheOfferte[[#This Row],[nr.pezzi Telaio]]</f>
        <v>#VALUE!</v>
      </c>
      <c r="N1197" t="e">
        <f>RigheOfferte[[#This Row],[nr.pezzi ora-unita]]</f>
        <v>#VALUE!</v>
      </c>
      <c r="O1197" t="e">
        <f>Tabella1[[#This Row],[superificie]]*Resa</f>
        <v>#VALUE!</v>
      </c>
      <c r="P1197" t="e">
        <f>Tabella1[[#This Row],[KgPezzo]]*Tabella1[[#This Row],[q.ta offerta]]</f>
        <v>#VALUE!</v>
      </c>
      <c r="Q1197" t="e">
        <f>RigheOfferte[[#This Row],[QtaProtez]]</f>
        <v>#VALUE!</v>
      </c>
      <c r="R1197" t="e">
        <f>RigheOfferte[[#This Row],[Tipo Protezione]]</f>
        <v>#VALUE!</v>
      </c>
    </row>
    <row r="1198" spans="1:18">
      <c r="A1198" t="e">
        <f>RigheOfferte[[#This Row],[Nprev]]</f>
        <v>#VALUE!</v>
      </c>
      <c r="B1198" t="e">
        <f>RigheOfferte[[#This Row],[Nriga]]</f>
        <v>#VALUE!</v>
      </c>
      <c r="C1198" t="e">
        <f>RigheOfferte[[#This Row],[Cliente]]</f>
        <v>#VALUE!</v>
      </c>
      <c r="D1198" t="e">
        <f>RigheOfferte[[#This Row],[sub_cliente]]</f>
        <v>#VALUE!</v>
      </c>
      <c r="E1198" t="e">
        <f>RigheOfferte[[#This Row],[cod.Art.]]</f>
        <v>#VALUE!</v>
      </c>
      <c r="F1198" t="e">
        <f>RigheOfferte[[#This Row],[Descrizione]]</f>
        <v>#VALUE!</v>
      </c>
      <c r="G1198" t="e">
        <f>RigheOfferte[[#This Row],[Q.ta'']]</f>
        <v>#VALUE!</v>
      </c>
      <c r="H1198" t="e">
        <f>RigheOfferte[[#This Row],[Lavorazione]]</f>
        <v>#VALUE!</v>
      </c>
      <c r="I1198" t="e">
        <f>RigheOfferte[[#This Row],[Colore]]</f>
        <v>#VALUE!</v>
      </c>
      <c r="J1198" t="e">
        <f>RigheOfferte[[#This Row],[Velocità]]</f>
        <v>#VALUE!</v>
      </c>
      <c r="K1198" t="e">
        <f>RigheOfferte[[#This Row],[Superf.pz Mq]]</f>
        <v>#VALUE!</v>
      </c>
      <c r="L1198" t="e">
        <f>RigheOfferte[[#This Row],[passo]]</f>
        <v>#VALUE!</v>
      </c>
      <c r="M1198" t="e">
        <f>RigheOfferte[[#This Row],[nr.pezzi Telaio]]</f>
        <v>#VALUE!</v>
      </c>
      <c r="N1198" t="e">
        <f>RigheOfferte[[#This Row],[nr.pezzi ora-unita]]</f>
        <v>#VALUE!</v>
      </c>
      <c r="O1198" t="e">
        <f>Tabella1[[#This Row],[superificie]]*Resa</f>
        <v>#VALUE!</v>
      </c>
      <c r="P1198" t="e">
        <f>Tabella1[[#This Row],[KgPezzo]]*Tabella1[[#This Row],[q.ta offerta]]</f>
        <v>#VALUE!</v>
      </c>
      <c r="Q1198" t="e">
        <f>RigheOfferte[[#This Row],[QtaProtez]]</f>
        <v>#VALUE!</v>
      </c>
      <c r="R1198" t="e">
        <f>RigheOfferte[[#This Row],[Tipo Protezione]]</f>
        <v>#VALUE!</v>
      </c>
    </row>
    <row r="1199" spans="1:18">
      <c r="A1199" t="e">
        <f>RigheOfferte[[#This Row],[Nprev]]</f>
        <v>#VALUE!</v>
      </c>
      <c r="B1199" t="e">
        <f>RigheOfferte[[#This Row],[Nriga]]</f>
        <v>#VALUE!</v>
      </c>
      <c r="C1199" t="e">
        <f>RigheOfferte[[#This Row],[Cliente]]</f>
        <v>#VALUE!</v>
      </c>
      <c r="D1199" t="e">
        <f>RigheOfferte[[#This Row],[sub_cliente]]</f>
        <v>#VALUE!</v>
      </c>
      <c r="E1199" t="e">
        <f>RigheOfferte[[#This Row],[cod.Art.]]</f>
        <v>#VALUE!</v>
      </c>
      <c r="F1199" t="e">
        <f>RigheOfferte[[#This Row],[Descrizione]]</f>
        <v>#VALUE!</v>
      </c>
      <c r="G1199" t="e">
        <f>RigheOfferte[[#This Row],[Q.ta'']]</f>
        <v>#VALUE!</v>
      </c>
      <c r="H1199" t="e">
        <f>RigheOfferte[[#This Row],[Lavorazione]]</f>
        <v>#VALUE!</v>
      </c>
      <c r="I1199" t="e">
        <f>RigheOfferte[[#This Row],[Colore]]</f>
        <v>#VALUE!</v>
      </c>
      <c r="J1199" t="e">
        <f>RigheOfferte[[#This Row],[Velocità]]</f>
        <v>#VALUE!</v>
      </c>
      <c r="K1199" t="e">
        <f>RigheOfferte[[#This Row],[Superf.pz Mq]]</f>
        <v>#VALUE!</v>
      </c>
      <c r="L1199" t="e">
        <f>RigheOfferte[[#This Row],[passo]]</f>
        <v>#VALUE!</v>
      </c>
      <c r="M1199" t="e">
        <f>RigheOfferte[[#This Row],[nr.pezzi Telaio]]</f>
        <v>#VALUE!</v>
      </c>
      <c r="N1199" t="e">
        <f>RigheOfferte[[#This Row],[nr.pezzi ora-unita]]</f>
        <v>#VALUE!</v>
      </c>
      <c r="O1199" t="e">
        <f>Tabella1[[#This Row],[superificie]]*Resa</f>
        <v>#VALUE!</v>
      </c>
      <c r="P1199" t="e">
        <f>Tabella1[[#This Row],[KgPezzo]]*Tabella1[[#This Row],[q.ta offerta]]</f>
        <v>#VALUE!</v>
      </c>
      <c r="Q1199" t="e">
        <f>RigheOfferte[[#This Row],[QtaProtez]]</f>
        <v>#VALUE!</v>
      </c>
      <c r="R1199" t="e">
        <f>RigheOfferte[[#This Row],[Tipo Protezione]]</f>
        <v>#VALUE!</v>
      </c>
    </row>
    <row r="1200" spans="1:18">
      <c r="A1200" t="e">
        <f>RigheOfferte[[#This Row],[Nprev]]</f>
        <v>#VALUE!</v>
      </c>
      <c r="B1200" t="e">
        <f>RigheOfferte[[#This Row],[Nriga]]</f>
        <v>#VALUE!</v>
      </c>
      <c r="C1200" t="e">
        <f>RigheOfferte[[#This Row],[Cliente]]</f>
        <v>#VALUE!</v>
      </c>
      <c r="D1200" t="e">
        <f>RigheOfferte[[#This Row],[sub_cliente]]</f>
        <v>#VALUE!</v>
      </c>
      <c r="E1200" t="e">
        <f>RigheOfferte[[#This Row],[cod.Art.]]</f>
        <v>#VALUE!</v>
      </c>
      <c r="F1200" t="e">
        <f>RigheOfferte[[#This Row],[Descrizione]]</f>
        <v>#VALUE!</v>
      </c>
      <c r="G1200" t="e">
        <f>RigheOfferte[[#This Row],[Q.ta'']]</f>
        <v>#VALUE!</v>
      </c>
      <c r="H1200" t="e">
        <f>RigheOfferte[[#This Row],[Lavorazione]]</f>
        <v>#VALUE!</v>
      </c>
      <c r="I1200" t="e">
        <f>RigheOfferte[[#This Row],[Colore]]</f>
        <v>#VALUE!</v>
      </c>
      <c r="J1200" t="e">
        <f>RigheOfferte[[#This Row],[Velocità]]</f>
        <v>#VALUE!</v>
      </c>
      <c r="K1200" t="e">
        <f>RigheOfferte[[#This Row],[Superf.pz Mq]]</f>
        <v>#VALUE!</v>
      </c>
      <c r="L1200" t="e">
        <f>RigheOfferte[[#This Row],[passo]]</f>
        <v>#VALUE!</v>
      </c>
      <c r="M1200" t="e">
        <f>RigheOfferte[[#This Row],[nr.pezzi Telaio]]</f>
        <v>#VALUE!</v>
      </c>
      <c r="N1200" t="e">
        <f>RigheOfferte[[#This Row],[nr.pezzi ora-unita]]</f>
        <v>#VALUE!</v>
      </c>
      <c r="O1200" t="e">
        <f>Tabella1[[#This Row],[superificie]]*Resa</f>
        <v>#VALUE!</v>
      </c>
      <c r="P1200" t="e">
        <f>Tabella1[[#This Row],[KgPezzo]]*Tabella1[[#This Row],[q.ta offerta]]</f>
        <v>#VALUE!</v>
      </c>
      <c r="Q1200" t="e">
        <f>RigheOfferte[[#This Row],[QtaProtez]]</f>
        <v>#VALUE!</v>
      </c>
      <c r="R1200" t="e">
        <f>RigheOfferte[[#This Row],[Tipo Protezione]]</f>
        <v>#VALUE!</v>
      </c>
    </row>
    <row r="1201" spans="1:18">
      <c r="A1201" t="e">
        <f>RigheOfferte[[#This Row],[Nprev]]</f>
        <v>#VALUE!</v>
      </c>
      <c r="B1201" t="e">
        <f>RigheOfferte[[#This Row],[Nriga]]</f>
        <v>#VALUE!</v>
      </c>
      <c r="C1201" t="e">
        <f>RigheOfferte[[#This Row],[Cliente]]</f>
        <v>#VALUE!</v>
      </c>
      <c r="D1201" t="e">
        <f>RigheOfferte[[#This Row],[sub_cliente]]</f>
        <v>#VALUE!</v>
      </c>
      <c r="E1201" t="e">
        <f>RigheOfferte[[#This Row],[cod.Art.]]</f>
        <v>#VALUE!</v>
      </c>
      <c r="F1201" t="e">
        <f>RigheOfferte[[#This Row],[Descrizione]]</f>
        <v>#VALUE!</v>
      </c>
      <c r="G1201" t="e">
        <f>RigheOfferte[[#This Row],[Q.ta'']]</f>
        <v>#VALUE!</v>
      </c>
      <c r="H1201" t="e">
        <f>RigheOfferte[[#This Row],[Lavorazione]]</f>
        <v>#VALUE!</v>
      </c>
      <c r="I1201" t="e">
        <f>RigheOfferte[[#This Row],[Colore]]</f>
        <v>#VALUE!</v>
      </c>
      <c r="J1201" t="e">
        <f>RigheOfferte[[#This Row],[Velocità]]</f>
        <v>#VALUE!</v>
      </c>
      <c r="K1201" t="e">
        <f>RigheOfferte[[#This Row],[Superf.pz Mq]]</f>
        <v>#VALUE!</v>
      </c>
      <c r="L1201" t="e">
        <f>RigheOfferte[[#This Row],[passo]]</f>
        <v>#VALUE!</v>
      </c>
      <c r="M1201" t="e">
        <f>RigheOfferte[[#This Row],[nr.pezzi Telaio]]</f>
        <v>#VALUE!</v>
      </c>
      <c r="N1201" t="e">
        <f>RigheOfferte[[#This Row],[nr.pezzi ora-unita]]</f>
        <v>#VALUE!</v>
      </c>
      <c r="O1201" t="e">
        <f>Tabella1[[#This Row],[superificie]]*Resa</f>
        <v>#VALUE!</v>
      </c>
      <c r="P1201" t="e">
        <f>Tabella1[[#This Row],[KgPezzo]]*Tabella1[[#This Row],[q.ta offerta]]</f>
        <v>#VALUE!</v>
      </c>
      <c r="Q1201" t="e">
        <f>RigheOfferte[[#This Row],[QtaProtez]]</f>
        <v>#VALUE!</v>
      </c>
      <c r="R1201" t="e">
        <f>RigheOfferte[[#This Row],[Tipo Protezione]]</f>
        <v>#VALUE!</v>
      </c>
    </row>
    <row r="1202" spans="1:18">
      <c r="A1202" t="e">
        <f>RigheOfferte[[#This Row],[Nprev]]</f>
        <v>#VALUE!</v>
      </c>
      <c r="B1202" t="e">
        <f>RigheOfferte[[#This Row],[Nriga]]</f>
        <v>#VALUE!</v>
      </c>
      <c r="C1202" t="e">
        <f>RigheOfferte[[#This Row],[Cliente]]</f>
        <v>#VALUE!</v>
      </c>
      <c r="D1202" t="e">
        <f>RigheOfferte[[#This Row],[sub_cliente]]</f>
        <v>#VALUE!</v>
      </c>
      <c r="E1202" t="e">
        <f>RigheOfferte[[#This Row],[cod.Art.]]</f>
        <v>#VALUE!</v>
      </c>
      <c r="F1202" t="e">
        <f>RigheOfferte[[#This Row],[Descrizione]]</f>
        <v>#VALUE!</v>
      </c>
      <c r="G1202" t="e">
        <f>RigheOfferte[[#This Row],[Q.ta'']]</f>
        <v>#VALUE!</v>
      </c>
      <c r="H1202" t="e">
        <f>RigheOfferte[[#This Row],[Lavorazione]]</f>
        <v>#VALUE!</v>
      </c>
      <c r="I1202" t="e">
        <f>RigheOfferte[[#This Row],[Colore]]</f>
        <v>#VALUE!</v>
      </c>
      <c r="J1202" t="e">
        <f>RigheOfferte[[#This Row],[Velocità]]</f>
        <v>#VALUE!</v>
      </c>
      <c r="K1202" t="e">
        <f>RigheOfferte[[#This Row],[Superf.pz Mq]]</f>
        <v>#VALUE!</v>
      </c>
      <c r="L1202" t="e">
        <f>RigheOfferte[[#This Row],[passo]]</f>
        <v>#VALUE!</v>
      </c>
      <c r="M1202" t="e">
        <f>RigheOfferte[[#This Row],[nr.pezzi Telaio]]</f>
        <v>#VALUE!</v>
      </c>
      <c r="N1202" t="e">
        <f>RigheOfferte[[#This Row],[nr.pezzi ora-unita]]</f>
        <v>#VALUE!</v>
      </c>
      <c r="O1202" t="e">
        <f>Tabella1[[#This Row],[superificie]]*Resa</f>
        <v>#VALUE!</v>
      </c>
      <c r="P1202" t="e">
        <f>Tabella1[[#This Row],[KgPezzo]]*Tabella1[[#This Row],[q.ta offerta]]</f>
        <v>#VALUE!</v>
      </c>
      <c r="Q1202" t="e">
        <f>RigheOfferte[[#This Row],[QtaProtez]]</f>
        <v>#VALUE!</v>
      </c>
      <c r="R1202" t="e">
        <f>RigheOfferte[[#This Row],[Tipo Protezione]]</f>
        <v>#VALUE!</v>
      </c>
    </row>
    <row r="1203" spans="1:18">
      <c r="A1203" t="e">
        <f>RigheOfferte[[#This Row],[Nprev]]</f>
        <v>#VALUE!</v>
      </c>
      <c r="B1203" t="e">
        <f>RigheOfferte[[#This Row],[Nriga]]</f>
        <v>#VALUE!</v>
      </c>
      <c r="C1203" t="e">
        <f>RigheOfferte[[#This Row],[Cliente]]</f>
        <v>#VALUE!</v>
      </c>
      <c r="D1203" t="e">
        <f>RigheOfferte[[#This Row],[sub_cliente]]</f>
        <v>#VALUE!</v>
      </c>
      <c r="E1203" t="e">
        <f>RigheOfferte[[#This Row],[cod.Art.]]</f>
        <v>#VALUE!</v>
      </c>
      <c r="F1203" t="e">
        <f>RigheOfferte[[#This Row],[Descrizione]]</f>
        <v>#VALUE!</v>
      </c>
      <c r="G1203" t="e">
        <f>RigheOfferte[[#This Row],[Q.ta'']]</f>
        <v>#VALUE!</v>
      </c>
      <c r="H1203" t="e">
        <f>RigheOfferte[[#This Row],[Lavorazione]]</f>
        <v>#VALUE!</v>
      </c>
      <c r="I1203" t="e">
        <f>RigheOfferte[[#This Row],[Colore]]</f>
        <v>#VALUE!</v>
      </c>
      <c r="J1203" t="e">
        <f>RigheOfferte[[#This Row],[Velocità]]</f>
        <v>#VALUE!</v>
      </c>
      <c r="K1203" t="e">
        <f>RigheOfferte[[#This Row],[Superf.pz Mq]]</f>
        <v>#VALUE!</v>
      </c>
      <c r="L1203" t="e">
        <f>RigheOfferte[[#This Row],[passo]]</f>
        <v>#VALUE!</v>
      </c>
      <c r="M1203" t="e">
        <f>RigheOfferte[[#This Row],[nr.pezzi Telaio]]</f>
        <v>#VALUE!</v>
      </c>
      <c r="N1203" t="e">
        <f>RigheOfferte[[#This Row],[nr.pezzi ora-unita]]</f>
        <v>#VALUE!</v>
      </c>
      <c r="O1203" t="e">
        <f>Tabella1[[#This Row],[superificie]]*Resa</f>
        <v>#VALUE!</v>
      </c>
      <c r="P1203" t="e">
        <f>Tabella1[[#This Row],[KgPezzo]]*Tabella1[[#This Row],[q.ta offerta]]</f>
        <v>#VALUE!</v>
      </c>
      <c r="Q1203" t="e">
        <f>RigheOfferte[[#This Row],[QtaProtez]]</f>
        <v>#VALUE!</v>
      </c>
      <c r="R1203" t="e">
        <f>RigheOfferte[[#This Row],[Tipo Protezione]]</f>
        <v>#VALUE!</v>
      </c>
    </row>
    <row r="1204" spans="1:18">
      <c r="A1204" t="e">
        <f>RigheOfferte[[#This Row],[Nprev]]</f>
        <v>#VALUE!</v>
      </c>
      <c r="B1204" t="e">
        <f>RigheOfferte[[#This Row],[Nriga]]</f>
        <v>#VALUE!</v>
      </c>
      <c r="C1204" t="e">
        <f>RigheOfferte[[#This Row],[Cliente]]</f>
        <v>#VALUE!</v>
      </c>
      <c r="D1204" t="e">
        <f>RigheOfferte[[#This Row],[sub_cliente]]</f>
        <v>#VALUE!</v>
      </c>
      <c r="E1204" t="e">
        <f>RigheOfferte[[#This Row],[cod.Art.]]</f>
        <v>#VALUE!</v>
      </c>
      <c r="F1204" t="e">
        <f>RigheOfferte[[#This Row],[Descrizione]]</f>
        <v>#VALUE!</v>
      </c>
      <c r="G1204" t="e">
        <f>RigheOfferte[[#This Row],[Q.ta'']]</f>
        <v>#VALUE!</v>
      </c>
      <c r="H1204" t="e">
        <f>RigheOfferte[[#This Row],[Lavorazione]]</f>
        <v>#VALUE!</v>
      </c>
      <c r="I1204" t="e">
        <f>RigheOfferte[[#This Row],[Colore]]</f>
        <v>#VALUE!</v>
      </c>
      <c r="J1204" t="e">
        <f>RigheOfferte[[#This Row],[Velocità]]</f>
        <v>#VALUE!</v>
      </c>
      <c r="K1204" t="e">
        <f>RigheOfferte[[#This Row],[Superf.pz Mq]]</f>
        <v>#VALUE!</v>
      </c>
      <c r="L1204" t="e">
        <f>RigheOfferte[[#This Row],[passo]]</f>
        <v>#VALUE!</v>
      </c>
      <c r="M1204" t="e">
        <f>RigheOfferte[[#This Row],[nr.pezzi Telaio]]</f>
        <v>#VALUE!</v>
      </c>
      <c r="N1204" t="e">
        <f>RigheOfferte[[#This Row],[nr.pezzi ora-unita]]</f>
        <v>#VALUE!</v>
      </c>
      <c r="O1204" t="e">
        <f>Tabella1[[#This Row],[superificie]]*Resa</f>
        <v>#VALUE!</v>
      </c>
      <c r="P1204" t="e">
        <f>Tabella1[[#This Row],[KgPezzo]]*Tabella1[[#This Row],[q.ta offerta]]</f>
        <v>#VALUE!</v>
      </c>
      <c r="Q1204" t="e">
        <f>RigheOfferte[[#This Row],[QtaProtez]]</f>
        <v>#VALUE!</v>
      </c>
      <c r="R1204" t="e">
        <f>RigheOfferte[[#This Row],[Tipo Protezione]]</f>
        <v>#VALUE!</v>
      </c>
    </row>
    <row r="1205" spans="1:18">
      <c r="A1205" t="e">
        <f>RigheOfferte[[#This Row],[Nprev]]</f>
        <v>#VALUE!</v>
      </c>
      <c r="B1205" t="e">
        <f>RigheOfferte[[#This Row],[Nriga]]</f>
        <v>#VALUE!</v>
      </c>
      <c r="C1205" t="e">
        <f>RigheOfferte[[#This Row],[Cliente]]</f>
        <v>#VALUE!</v>
      </c>
      <c r="D1205" t="e">
        <f>RigheOfferte[[#This Row],[sub_cliente]]</f>
        <v>#VALUE!</v>
      </c>
      <c r="E1205" t="e">
        <f>RigheOfferte[[#This Row],[cod.Art.]]</f>
        <v>#VALUE!</v>
      </c>
      <c r="F1205" t="e">
        <f>RigheOfferte[[#This Row],[Descrizione]]</f>
        <v>#VALUE!</v>
      </c>
      <c r="G1205" t="e">
        <f>RigheOfferte[[#This Row],[Q.ta'']]</f>
        <v>#VALUE!</v>
      </c>
      <c r="H1205" t="e">
        <f>RigheOfferte[[#This Row],[Lavorazione]]</f>
        <v>#VALUE!</v>
      </c>
      <c r="I1205" t="e">
        <f>RigheOfferte[[#This Row],[Colore]]</f>
        <v>#VALUE!</v>
      </c>
      <c r="J1205" t="e">
        <f>RigheOfferte[[#This Row],[Velocità]]</f>
        <v>#VALUE!</v>
      </c>
      <c r="K1205" t="e">
        <f>RigheOfferte[[#This Row],[Superf.pz Mq]]</f>
        <v>#VALUE!</v>
      </c>
      <c r="L1205" t="e">
        <f>RigheOfferte[[#This Row],[passo]]</f>
        <v>#VALUE!</v>
      </c>
      <c r="M1205" t="e">
        <f>RigheOfferte[[#This Row],[nr.pezzi Telaio]]</f>
        <v>#VALUE!</v>
      </c>
      <c r="N1205" t="e">
        <f>RigheOfferte[[#This Row],[nr.pezzi ora-unita]]</f>
        <v>#VALUE!</v>
      </c>
      <c r="O1205" t="e">
        <f>Tabella1[[#This Row],[superificie]]*Resa</f>
        <v>#VALUE!</v>
      </c>
      <c r="P1205" t="e">
        <f>Tabella1[[#This Row],[KgPezzo]]*Tabella1[[#This Row],[q.ta offerta]]</f>
        <v>#VALUE!</v>
      </c>
      <c r="Q1205" t="e">
        <f>RigheOfferte[[#This Row],[QtaProtez]]</f>
        <v>#VALUE!</v>
      </c>
      <c r="R1205" t="e">
        <f>RigheOfferte[[#This Row],[Tipo Protezione]]</f>
        <v>#VALUE!</v>
      </c>
    </row>
    <row r="1206" spans="1:18">
      <c r="A1206" t="e">
        <f>RigheOfferte[[#This Row],[Nprev]]</f>
        <v>#VALUE!</v>
      </c>
      <c r="B1206" t="e">
        <f>RigheOfferte[[#This Row],[Nriga]]</f>
        <v>#VALUE!</v>
      </c>
      <c r="C1206" t="e">
        <f>RigheOfferte[[#This Row],[Cliente]]</f>
        <v>#VALUE!</v>
      </c>
      <c r="D1206" t="e">
        <f>RigheOfferte[[#This Row],[sub_cliente]]</f>
        <v>#VALUE!</v>
      </c>
      <c r="E1206" t="e">
        <f>RigheOfferte[[#This Row],[cod.Art.]]</f>
        <v>#VALUE!</v>
      </c>
      <c r="F1206" t="e">
        <f>RigheOfferte[[#This Row],[Descrizione]]</f>
        <v>#VALUE!</v>
      </c>
      <c r="G1206" t="e">
        <f>RigheOfferte[[#This Row],[Q.ta'']]</f>
        <v>#VALUE!</v>
      </c>
      <c r="H1206" t="e">
        <f>RigheOfferte[[#This Row],[Lavorazione]]</f>
        <v>#VALUE!</v>
      </c>
      <c r="I1206" t="e">
        <f>RigheOfferte[[#This Row],[Colore]]</f>
        <v>#VALUE!</v>
      </c>
      <c r="J1206" t="e">
        <f>RigheOfferte[[#This Row],[Velocità]]</f>
        <v>#VALUE!</v>
      </c>
      <c r="K1206" t="e">
        <f>RigheOfferte[[#This Row],[Superf.pz Mq]]</f>
        <v>#VALUE!</v>
      </c>
      <c r="L1206" t="e">
        <f>RigheOfferte[[#This Row],[passo]]</f>
        <v>#VALUE!</v>
      </c>
      <c r="M1206" t="e">
        <f>RigheOfferte[[#This Row],[nr.pezzi Telaio]]</f>
        <v>#VALUE!</v>
      </c>
      <c r="N1206" t="e">
        <f>RigheOfferte[[#This Row],[nr.pezzi ora-unita]]</f>
        <v>#VALUE!</v>
      </c>
      <c r="O1206" t="e">
        <f>Tabella1[[#This Row],[superificie]]*Resa</f>
        <v>#VALUE!</v>
      </c>
      <c r="P1206" t="e">
        <f>Tabella1[[#This Row],[KgPezzo]]*Tabella1[[#This Row],[q.ta offerta]]</f>
        <v>#VALUE!</v>
      </c>
      <c r="Q1206" t="e">
        <f>RigheOfferte[[#This Row],[QtaProtez]]</f>
        <v>#VALUE!</v>
      </c>
      <c r="R1206" t="e">
        <f>RigheOfferte[[#This Row],[Tipo Protezione]]</f>
        <v>#VALUE!</v>
      </c>
    </row>
    <row r="1207" spans="1:18">
      <c r="A1207" t="e">
        <f>RigheOfferte[[#This Row],[Nprev]]</f>
        <v>#VALUE!</v>
      </c>
      <c r="B1207" t="e">
        <f>RigheOfferte[[#This Row],[Nriga]]</f>
        <v>#VALUE!</v>
      </c>
      <c r="C1207" t="e">
        <f>RigheOfferte[[#This Row],[Cliente]]</f>
        <v>#VALUE!</v>
      </c>
      <c r="D1207" t="e">
        <f>RigheOfferte[[#This Row],[sub_cliente]]</f>
        <v>#VALUE!</v>
      </c>
      <c r="E1207" t="e">
        <f>RigheOfferte[[#This Row],[cod.Art.]]</f>
        <v>#VALUE!</v>
      </c>
      <c r="F1207" t="e">
        <f>RigheOfferte[[#This Row],[Descrizione]]</f>
        <v>#VALUE!</v>
      </c>
      <c r="G1207" t="e">
        <f>RigheOfferte[[#This Row],[Q.ta'']]</f>
        <v>#VALUE!</v>
      </c>
      <c r="H1207" t="e">
        <f>RigheOfferte[[#This Row],[Lavorazione]]</f>
        <v>#VALUE!</v>
      </c>
      <c r="I1207" t="e">
        <f>RigheOfferte[[#This Row],[Colore]]</f>
        <v>#VALUE!</v>
      </c>
      <c r="J1207" t="e">
        <f>RigheOfferte[[#This Row],[Velocità]]</f>
        <v>#VALUE!</v>
      </c>
      <c r="K1207" t="e">
        <f>RigheOfferte[[#This Row],[Superf.pz Mq]]</f>
        <v>#VALUE!</v>
      </c>
      <c r="L1207" t="e">
        <f>RigheOfferte[[#This Row],[passo]]</f>
        <v>#VALUE!</v>
      </c>
      <c r="M1207" t="e">
        <f>RigheOfferte[[#This Row],[nr.pezzi Telaio]]</f>
        <v>#VALUE!</v>
      </c>
      <c r="N1207" t="e">
        <f>RigheOfferte[[#This Row],[nr.pezzi ora-unita]]</f>
        <v>#VALUE!</v>
      </c>
      <c r="O1207" t="e">
        <f>Tabella1[[#This Row],[superificie]]*Resa</f>
        <v>#VALUE!</v>
      </c>
      <c r="P1207" t="e">
        <f>Tabella1[[#This Row],[KgPezzo]]*Tabella1[[#This Row],[q.ta offerta]]</f>
        <v>#VALUE!</v>
      </c>
      <c r="Q1207" t="e">
        <f>RigheOfferte[[#This Row],[QtaProtez]]</f>
        <v>#VALUE!</v>
      </c>
      <c r="R1207" t="e">
        <f>RigheOfferte[[#This Row],[Tipo Protezione]]</f>
        <v>#VALUE!</v>
      </c>
    </row>
    <row r="1208" spans="1:18">
      <c r="A1208" t="e">
        <f>RigheOfferte[[#This Row],[Nprev]]</f>
        <v>#VALUE!</v>
      </c>
      <c r="B1208" t="e">
        <f>RigheOfferte[[#This Row],[Nriga]]</f>
        <v>#VALUE!</v>
      </c>
      <c r="C1208" t="e">
        <f>RigheOfferte[[#This Row],[Cliente]]</f>
        <v>#VALUE!</v>
      </c>
      <c r="D1208" t="e">
        <f>RigheOfferte[[#This Row],[sub_cliente]]</f>
        <v>#VALUE!</v>
      </c>
      <c r="E1208" t="e">
        <f>RigheOfferte[[#This Row],[cod.Art.]]</f>
        <v>#VALUE!</v>
      </c>
      <c r="F1208" t="e">
        <f>RigheOfferte[[#This Row],[Descrizione]]</f>
        <v>#VALUE!</v>
      </c>
      <c r="G1208" t="e">
        <f>RigheOfferte[[#This Row],[Q.ta'']]</f>
        <v>#VALUE!</v>
      </c>
      <c r="H1208" t="e">
        <f>RigheOfferte[[#This Row],[Lavorazione]]</f>
        <v>#VALUE!</v>
      </c>
      <c r="I1208" t="e">
        <f>RigheOfferte[[#This Row],[Colore]]</f>
        <v>#VALUE!</v>
      </c>
      <c r="J1208" t="e">
        <f>RigheOfferte[[#This Row],[Velocità]]</f>
        <v>#VALUE!</v>
      </c>
      <c r="K1208" t="e">
        <f>RigheOfferte[[#This Row],[Superf.pz Mq]]</f>
        <v>#VALUE!</v>
      </c>
      <c r="L1208" t="e">
        <f>RigheOfferte[[#This Row],[passo]]</f>
        <v>#VALUE!</v>
      </c>
      <c r="M1208" t="e">
        <f>RigheOfferte[[#This Row],[nr.pezzi Telaio]]</f>
        <v>#VALUE!</v>
      </c>
      <c r="N1208" t="e">
        <f>RigheOfferte[[#This Row],[nr.pezzi ora-unita]]</f>
        <v>#VALUE!</v>
      </c>
      <c r="O1208" t="e">
        <f>Tabella1[[#This Row],[superificie]]*Resa</f>
        <v>#VALUE!</v>
      </c>
      <c r="P1208" t="e">
        <f>Tabella1[[#This Row],[KgPezzo]]*Tabella1[[#This Row],[q.ta offerta]]</f>
        <v>#VALUE!</v>
      </c>
      <c r="Q1208" t="e">
        <f>RigheOfferte[[#This Row],[QtaProtez]]</f>
        <v>#VALUE!</v>
      </c>
      <c r="R1208" t="e">
        <f>RigheOfferte[[#This Row],[Tipo Protezione]]</f>
        <v>#VALUE!</v>
      </c>
    </row>
    <row r="1209" spans="1:18">
      <c r="A1209" t="e">
        <f>RigheOfferte[[#This Row],[Nprev]]</f>
        <v>#VALUE!</v>
      </c>
      <c r="B1209" t="e">
        <f>RigheOfferte[[#This Row],[Nriga]]</f>
        <v>#VALUE!</v>
      </c>
      <c r="C1209" t="e">
        <f>RigheOfferte[[#This Row],[Cliente]]</f>
        <v>#VALUE!</v>
      </c>
      <c r="D1209" t="e">
        <f>RigheOfferte[[#This Row],[sub_cliente]]</f>
        <v>#VALUE!</v>
      </c>
      <c r="E1209" t="e">
        <f>RigheOfferte[[#This Row],[cod.Art.]]</f>
        <v>#VALUE!</v>
      </c>
      <c r="F1209" t="e">
        <f>RigheOfferte[[#This Row],[Descrizione]]</f>
        <v>#VALUE!</v>
      </c>
      <c r="G1209" t="e">
        <f>RigheOfferte[[#This Row],[Q.ta'']]</f>
        <v>#VALUE!</v>
      </c>
      <c r="H1209" t="e">
        <f>RigheOfferte[[#This Row],[Lavorazione]]</f>
        <v>#VALUE!</v>
      </c>
      <c r="I1209" t="e">
        <f>RigheOfferte[[#This Row],[Colore]]</f>
        <v>#VALUE!</v>
      </c>
      <c r="J1209" t="e">
        <f>RigheOfferte[[#This Row],[Velocità]]</f>
        <v>#VALUE!</v>
      </c>
      <c r="K1209" t="e">
        <f>RigheOfferte[[#This Row],[Superf.pz Mq]]</f>
        <v>#VALUE!</v>
      </c>
      <c r="L1209" t="e">
        <f>RigheOfferte[[#This Row],[passo]]</f>
        <v>#VALUE!</v>
      </c>
      <c r="M1209" t="e">
        <f>RigheOfferte[[#This Row],[nr.pezzi Telaio]]</f>
        <v>#VALUE!</v>
      </c>
      <c r="N1209" t="e">
        <f>RigheOfferte[[#This Row],[nr.pezzi ora-unita]]</f>
        <v>#VALUE!</v>
      </c>
      <c r="O1209" t="e">
        <f>Tabella1[[#This Row],[superificie]]*Resa</f>
        <v>#VALUE!</v>
      </c>
      <c r="P1209" t="e">
        <f>Tabella1[[#This Row],[KgPezzo]]*Tabella1[[#This Row],[q.ta offerta]]</f>
        <v>#VALUE!</v>
      </c>
      <c r="Q1209" t="e">
        <f>RigheOfferte[[#This Row],[QtaProtez]]</f>
        <v>#VALUE!</v>
      </c>
      <c r="R1209" t="e">
        <f>RigheOfferte[[#This Row],[Tipo Protezione]]</f>
        <v>#VALUE!</v>
      </c>
    </row>
    <row r="1210" spans="1:18">
      <c r="A1210" t="e">
        <f>RigheOfferte[[#This Row],[Nprev]]</f>
        <v>#VALUE!</v>
      </c>
      <c r="B1210" t="e">
        <f>RigheOfferte[[#This Row],[Nriga]]</f>
        <v>#VALUE!</v>
      </c>
      <c r="C1210" t="e">
        <f>RigheOfferte[[#This Row],[Cliente]]</f>
        <v>#VALUE!</v>
      </c>
      <c r="D1210" t="e">
        <f>RigheOfferte[[#This Row],[sub_cliente]]</f>
        <v>#VALUE!</v>
      </c>
      <c r="E1210" t="e">
        <f>RigheOfferte[[#This Row],[cod.Art.]]</f>
        <v>#VALUE!</v>
      </c>
      <c r="F1210" t="e">
        <f>RigheOfferte[[#This Row],[Descrizione]]</f>
        <v>#VALUE!</v>
      </c>
      <c r="G1210" t="e">
        <f>RigheOfferte[[#This Row],[Q.ta'']]</f>
        <v>#VALUE!</v>
      </c>
      <c r="H1210" t="e">
        <f>RigheOfferte[[#This Row],[Lavorazione]]</f>
        <v>#VALUE!</v>
      </c>
      <c r="I1210" t="e">
        <f>RigheOfferte[[#This Row],[Colore]]</f>
        <v>#VALUE!</v>
      </c>
      <c r="J1210" t="e">
        <f>RigheOfferte[[#This Row],[Velocità]]</f>
        <v>#VALUE!</v>
      </c>
      <c r="K1210" t="e">
        <f>RigheOfferte[[#This Row],[Superf.pz Mq]]</f>
        <v>#VALUE!</v>
      </c>
      <c r="L1210" t="e">
        <f>RigheOfferte[[#This Row],[passo]]</f>
        <v>#VALUE!</v>
      </c>
      <c r="M1210" t="e">
        <f>RigheOfferte[[#This Row],[nr.pezzi Telaio]]</f>
        <v>#VALUE!</v>
      </c>
      <c r="N1210" t="e">
        <f>RigheOfferte[[#This Row],[nr.pezzi ora-unita]]</f>
        <v>#VALUE!</v>
      </c>
      <c r="O1210" t="e">
        <f>Tabella1[[#This Row],[superificie]]*Resa</f>
        <v>#VALUE!</v>
      </c>
      <c r="P1210" t="e">
        <f>Tabella1[[#This Row],[KgPezzo]]*Tabella1[[#This Row],[q.ta offerta]]</f>
        <v>#VALUE!</v>
      </c>
      <c r="Q1210" t="e">
        <f>RigheOfferte[[#This Row],[QtaProtez]]</f>
        <v>#VALUE!</v>
      </c>
      <c r="R1210" t="e">
        <f>RigheOfferte[[#This Row],[Tipo Protezione]]</f>
        <v>#VALUE!</v>
      </c>
    </row>
    <row r="1211" spans="1:18">
      <c r="A1211" t="e">
        <f>RigheOfferte[[#This Row],[Nprev]]</f>
        <v>#VALUE!</v>
      </c>
      <c r="B1211" t="e">
        <f>RigheOfferte[[#This Row],[Nriga]]</f>
        <v>#VALUE!</v>
      </c>
      <c r="C1211" t="e">
        <f>RigheOfferte[[#This Row],[Cliente]]</f>
        <v>#VALUE!</v>
      </c>
      <c r="D1211" t="e">
        <f>RigheOfferte[[#This Row],[sub_cliente]]</f>
        <v>#VALUE!</v>
      </c>
      <c r="E1211" t="e">
        <f>RigheOfferte[[#This Row],[cod.Art.]]</f>
        <v>#VALUE!</v>
      </c>
      <c r="F1211" t="e">
        <f>RigheOfferte[[#This Row],[Descrizione]]</f>
        <v>#VALUE!</v>
      </c>
      <c r="G1211" t="e">
        <f>RigheOfferte[[#This Row],[Q.ta'']]</f>
        <v>#VALUE!</v>
      </c>
      <c r="H1211" t="e">
        <f>RigheOfferte[[#This Row],[Lavorazione]]</f>
        <v>#VALUE!</v>
      </c>
      <c r="I1211" t="e">
        <f>RigheOfferte[[#This Row],[Colore]]</f>
        <v>#VALUE!</v>
      </c>
      <c r="J1211" t="e">
        <f>RigheOfferte[[#This Row],[Velocità]]</f>
        <v>#VALUE!</v>
      </c>
      <c r="K1211" t="e">
        <f>RigheOfferte[[#This Row],[Superf.pz Mq]]</f>
        <v>#VALUE!</v>
      </c>
      <c r="L1211" t="e">
        <f>RigheOfferte[[#This Row],[passo]]</f>
        <v>#VALUE!</v>
      </c>
      <c r="M1211" t="e">
        <f>RigheOfferte[[#This Row],[nr.pezzi Telaio]]</f>
        <v>#VALUE!</v>
      </c>
      <c r="N1211" t="e">
        <f>RigheOfferte[[#This Row],[nr.pezzi ora-unita]]</f>
        <v>#VALUE!</v>
      </c>
      <c r="O1211" t="e">
        <f>Tabella1[[#This Row],[superificie]]*Resa</f>
        <v>#VALUE!</v>
      </c>
      <c r="P1211" t="e">
        <f>Tabella1[[#This Row],[KgPezzo]]*Tabella1[[#This Row],[q.ta offerta]]</f>
        <v>#VALUE!</v>
      </c>
      <c r="Q1211" t="e">
        <f>RigheOfferte[[#This Row],[QtaProtez]]</f>
        <v>#VALUE!</v>
      </c>
      <c r="R1211" t="e">
        <f>RigheOfferte[[#This Row],[Tipo Protezione]]</f>
        <v>#VALUE!</v>
      </c>
    </row>
    <row r="1212" spans="1:18">
      <c r="A1212" t="e">
        <f>RigheOfferte[[#This Row],[Nprev]]</f>
        <v>#VALUE!</v>
      </c>
      <c r="B1212" t="e">
        <f>RigheOfferte[[#This Row],[Nriga]]</f>
        <v>#VALUE!</v>
      </c>
      <c r="C1212" t="e">
        <f>RigheOfferte[[#This Row],[Cliente]]</f>
        <v>#VALUE!</v>
      </c>
      <c r="D1212" t="e">
        <f>RigheOfferte[[#This Row],[sub_cliente]]</f>
        <v>#VALUE!</v>
      </c>
      <c r="E1212" t="e">
        <f>RigheOfferte[[#This Row],[cod.Art.]]</f>
        <v>#VALUE!</v>
      </c>
      <c r="F1212" t="e">
        <f>RigheOfferte[[#This Row],[Descrizione]]</f>
        <v>#VALUE!</v>
      </c>
      <c r="G1212" t="e">
        <f>RigheOfferte[[#This Row],[Q.ta'']]</f>
        <v>#VALUE!</v>
      </c>
      <c r="H1212" t="e">
        <f>RigheOfferte[[#This Row],[Lavorazione]]</f>
        <v>#VALUE!</v>
      </c>
      <c r="I1212" t="e">
        <f>RigheOfferte[[#This Row],[Colore]]</f>
        <v>#VALUE!</v>
      </c>
      <c r="J1212" t="e">
        <f>RigheOfferte[[#This Row],[Velocità]]</f>
        <v>#VALUE!</v>
      </c>
      <c r="K1212" t="e">
        <f>RigheOfferte[[#This Row],[Superf.pz Mq]]</f>
        <v>#VALUE!</v>
      </c>
      <c r="L1212" t="e">
        <f>RigheOfferte[[#This Row],[passo]]</f>
        <v>#VALUE!</v>
      </c>
      <c r="M1212" t="e">
        <f>RigheOfferte[[#This Row],[nr.pezzi Telaio]]</f>
        <v>#VALUE!</v>
      </c>
      <c r="N1212" t="e">
        <f>RigheOfferte[[#This Row],[nr.pezzi ora-unita]]</f>
        <v>#VALUE!</v>
      </c>
      <c r="O1212" t="e">
        <f>Tabella1[[#This Row],[superificie]]*Resa</f>
        <v>#VALUE!</v>
      </c>
      <c r="P1212" t="e">
        <f>Tabella1[[#This Row],[KgPezzo]]*Tabella1[[#This Row],[q.ta offerta]]</f>
        <v>#VALUE!</v>
      </c>
      <c r="Q1212" t="e">
        <f>RigheOfferte[[#This Row],[QtaProtez]]</f>
        <v>#VALUE!</v>
      </c>
      <c r="R1212" t="e">
        <f>RigheOfferte[[#This Row],[Tipo Protezione]]</f>
        <v>#VALUE!</v>
      </c>
    </row>
    <row r="1213" spans="1:18">
      <c r="A1213" t="e">
        <f>RigheOfferte[[#This Row],[Nprev]]</f>
        <v>#VALUE!</v>
      </c>
      <c r="B1213" t="e">
        <f>RigheOfferte[[#This Row],[Nriga]]</f>
        <v>#VALUE!</v>
      </c>
      <c r="C1213" t="e">
        <f>RigheOfferte[[#This Row],[Cliente]]</f>
        <v>#VALUE!</v>
      </c>
      <c r="D1213" t="e">
        <f>RigheOfferte[[#This Row],[sub_cliente]]</f>
        <v>#VALUE!</v>
      </c>
      <c r="E1213" t="e">
        <f>RigheOfferte[[#This Row],[cod.Art.]]</f>
        <v>#VALUE!</v>
      </c>
      <c r="F1213" t="e">
        <f>RigheOfferte[[#This Row],[Descrizione]]</f>
        <v>#VALUE!</v>
      </c>
      <c r="G1213" t="e">
        <f>RigheOfferte[[#This Row],[Q.ta'']]</f>
        <v>#VALUE!</v>
      </c>
      <c r="H1213" t="e">
        <f>RigheOfferte[[#This Row],[Lavorazione]]</f>
        <v>#VALUE!</v>
      </c>
      <c r="I1213" t="e">
        <f>RigheOfferte[[#This Row],[Colore]]</f>
        <v>#VALUE!</v>
      </c>
      <c r="J1213" t="e">
        <f>RigheOfferte[[#This Row],[Velocità]]</f>
        <v>#VALUE!</v>
      </c>
      <c r="K1213" t="e">
        <f>RigheOfferte[[#This Row],[Superf.pz Mq]]</f>
        <v>#VALUE!</v>
      </c>
      <c r="L1213" t="e">
        <f>RigheOfferte[[#This Row],[passo]]</f>
        <v>#VALUE!</v>
      </c>
      <c r="M1213" t="e">
        <f>RigheOfferte[[#This Row],[nr.pezzi Telaio]]</f>
        <v>#VALUE!</v>
      </c>
      <c r="N1213" t="e">
        <f>RigheOfferte[[#This Row],[nr.pezzi ora-unita]]</f>
        <v>#VALUE!</v>
      </c>
      <c r="O1213" t="e">
        <f>Tabella1[[#This Row],[superificie]]*Resa</f>
        <v>#VALUE!</v>
      </c>
      <c r="P1213" t="e">
        <f>Tabella1[[#This Row],[KgPezzo]]*Tabella1[[#This Row],[q.ta offerta]]</f>
        <v>#VALUE!</v>
      </c>
      <c r="Q1213" t="e">
        <f>RigheOfferte[[#This Row],[QtaProtez]]</f>
        <v>#VALUE!</v>
      </c>
      <c r="R1213" t="e">
        <f>RigheOfferte[[#This Row],[Tipo Protezione]]</f>
        <v>#VALUE!</v>
      </c>
    </row>
    <row r="1214" spans="1:18">
      <c r="A1214" t="e">
        <f>RigheOfferte[[#This Row],[Nprev]]</f>
        <v>#VALUE!</v>
      </c>
      <c r="B1214" t="e">
        <f>RigheOfferte[[#This Row],[Nriga]]</f>
        <v>#VALUE!</v>
      </c>
      <c r="C1214" t="e">
        <f>RigheOfferte[[#This Row],[Cliente]]</f>
        <v>#VALUE!</v>
      </c>
      <c r="D1214" t="e">
        <f>RigheOfferte[[#This Row],[sub_cliente]]</f>
        <v>#VALUE!</v>
      </c>
      <c r="E1214" t="e">
        <f>RigheOfferte[[#This Row],[cod.Art.]]</f>
        <v>#VALUE!</v>
      </c>
      <c r="F1214" t="e">
        <f>RigheOfferte[[#This Row],[Descrizione]]</f>
        <v>#VALUE!</v>
      </c>
      <c r="G1214" t="e">
        <f>RigheOfferte[[#This Row],[Q.ta'']]</f>
        <v>#VALUE!</v>
      </c>
      <c r="H1214" t="e">
        <f>RigheOfferte[[#This Row],[Lavorazione]]</f>
        <v>#VALUE!</v>
      </c>
      <c r="I1214" t="e">
        <f>RigheOfferte[[#This Row],[Colore]]</f>
        <v>#VALUE!</v>
      </c>
      <c r="J1214" t="e">
        <f>RigheOfferte[[#This Row],[Velocità]]</f>
        <v>#VALUE!</v>
      </c>
      <c r="K1214" t="e">
        <f>RigheOfferte[[#This Row],[Superf.pz Mq]]</f>
        <v>#VALUE!</v>
      </c>
      <c r="L1214" t="e">
        <f>RigheOfferte[[#This Row],[passo]]</f>
        <v>#VALUE!</v>
      </c>
      <c r="M1214" t="e">
        <f>RigheOfferte[[#This Row],[nr.pezzi Telaio]]</f>
        <v>#VALUE!</v>
      </c>
      <c r="N1214" t="e">
        <f>RigheOfferte[[#This Row],[nr.pezzi ora-unita]]</f>
        <v>#VALUE!</v>
      </c>
      <c r="O1214" t="e">
        <f>Tabella1[[#This Row],[superificie]]*Resa</f>
        <v>#VALUE!</v>
      </c>
      <c r="P1214" t="e">
        <f>Tabella1[[#This Row],[KgPezzo]]*Tabella1[[#This Row],[q.ta offerta]]</f>
        <v>#VALUE!</v>
      </c>
      <c r="Q1214" t="e">
        <f>RigheOfferte[[#This Row],[QtaProtez]]</f>
        <v>#VALUE!</v>
      </c>
      <c r="R1214" t="e">
        <f>RigheOfferte[[#This Row],[Tipo Protezione]]</f>
        <v>#VALUE!</v>
      </c>
    </row>
    <row r="1215" spans="1:18">
      <c r="A1215" t="e">
        <f>RigheOfferte[[#This Row],[Nprev]]</f>
        <v>#VALUE!</v>
      </c>
      <c r="B1215" t="e">
        <f>RigheOfferte[[#This Row],[Nriga]]</f>
        <v>#VALUE!</v>
      </c>
      <c r="C1215" t="e">
        <f>RigheOfferte[[#This Row],[Cliente]]</f>
        <v>#VALUE!</v>
      </c>
      <c r="D1215" t="e">
        <f>RigheOfferte[[#This Row],[sub_cliente]]</f>
        <v>#VALUE!</v>
      </c>
      <c r="E1215" t="e">
        <f>RigheOfferte[[#This Row],[cod.Art.]]</f>
        <v>#VALUE!</v>
      </c>
      <c r="F1215" t="e">
        <f>RigheOfferte[[#This Row],[Descrizione]]</f>
        <v>#VALUE!</v>
      </c>
      <c r="G1215" t="e">
        <f>RigheOfferte[[#This Row],[Q.ta'']]</f>
        <v>#VALUE!</v>
      </c>
      <c r="H1215" t="e">
        <f>RigheOfferte[[#This Row],[Lavorazione]]</f>
        <v>#VALUE!</v>
      </c>
      <c r="I1215" t="e">
        <f>RigheOfferte[[#This Row],[Colore]]</f>
        <v>#VALUE!</v>
      </c>
      <c r="J1215" t="e">
        <f>RigheOfferte[[#This Row],[Velocità]]</f>
        <v>#VALUE!</v>
      </c>
      <c r="K1215" t="e">
        <f>RigheOfferte[[#This Row],[Superf.pz Mq]]</f>
        <v>#VALUE!</v>
      </c>
      <c r="L1215" t="e">
        <f>RigheOfferte[[#This Row],[passo]]</f>
        <v>#VALUE!</v>
      </c>
      <c r="M1215" t="e">
        <f>RigheOfferte[[#This Row],[nr.pezzi Telaio]]</f>
        <v>#VALUE!</v>
      </c>
      <c r="N1215" t="e">
        <f>RigheOfferte[[#This Row],[nr.pezzi ora-unita]]</f>
        <v>#VALUE!</v>
      </c>
      <c r="O1215" t="e">
        <f>Tabella1[[#This Row],[superificie]]*Resa</f>
        <v>#VALUE!</v>
      </c>
      <c r="P1215" t="e">
        <f>Tabella1[[#This Row],[KgPezzo]]*Tabella1[[#This Row],[q.ta offerta]]</f>
        <v>#VALUE!</v>
      </c>
      <c r="Q1215" t="e">
        <f>RigheOfferte[[#This Row],[QtaProtez]]</f>
        <v>#VALUE!</v>
      </c>
      <c r="R1215" t="e">
        <f>RigheOfferte[[#This Row],[Tipo Protezione]]</f>
        <v>#VALUE!</v>
      </c>
    </row>
    <row r="1216" spans="1:18">
      <c r="A1216" t="e">
        <f>RigheOfferte[[#This Row],[Nprev]]</f>
        <v>#VALUE!</v>
      </c>
      <c r="B1216" t="e">
        <f>RigheOfferte[[#This Row],[Nriga]]</f>
        <v>#VALUE!</v>
      </c>
      <c r="C1216" t="e">
        <f>RigheOfferte[[#This Row],[Cliente]]</f>
        <v>#VALUE!</v>
      </c>
      <c r="D1216" t="e">
        <f>RigheOfferte[[#This Row],[sub_cliente]]</f>
        <v>#VALUE!</v>
      </c>
      <c r="E1216" t="e">
        <f>RigheOfferte[[#This Row],[cod.Art.]]</f>
        <v>#VALUE!</v>
      </c>
      <c r="F1216" t="e">
        <f>RigheOfferte[[#This Row],[Descrizione]]</f>
        <v>#VALUE!</v>
      </c>
      <c r="G1216" t="e">
        <f>RigheOfferte[[#This Row],[Q.ta'']]</f>
        <v>#VALUE!</v>
      </c>
      <c r="H1216" t="e">
        <f>RigheOfferte[[#This Row],[Lavorazione]]</f>
        <v>#VALUE!</v>
      </c>
      <c r="I1216" t="e">
        <f>RigheOfferte[[#This Row],[Colore]]</f>
        <v>#VALUE!</v>
      </c>
      <c r="J1216" t="e">
        <f>RigheOfferte[[#This Row],[Velocità]]</f>
        <v>#VALUE!</v>
      </c>
      <c r="K1216" t="e">
        <f>RigheOfferte[[#This Row],[Superf.pz Mq]]</f>
        <v>#VALUE!</v>
      </c>
      <c r="L1216" t="e">
        <f>RigheOfferte[[#This Row],[passo]]</f>
        <v>#VALUE!</v>
      </c>
      <c r="M1216" t="e">
        <f>RigheOfferte[[#This Row],[nr.pezzi Telaio]]</f>
        <v>#VALUE!</v>
      </c>
      <c r="N1216" t="e">
        <f>RigheOfferte[[#This Row],[nr.pezzi ora-unita]]</f>
        <v>#VALUE!</v>
      </c>
      <c r="O1216" t="e">
        <f>Tabella1[[#This Row],[superificie]]*Resa</f>
        <v>#VALUE!</v>
      </c>
      <c r="P1216" t="e">
        <f>Tabella1[[#This Row],[KgPezzo]]*Tabella1[[#This Row],[q.ta offerta]]</f>
        <v>#VALUE!</v>
      </c>
      <c r="Q1216" t="e">
        <f>RigheOfferte[[#This Row],[QtaProtez]]</f>
        <v>#VALUE!</v>
      </c>
      <c r="R1216" t="e">
        <f>RigheOfferte[[#This Row],[Tipo Protezione]]</f>
        <v>#VALUE!</v>
      </c>
    </row>
    <row r="1217" spans="1:18">
      <c r="A1217" t="e">
        <f>RigheOfferte[[#This Row],[Nprev]]</f>
        <v>#VALUE!</v>
      </c>
      <c r="B1217" t="e">
        <f>RigheOfferte[[#This Row],[Nriga]]</f>
        <v>#VALUE!</v>
      </c>
      <c r="C1217" t="e">
        <f>RigheOfferte[[#This Row],[Cliente]]</f>
        <v>#VALUE!</v>
      </c>
      <c r="D1217" t="e">
        <f>RigheOfferte[[#This Row],[sub_cliente]]</f>
        <v>#VALUE!</v>
      </c>
      <c r="E1217" t="e">
        <f>RigheOfferte[[#This Row],[cod.Art.]]</f>
        <v>#VALUE!</v>
      </c>
      <c r="F1217" t="e">
        <f>RigheOfferte[[#This Row],[Descrizione]]</f>
        <v>#VALUE!</v>
      </c>
      <c r="G1217" t="e">
        <f>RigheOfferte[[#This Row],[Q.ta'']]</f>
        <v>#VALUE!</v>
      </c>
      <c r="H1217" t="e">
        <f>RigheOfferte[[#This Row],[Lavorazione]]</f>
        <v>#VALUE!</v>
      </c>
      <c r="I1217" t="e">
        <f>RigheOfferte[[#This Row],[Colore]]</f>
        <v>#VALUE!</v>
      </c>
      <c r="J1217" t="e">
        <f>RigheOfferte[[#This Row],[Velocità]]</f>
        <v>#VALUE!</v>
      </c>
      <c r="K1217" t="e">
        <f>RigheOfferte[[#This Row],[Superf.pz Mq]]</f>
        <v>#VALUE!</v>
      </c>
      <c r="L1217" t="e">
        <f>RigheOfferte[[#This Row],[passo]]</f>
        <v>#VALUE!</v>
      </c>
      <c r="M1217" t="e">
        <f>RigheOfferte[[#This Row],[nr.pezzi Telaio]]</f>
        <v>#VALUE!</v>
      </c>
      <c r="N1217" t="e">
        <f>RigheOfferte[[#This Row],[nr.pezzi ora-unita]]</f>
        <v>#VALUE!</v>
      </c>
      <c r="O1217" t="e">
        <f>Tabella1[[#This Row],[superificie]]*Resa</f>
        <v>#VALUE!</v>
      </c>
      <c r="P1217" t="e">
        <f>Tabella1[[#This Row],[KgPezzo]]*Tabella1[[#This Row],[q.ta offerta]]</f>
        <v>#VALUE!</v>
      </c>
      <c r="Q1217" t="e">
        <f>RigheOfferte[[#This Row],[QtaProtez]]</f>
        <v>#VALUE!</v>
      </c>
      <c r="R1217" t="e">
        <f>RigheOfferte[[#This Row],[Tipo Protezione]]</f>
        <v>#VALUE!</v>
      </c>
    </row>
    <row r="1218" spans="1:18">
      <c r="A1218" t="e">
        <f>RigheOfferte[[#This Row],[Nprev]]</f>
        <v>#VALUE!</v>
      </c>
      <c r="B1218" t="e">
        <f>RigheOfferte[[#This Row],[Nriga]]</f>
        <v>#VALUE!</v>
      </c>
      <c r="C1218" t="e">
        <f>RigheOfferte[[#This Row],[Cliente]]</f>
        <v>#VALUE!</v>
      </c>
      <c r="D1218" t="e">
        <f>RigheOfferte[[#This Row],[sub_cliente]]</f>
        <v>#VALUE!</v>
      </c>
      <c r="E1218" t="e">
        <f>RigheOfferte[[#This Row],[cod.Art.]]</f>
        <v>#VALUE!</v>
      </c>
      <c r="F1218" t="e">
        <f>RigheOfferte[[#This Row],[Descrizione]]</f>
        <v>#VALUE!</v>
      </c>
      <c r="G1218" t="e">
        <f>RigheOfferte[[#This Row],[Q.ta'']]</f>
        <v>#VALUE!</v>
      </c>
      <c r="H1218" t="e">
        <f>RigheOfferte[[#This Row],[Lavorazione]]</f>
        <v>#VALUE!</v>
      </c>
      <c r="I1218" t="e">
        <f>RigheOfferte[[#This Row],[Colore]]</f>
        <v>#VALUE!</v>
      </c>
      <c r="J1218" t="e">
        <f>RigheOfferte[[#This Row],[Velocità]]</f>
        <v>#VALUE!</v>
      </c>
      <c r="K1218" t="e">
        <f>RigheOfferte[[#This Row],[Superf.pz Mq]]</f>
        <v>#VALUE!</v>
      </c>
      <c r="L1218" t="e">
        <f>RigheOfferte[[#This Row],[passo]]</f>
        <v>#VALUE!</v>
      </c>
      <c r="M1218" t="e">
        <f>RigheOfferte[[#This Row],[nr.pezzi Telaio]]</f>
        <v>#VALUE!</v>
      </c>
      <c r="N1218" t="e">
        <f>RigheOfferte[[#This Row],[nr.pezzi ora-unita]]</f>
        <v>#VALUE!</v>
      </c>
      <c r="O1218" t="e">
        <f>Tabella1[[#This Row],[superificie]]*Resa</f>
        <v>#VALUE!</v>
      </c>
      <c r="P1218" t="e">
        <f>Tabella1[[#This Row],[KgPezzo]]*Tabella1[[#This Row],[q.ta offerta]]</f>
        <v>#VALUE!</v>
      </c>
      <c r="Q1218" t="e">
        <f>RigheOfferte[[#This Row],[QtaProtez]]</f>
        <v>#VALUE!</v>
      </c>
      <c r="R1218" t="e">
        <f>RigheOfferte[[#This Row],[Tipo Protezione]]</f>
        <v>#VALUE!</v>
      </c>
    </row>
    <row r="1219" spans="1:18">
      <c r="A1219" t="e">
        <f>RigheOfferte[[#This Row],[Nprev]]</f>
        <v>#VALUE!</v>
      </c>
      <c r="B1219" t="e">
        <f>RigheOfferte[[#This Row],[Nriga]]</f>
        <v>#VALUE!</v>
      </c>
      <c r="C1219" t="e">
        <f>RigheOfferte[[#This Row],[Cliente]]</f>
        <v>#VALUE!</v>
      </c>
      <c r="D1219" t="e">
        <f>RigheOfferte[[#This Row],[sub_cliente]]</f>
        <v>#VALUE!</v>
      </c>
      <c r="E1219" t="e">
        <f>RigheOfferte[[#This Row],[cod.Art.]]</f>
        <v>#VALUE!</v>
      </c>
      <c r="F1219" t="e">
        <f>RigheOfferte[[#This Row],[Descrizione]]</f>
        <v>#VALUE!</v>
      </c>
      <c r="G1219" t="e">
        <f>RigheOfferte[[#This Row],[Q.ta'']]</f>
        <v>#VALUE!</v>
      </c>
      <c r="H1219" t="e">
        <f>RigheOfferte[[#This Row],[Lavorazione]]</f>
        <v>#VALUE!</v>
      </c>
      <c r="I1219" t="e">
        <f>RigheOfferte[[#This Row],[Colore]]</f>
        <v>#VALUE!</v>
      </c>
      <c r="J1219" t="e">
        <f>RigheOfferte[[#This Row],[Velocità]]</f>
        <v>#VALUE!</v>
      </c>
      <c r="K1219" t="e">
        <f>RigheOfferte[[#This Row],[Superf.pz Mq]]</f>
        <v>#VALUE!</v>
      </c>
      <c r="L1219" t="e">
        <f>RigheOfferte[[#This Row],[passo]]</f>
        <v>#VALUE!</v>
      </c>
      <c r="M1219" t="e">
        <f>RigheOfferte[[#This Row],[nr.pezzi Telaio]]</f>
        <v>#VALUE!</v>
      </c>
      <c r="N1219" t="e">
        <f>RigheOfferte[[#This Row],[nr.pezzi ora-unita]]</f>
        <v>#VALUE!</v>
      </c>
      <c r="O1219" t="e">
        <f>Tabella1[[#This Row],[superificie]]*Resa</f>
        <v>#VALUE!</v>
      </c>
      <c r="P1219" t="e">
        <f>Tabella1[[#This Row],[KgPezzo]]*Tabella1[[#This Row],[q.ta offerta]]</f>
        <v>#VALUE!</v>
      </c>
      <c r="Q1219" t="e">
        <f>RigheOfferte[[#This Row],[QtaProtez]]</f>
        <v>#VALUE!</v>
      </c>
      <c r="R1219" t="e">
        <f>RigheOfferte[[#This Row],[Tipo Protezione]]</f>
        <v>#VALUE!</v>
      </c>
    </row>
    <row r="1220" spans="1:18">
      <c r="A1220" t="e">
        <f>RigheOfferte[[#This Row],[Nprev]]</f>
        <v>#VALUE!</v>
      </c>
      <c r="B1220" t="e">
        <f>RigheOfferte[[#This Row],[Nriga]]</f>
        <v>#VALUE!</v>
      </c>
      <c r="C1220" t="e">
        <f>RigheOfferte[[#This Row],[Cliente]]</f>
        <v>#VALUE!</v>
      </c>
      <c r="D1220" t="e">
        <f>RigheOfferte[[#This Row],[sub_cliente]]</f>
        <v>#VALUE!</v>
      </c>
      <c r="E1220" t="e">
        <f>RigheOfferte[[#This Row],[cod.Art.]]</f>
        <v>#VALUE!</v>
      </c>
      <c r="F1220" t="e">
        <f>RigheOfferte[[#This Row],[Descrizione]]</f>
        <v>#VALUE!</v>
      </c>
      <c r="G1220" t="e">
        <f>RigheOfferte[[#This Row],[Q.ta'']]</f>
        <v>#VALUE!</v>
      </c>
      <c r="H1220" t="e">
        <f>RigheOfferte[[#This Row],[Lavorazione]]</f>
        <v>#VALUE!</v>
      </c>
      <c r="I1220" t="e">
        <f>RigheOfferte[[#This Row],[Colore]]</f>
        <v>#VALUE!</v>
      </c>
      <c r="J1220" t="e">
        <f>RigheOfferte[[#This Row],[Velocità]]</f>
        <v>#VALUE!</v>
      </c>
      <c r="K1220" t="e">
        <f>RigheOfferte[[#This Row],[Superf.pz Mq]]</f>
        <v>#VALUE!</v>
      </c>
      <c r="L1220" t="e">
        <f>RigheOfferte[[#This Row],[passo]]</f>
        <v>#VALUE!</v>
      </c>
      <c r="M1220" t="e">
        <f>RigheOfferte[[#This Row],[nr.pezzi Telaio]]</f>
        <v>#VALUE!</v>
      </c>
      <c r="N1220" t="e">
        <f>RigheOfferte[[#This Row],[nr.pezzi ora-unita]]</f>
        <v>#VALUE!</v>
      </c>
      <c r="O1220" t="e">
        <f>Tabella1[[#This Row],[superificie]]*Resa</f>
        <v>#VALUE!</v>
      </c>
      <c r="P1220" t="e">
        <f>Tabella1[[#This Row],[KgPezzo]]*Tabella1[[#This Row],[q.ta offerta]]</f>
        <v>#VALUE!</v>
      </c>
      <c r="Q1220" t="e">
        <f>RigheOfferte[[#This Row],[QtaProtez]]</f>
        <v>#VALUE!</v>
      </c>
      <c r="R1220" t="e">
        <f>RigheOfferte[[#This Row],[Tipo Protezione]]</f>
        <v>#VALUE!</v>
      </c>
    </row>
    <row r="1221" spans="1:18">
      <c r="A1221" t="e">
        <f>RigheOfferte[[#This Row],[Nprev]]</f>
        <v>#VALUE!</v>
      </c>
      <c r="B1221" t="e">
        <f>RigheOfferte[[#This Row],[Nriga]]</f>
        <v>#VALUE!</v>
      </c>
      <c r="C1221" t="e">
        <f>RigheOfferte[[#This Row],[Cliente]]</f>
        <v>#VALUE!</v>
      </c>
      <c r="D1221" t="e">
        <f>RigheOfferte[[#This Row],[sub_cliente]]</f>
        <v>#VALUE!</v>
      </c>
      <c r="E1221" t="e">
        <f>RigheOfferte[[#This Row],[cod.Art.]]</f>
        <v>#VALUE!</v>
      </c>
      <c r="F1221" t="e">
        <f>RigheOfferte[[#This Row],[Descrizione]]</f>
        <v>#VALUE!</v>
      </c>
      <c r="G1221" t="e">
        <f>RigheOfferte[[#This Row],[Q.ta'']]</f>
        <v>#VALUE!</v>
      </c>
      <c r="H1221" t="e">
        <f>RigheOfferte[[#This Row],[Lavorazione]]</f>
        <v>#VALUE!</v>
      </c>
      <c r="I1221" t="e">
        <f>RigheOfferte[[#This Row],[Colore]]</f>
        <v>#VALUE!</v>
      </c>
      <c r="J1221" t="e">
        <f>RigheOfferte[[#This Row],[Velocità]]</f>
        <v>#VALUE!</v>
      </c>
      <c r="K1221" t="e">
        <f>RigheOfferte[[#This Row],[Superf.pz Mq]]</f>
        <v>#VALUE!</v>
      </c>
      <c r="L1221" t="e">
        <f>RigheOfferte[[#This Row],[passo]]</f>
        <v>#VALUE!</v>
      </c>
      <c r="M1221" t="e">
        <f>RigheOfferte[[#This Row],[nr.pezzi Telaio]]</f>
        <v>#VALUE!</v>
      </c>
      <c r="N1221" t="e">
        <f>RigheOfferte[[#This Row],[nr.pezzi ora-unita]]</f>
        <v>#VALUE!</v>
      </c>
      <c r="O1221" t="e">
        <f>Tabella1[[#This Row],[superificie]]*Resa</f>
        <v>#VALUE!</v>
      </c>
      <c r="P1221" t="e">
        <f>Tabella1[[#This Row],[KgPezzo]]*Tabella1[[#This Row],[q.ta offerta]]</f>
        <v>#VALUE!</v>
      </c>
      <c r="Q1221" t="e">
        <f>RigheOfferte[[#This Row],[QtaProtez]]</f>
        <v>#VALUE!</v>
      </c>
      <c r="R1221" t="e">
        <f>RigheOfferte[[#This Row],[Tipo Protezione]]</f>
        <v>#VALUE!</v>
      </c>
    </row>
    <row r="1222" spans="1:18">
      <c r="A1222" t="e">
        <f>RigheOfferte[[#This Row],[Nprev]]</f>
        <v>#VALUE!</v>
      </c>
      <c r="B1222" t="e">
        <f>RigheOfferte[[#This Row],[Nriga]]</f>
        <v>#VALUE!</v>
      </c>
      <c r="C1222" t="e">
        <f>RigheOfferte[[#This Row],[Cliente]]</f>
        <v>#VALUE!</v>
      </c>
      <c r="D1222" t="e">
        <f>RigheOfferte[[#This Row],[sub_cliente]]</f>
        <v>#VALUE!</v>
      </c>
      <c r="E1222" t="e">
        <f>RigheOfferte[[#This Row],[cod.Art.]]</f>
        <v>#VALUE!</v>
      </c>
      <c r="F1222" t="e">
        <f>RigheOfferte[[#This Row],[Descrizione]]</f>
        <v>#VALUE!</v>
      </c>
      <c r="G1222" t="e">
        <f>RigheOfferte[[#This Row],[Q.ta'']]</f>
        <v>#VALUE!</v>
      </c>
      <c r="H1222" t="e">
        <f>RigheOfferte[[#This Row],[Lavorazione]]</f>
        <v>#VALUE!</v>
      </c>
      <c r="I1222" t="e">
        <f>RigheOfferte[[#This Row],[Colore]]</f>
        <v>#VALUE!</v>
      </c>
      <c r="J1222" t="e">
        <f>RigheOfferte[[#This Row],[Velocità]]</f>
        <v>#VALUE!</v>
      </c>
      <c r="K1222" t="e">
        <f>RigheOfferte[[#This Row],[Superf.pz Mq]]</f>
        <v>#VALUE!</v>
      </c>
      <c r="L1222" t="e">
        <f>RigheOfferte[[#This Row],[passo]]</f>
        <v>#VALUE!</v>
      </c>
      <c r="M1222" t="e">
        <f>RigheOfferte[[#This Row],[nr.pezzi Telaio]]</f>
        <v>#VALUE!</v>
      </c>
      <c r="N1222" t="e">
        <f>RigheOfferte[[#This Row],[nr.pezzi ora-unita]]</f>
        <v>#VALUE!</v>
      </c>
      <c r="O1222" t="e">
        <f>Tabella1[[#This Row],[superificie]]*Resa</f>
        <v>#VALUE!</v>
      </c>
      <c r="P1222" t="e">
        <f>Tabella1[[#This Row],[KgPezzo]]*Tabella1[[#This Row],[q.ta offerta]]</f>
        <v>#VALUE!</v>
      </c>
      <c r="Q1222" t="e">
        <f>RigheOfferte[[#This Row],[QtaProtez]]</f>
        <v>#VALUE!</v>
      </c>
      <c r="R1222" t="e">
        <f>RigheOfferte[[#This Row],[Tipo Protezione]]</f>
        <v>#VALUE!</v>
      </c>
    </row>
    <row r="1223" spans="1:18">
      <c r="A1223" t="e">
        <f>RigheOfferte[[#This Row],[Nprev]]</f>
        <v>#VALUE!</v>
      </c>
      <c r="B1223" t="e">
        <f>RigheOfferte[[#This Row],[Nriga]]</f>
        <v>#VALUE!</v>
      </c>
      <c r="C1223" t="e">
        <f>RigheOfferte[[#This Row],[Cliente]]</f>
        <v>#VALUE!</v>
      </c>
      <c r="D1223" t="e">
        <f>RigheOfferte[[#This Row],[sub_cliente]]</f>
        <v>#VALUE!</v>
      </c>
      <c r="E1223" t="e">
        <f>RigheOfferte[[#This Row],[cod.Art.]]</f>
        <v>#VALUE!</v>
      </c>
      <c r="F1223" t="e">
        <f>RigheOfferte[[#This Row],[Descrizione]]</f>
        <v>#VALUE!</v>
      </c>
      <c r="G1223" t="e">
        <f>RigheOfferte[[#This Row],[Q.ta'']]</f>
        <v>#VALUE!</v>
      </c>
      <c r="H1223" t="e">
        <f>RigheOfferte[[#This Row],[Lavorazione]]</f>
        <v>#VALUE!</v>
      </c>
      <c r="I1223" t="e">
        <f>RigheOfferte[[#This Row],[Colore]]</f>
        <v>#VALUE!</v>
      </c>
      <c r="J1223" t="e">
        <f>RigheOfferte[[#This Row],[Velocità]]</f>
        <v>#VALUE!</v>
      </c>
      <c r="K1223" t="e">
        <f>RigheOfferte[[#This Row],[Superf.pz Mq]]</f>
        <v>#VALUE!</v>
      </c>
      <c r="L1223" t="e">
        <f>RigheOfferte[[#This Row],[passo]]</f>
        <v>#VALUE!</v>
      </c>
      <c r="M1223" t="e">
        <f>RigheOfferte[[#This Row],[nr.pezzi Telaio]]</f>
        <v>#VALUE!</v>
      </c>
      <c r="N1223" t="e">
        <f>RigheOfferte[[#This Row],[nr.pezzi ora-unita]]</f>
        <v>#VALUE!</v>
      </c>
      <c r="O1223" t="e">
        <f>Tabella1[[#This Row],[superificie]]*Resa</f>
        <v>#VALUE!</v>
      </c>
      <c r="P1223" t="e">
        <f>Tabella1[[#This Row],[KgPezzo]]*Tabella1[[#This Row],[q.ta offerta]]</f>
        <v>#VALUE!</v>
      </c>
      <c r="Q1223" t="e">
        <f>RigheOfferte[[#This Row],[QtaProtez]]</f>
        <v>#VALUE!</v>
      </c>
      <c r="R1223" t="e">
        <f>RigheOfferte[[#This Row],[Tipo Protezione]]</f>
        <v>#VALUE!</v>
      </c>
    </row>
    <row r="1224" spans="1:18">
      <c r="A1224" t="e">
        <f>RigheOfferte[[#This Row],[Nprev]]</f>
        <v>#VALUE!</v>
      </c>
      <c r="B1224" t="e">
        <f>RigheOfferte[[#This Row],[Nriga]]</f>
        <v>#VALUE!</v>
      </c>
      <c r="C1224" t="e">
        <f>RigheOfferte[[#This Row],[Cliente]]</f>
        <v>#VALUE!</v>
      </c>
      <c r="D1224" t="e">
        <f>RigheOfferte[[#This Row],[sub_cliente]]</f>
        <v>#VALUE!</v>
      </c>
      <c r="E1224" t="e">
        <f>RigheOfferte[[#This Row],[cod.Art.]]</f>
        <v>#VALUE!</v>
      </c>
      <c r="F1224" t="e">
        <f>RigheOfferte[[#This Row],[Descrizione]]</f>
        <v>#VALUE!</v>
      </c>
      <c r="G1224" t="e">
        <f>RigheOfferte[[#This Row],[Q.ta'']]</f>
        <v>#VALUE!</v>
      </c>
      <c r="H1224" t="e">
        <f>RigheOfferte[[#This Row],[Lavorazione]]</f>
        <v>#VALUE!</v>
      </c>
      <c r="I1224" t="e">
        <f>RigheOfferte[[#This Row],[Colore]]</f>
        <v>#VALUE!</v>
      </c>
      <c r="J1224" t="e">
        <f>RigheOfferte[[#This Row],[Velocità]]</f>
        <v>#VALUE!</v>
      </c>
      <c r="K1224" t="e">
        <f>RigheOfferte[[#This Row],[Superf.pz Mq]]</f>
        <v>#VALUE!</v>
      </c>
      <c r="L1224" t="e">
        <f>RigheOfferte[[#This Row],[passo]]</f>
        <v>#VALUE!</v>
      </c>
      <c r="M1224" t="e">
        <f>RigheOfferte[[#This Row],[nr.pezzi Telaio]]</f>
        <v>#VALUE!</v>
      </c>
      <c r="N1224" t="e">
        <f>RigheOfferte[[#This Row],[nr.pezzi ora-unita]]</f>
        <v>#VALUE!</v>
      </c>
      <c r="O1224" t="e">
        <f>Tabella1[[#This Row],[superificie]]*Resa</f>
        <v>#VALUE!</v>
      </c>
      <c r="P1224" t="e">
        <f>Tabella1[[#This Row],[KgPezzo]]*Tabella1[[#This Row],[q.ta offerta]]</f>
        <v>#VALUE!</v>
      </c>
      <c r="Q1224" t="e">
        <f>RigheOfferte[[#This Row],[QtaProtez]]</f>
        <v>#VALUE!</v>
      </c>
      <c r="R1224" t="e">
        <f>RigheOfferte[[#This Row],[Tipo Protezione]]</f>
        <v>#VALUE!</v>
      </c>
    </row>
    <row r="1225" spans="1:18">
      <c r="A1225" t="e">
        <f>RigheOfferte[[#This Row],[Nprev]]</f>
        <v>#VALUE!</v>
      </c>
      <c r="B1225" t="e">
        <f>RigheOfferte[[#This Row],[Nriga]]</f>
        <v>#VALUE!</v>
      </c>
      <c r="C1225" t="e">
        <f>RigheOfferte[[#This Row],[Cliente]]</f>
        <v>#VALUE!</v>
      </c>
      <c r="D1225" t="e">
        <f>RigheOfferte[[#This Row],[sub_cliente]]</f>
        <v>#VALUE!</v>
      </c>
      <c r="E1225" t="e">
        <f>RigheOfferte[[#This Row],[cod.Art.]]</f>
        <v>#VALUE!</v>
      </c>
      <c r="F1225" t="e">
        <f>RigheOfferte[[#This Row],[Descrizione]]</f>
        <v>#VALUE!</v>
      </c>
      <c r="G1225" t="e">
        <f>RigheOfferte[[#This Row],[Q.ta'']]</f>
        <v>#VALUE!</v>
      </c>
      <c r="H1225" t="e">
        <f>RigheOfferte[[#This Row],[Lavorazione]]</f>
        <v>#VALUE!</v>
      </c>
      <c r="I1225" t="e">
        <f>RigheOfferte[[#This Row],[Colore]]</f>
        <v>#VALUE!</v>
      </c>
      <c r="J1225" t="e">
        <f>RigheOfferte[[#This Row],[Velocità]]</f>
        <v>#VALUE!</v>
      </c>
      <c r="K1225" t="e">
        <f>RigheOfferte[[#This Row],[Superf.pz Mq]]</f>
        <v>#VALUE!</v>
      </c>
      <c r="L1225" t="e">
        <f>RigheOfferte[[#This Row],[passo]]</f>
        <v>#VALUE!</v>
      </c>
      <c r="M1225" t="e">
        <f>RigheOfferte[[#This Row],[nr.pezzi Telaio]]</f>
        <v>#VALUE!</v>
      </c>
      <c r="N1225" t="e">
        <f>RigheOfferte[[#This Row],[nr.pezzi ora-unita]]</f>
        <v>#VALUE!</v>
      </c>
      <c r="O1225" t="e">
        <f>Tabella1[[#This Row],[superificie]]*Resa</f>
        <v>#VALUE!</v>
      </c>
      <c r="P1225" t="e">
        <f>Tabella1[[#This Row],[KgPezzo]]*Tabella1[[#This Row],[q.ta offerta]]</f>
        <v>#VALUE!</v>
      </c>
      <c r="Q1225" t="e">
        <f>RigheOfferte[[#This Row],[QtaProtez]]</f>
        <v>#VALUE!</v>
      </c>
      <c r="R1225" t="e">
        <f>RigheOfferte[[#This Row],[Tipo Protezione]]</f>
        <v>#VALUE!</v>
      </c>
    </row>
    <row r="1226" spans="1:18">
      <c r="A1226" t="e">
        <f>RigheOfferte[[#This Row],[Nprev]]</f>
        <v>#VALUE!</v>
      </c>
      <c r="B1226" t="e">
        <f>RigheOfferte[[#This Row],[Nriga]]</f>
        <v>#VALUE!</v>
      </c>
      <c r="C1226" t="e">
        <f>RigheOfferte[[#This Row],[Cliente]]</f>
        <v>#VALUE!</v>
      </c>
      <c r="D1226" t="e">
        <f>RigheOfferte[[#This Row],[sub_cliente]]</f>
        <v>#VALUE!</v>
      </c>
      <c r="E1226" t="e">
        <f>RigheOfferte[[#This Row],[cod.Art.]]</f>
        <v>#VALUE!</v>
      </c>
      <c r="F1226" t="e">
        <f>RigheOfferte[[#This Row],[Descrizione]]</f>
        <v>#VALUE!</v>
      </c>
      <c r="G1226" t="e">
        <f>RigheOfferte[[#This Row],[Q.ta'']]</f>
        <v>#VALUE!</v>
      </c>
      <c r="H1226" t="e">
        <f>RigheOfferte[[#This Row],[Lavorazione]]</f>
        <v>#VALUE!</v>
      </c>
      <c r="I1226" t="e">
        <f>RigheOfferte[[#This Row],[Colore]]</f>
        <v>#VALUE!</v>
      </c>
      <c r="J1226" t="e">
        <f>RigheOfferte[[#This Row],[Velocità]]</f>
        <v>#VALUE!</v>
      </c>
      <c r="K1226" t="e">
        <f>RigheOfferte[[#This Row],[Superf.pz Mq]]</f>
        <v>#VALUE!</v>
      </c>
      <c r="L1226" t="e">
        <f>RigheOfferte[[#This Row],[passo]]</f>
        <v>#VALUE!</v>
      </c>
      <c r="M1226" t="e">
        <f>RigheOfferte[[#This Row],[nr.pezzi Telaio]]</f>
        <v>#VALUE!</v>
      </c>
      <c r="N1226" t="e">
        <f>RigheOfferte[[#This Row],[nr.pezzi ora-unita]]</f>
        <v>#VALUE!</v>
      </c>
      <c r="O1226" t="e">
        <f>Tabella1[[#This Row],[superificie]]*Resa</f>
        <v>#VALUE!</v>
      </c>
      <c r="P1226" t="e">
        <f>Tabella1[[#This Row],[KgPezzo]]*Tabella1[[#This Row],[q.ta offerta]]</f>
        <v>#VALUE!</v>
      </c>
      <c r="Q1226" t="e">
        <f>RigheOfferte[[#This Row],[QtaProtez]]</f>
        <v>#VALUE!</v>
      </c>
      <c r="R1226" t="e">
        <f>RigheOfferte[[#This Row],[Tipo Protezione]]</f>
        <v>#VALUE!</v>
      </c>
    </row>
    <row r="1227" spans="1:18">
      <c r="A1227" t="e">
        <f>RigheOfferte[[#This Row],[Nprev]]</f>
        <v>#VALUE!</v>
      </c>
      <c r="B1227" t="e">
        <f>RigheOfferte[[#This Row],[Nriga]]</f>
        <v>#VALUE!</v>
      </c>
      <c r="C1227" t="e">
        <f>RigheOfferte[[#This Row],[Cliente]]</f>
        <v>#VALUE!</v>
      </c>
      <c r="D1227" t="e">
        <f>RigheOfferte[[#This Row],[sub_cliente]]</f>
        <v>#VALUE!</v>
      </c>
      <c r="E1227" t="e">
        <f>RigheOfferte[[#This Row],[cod.Art.]]</f>
        <v>#VALUE!</v>
      </c>
      <c r="F1227" t="e">
        <f>RigheOfferte[[#This Row],[Descrizione]]</f>
        <v>#VALUE!</v>
      </c>
      <c r="G1227" t="e">
        <f>RigheOfferte[[#This Row],[Q.ta'']]</f>
        <v>#VALUE!</v>
      </c>
      <c r="H1227" t="e">
        <f>RigheOfferte[[#This Row],[Lavorazione]]</f>
        <v>#VALUE!</v>
      </c>
      <c r="I1227" t="e">
        <f>RigheOfferte[[#This Row],[Colore]]</f>
        <v>#VALUE!</v>
      </c>
      <c r="J1227" t="e">
        <f>RigheOfferte[[#This Row],[Velocità]]</f>
        <v>#VALUE!</v>
      </c>
      <c r="K1227" t="e">
        <f>RigheOfferte[[#This Row],[Superf.pz Mq]]</f>
        <v>#VALUE!</v>
      </c>
      <c r="L1227" t="e">
        <f>RigheOfferte[[#This Row],[passo]]</f>
        <v>#VALUE!</v>
      </c>
      <c r="M1227" t="e">
        <f>RigheOfferte[[#This Row],[nr.pezzi Telaio]]</f>
        <v>#VALUE!</v>
      </c>
      <c r="N1227" t="e">
        <f>RigheOfferte[[#This Row],[nr.pezzi ora-unita]]</f>
        <v>#VALUE!</v>
      </c>
      <c r="O1227" t="e">
        <f>Tabella1[[#This Row],[superificie]]*Resa</f>
        <v>#VALUE!</v>
      </c>
      <c r="P1227" t="e">
        <f>Tabella1[[#This Row],[KgPezzo]]*Tabella1[[#This Row],[q.ta offerta]]</f>
        <v>#VALUE!</v>
      </c>
      <c r="Q1227" t="e">
        <f>RigheOfferte[[#This Row],[QtaProtez]]</f>
        <v>#VALUE!</v>
      </c>
      <c r="R1227" t="e">
        <f>RigheOfferte[[#This Row],[Tipo Protezione]]</f>
        <v>#VALUE!</v>
      </c>
    </row>
    <row r="1228" spans="1:18">
      <c r="A1228" t="e">
        <f>RigheOfferte[[#This Row],[Nprev]]</f>
        <v>#VALUE!</v>
      </c>
      <c r="B1228" t="e">
        <f>RigheOfferte[[#This Row],[Nriga]]</f>
        <v>#VALUE!</v>
      </c>
      <c r="C1228" t="e">
        <f>RigheOfferte[[#This Row],[Cliente]]</f>
        <v>#VALUE!</v>
      </c>
      <c r="D1228" t="e">
        <f>RigheOfferte[[#This Row],[sub_cliente]]</f>
        <v>#VALUE!</v>
      </c>
      <c r="E1228" t="e">
        <f>RigheOfferte[[#This Row],[cod.Art.]]</f>
        <v>#VALUE!</v>
      </c>
      <c r="F1228" t="e">
        <f>RigheOfferte[[#This Row],[Descrizione]]</f>
        <v>#VALUE!</v>
      </c>
      <c r="G1228" t="e">
        <f>RigheOfferte[[#This Row],[Q.ta'']]</f>
        <v>#VALUE!</v>
      </c>
      <c r="H1228" t="e">
        <f>RigheOfferte[[#This Row],[Lavorazione]]</f>
        <v>#VALUE!</v>
      </c>
      <c r="I1228" t="e">
        <f>RigheOfferte[[#This Row],[Colore]]</f>
        <v>#VALUE!</v>
      </c>
      <c r="J1228" t="e">
        <f>RigheOfferte[[#This Row],[Velocità]]</f>
        <v>#VALUE!</v>
      </c>
      <c r="K1228" t="e">
        <f>RigheOfferte[[#This Row],[Superf.pz Mq]]</f>
        <v>#VALUE!</v>
      </c>
      <c r="L1228" t="e">
        <f>RigheOfferte[[#This Row],[passo]]</f>
        <v>#VALUE!</v>
      </c>
      <c r="M1228" t="e">
        <f>RigheOfferte[[#This Row],[nr.pezzi Telaio]]</f>
        <v>#VALUE!</v>
      </c>
      <c r="N1228" t="e">
        <f>RigheOfferte[[#This Row],[nr.pezzi ora-unita]]</f>
        <v>#VALUE!</v>
      </c>
      <c r="O1228" t="e">
        <f>Tabella1[[#This Row],[superificie]]*Resa</f>
        <v>#VALUE!</v>
      </c>
      <c r="P1228" t="e">
        <f>Tabella1[[#This Row],[KgPezzo]]*Tabella1[[#This Row],[q.ta offerta]]</f>
        <v>#VALUE!</v>
      </c>
      <c r="Q1228" t="e">
        <f>RigheOfferte[[#This Row],[QtaProtez]]</f>
        <v>#VALUE!</v>
      </c>
      <c r="R1228" t="e">
        <f>RigheOfferte[[#This Row],[Tipo Protezione]]</f>
        <v>#VALUE!</v>
      </c>
    </row>
    <row r="1229" spans="1:18">
      <c r="A1229" t="e">
        <f>RigheOfferte[[#This Row],[Nprev]]</f>
        <v>#VALUE!</v>
      </c>
      <c r="B1229" t="e">
        <f>RigheOfferte[[#This Row],[Nriga]]</f>
        <v>#VALUE!</v>
      </c>
      <c r="C1229" t="e">
        <f>RigheOfferte[[#This Row],[Cliente]]</f>
        <v>#VALUE!</v>
      </c>
      <c r="D1229" t="e">
        <f>RigheOfferte[[#This Row],[sub_cliente]]</f>
        <v>#VALUE!</v>
      </c>
      <c r="E1229" t="e">
        <f>RigheOfferte[[#This Row],[cod.Art.]]</f>
        <v>#VALUE!</v>
      </c>
      <c r="F1229" t="e">
        <f>RigheOfferte[[#This Row],[Descrizione]]</f>
        <v>#VALUE!</v>
      </c>
      <c r="G1229" t="e">
        <f>RigheOfferte[[#This Row],[Q.ta'']]</f>
        <v>#VALUE!</v>
      </c>
      <c r="H1229" t="e">
        <f>RigheOfferte[[#This Row],[Lavorazione]]</f>
        <v>#VALUE!</v>
      </c>
      <c r="I1229" t="e">
        <f>RigheOfferte[[#This Row],[Colore]]</f>
        <v>#VALUE!</v>
      </c>
      <c r="J1229" t="e">
        <f>RigheOfferte[[#This Row],[Velocità]]</f>
        <v>#VALUE!</v>
      </c>
      <c r="K1229" t="e">
        <f>RigheOfferte[[#This Row],[Superf.pz Mq]]</f>
        <v>#VALUE!</v>
      </c>
      <c r="L1229" t="e">
        <f>RigheOfferte[[#This Row],[passo]]</f>
        <v>#VALUE!</v>
      </c>
      <c r="M1229" t="e">
        <f>RigheOfferte[[#This Row],[nr.pezzi Telaio]]</f>
        <v>#VALUE!</v>
      </c>
      <c r="N1229" t="e">
        <f>RigheOfferte[[#This Row],[nr.pezzi ora-unita]]</f>
        <v>#VALUE!</v>
      </c>
      <c r="O1229" t="e">
        <f>Tabella1[[#This Row],[superificie]]*Resa</f>
        <v>#VALUE!</v>
      </c>
      <c r="P1229" t="e">
        <f>Tabella1[[#This Row],[KgPezzo]]*Tabella1[[#This Row],[q.ta offerta]]</f>
        <v>#VALUE!</v>
      </c>
      <c r="Q1229" t="e">
        <f>RigheOfferte[[#This Row],[QtaProtez]]</f>
        <v>#VALUE!</v>
      </c>
      <c r="R1229" t="e">
        <f>RigheOfferte[[#This Row],[Tipo Protezione]]</f>
        <v>#VALUE!</v>
      </c>
    </row>
    <row r="1230" spans="1:18">
      <c r="A1230" t="e">
        <f>RigheOfferte[[#This Row],[Nprev]]</f>
        <v>#VALUE!</v>
      </c>
      <c r="B1230" t="e">
        <f>RigheOfferte[[#This Row],[Nriga]]</f>
        <v>#VALUE!</v>
      </c>
      <c r="C1230" t="e">
        <f>RigheOfferte[[#This Row],[Cliente]]</f>
        <v>#VALUE!</v>
      </c>
      <c r="D1230" t="e">
        <f>RigheOfferte[[#This Row],[sub_cliente]]</f>
        <v>#VALUE!</v>
      </c>
      <c r="E1230" t="e">
        <f>RigheOfferte[[#This Row],[cod.Art.]]</f>
        <v>#VALUE!</v>
      </c>
      <c r="F1230" t="e">
        <f>RigheOfferte[[#This Row],[Descrizione]]</f>
        <v>#VALUE!</v>
      </c>
      <c r="G1230" t="e">
        <f>RigheOfferte[[#This Row],[Q.ta'']]</f>
        <v>#VALUE!</v>
      </c>
      <c r="H1230" t="e">
        <f>RigheOfferte[[#This Row],[Lavorazione]]</f>
        <v>#VALUE!</v>
      </c>
      <c r="I1230" t="e">
        <f>RigheOfferte[[#This Row],[Colore]]</f>
        <v>#VALUE!</v>
      </c>
      <c r="J1230" t="e">
        <f>RigheOfferte[[#This Row],[Velocità]]</f>
        <v>#VALUE!</v>
      </c>
      <c r="K1230" t="e">
        <f>RigheOfferte[[#This Row],[Superf.pz Mq]]</f>
        <v>#VALUE!</v>
      </c>
      <c r="L1230" t="e">
        <f>RigheOfferte[[#This Row],[passo]]</f>
        <v>#VALUE!</v>
      </c>
      <c r="M1230" t="e">
        <f>RigheOfferte[[#This Row],[nr.pezzi Telaio]]</f>
        <v>#VALUE!</v>
      </c>
      <c r="N1230" t="e">
        <f>RigheOfferte[[#This Row],[nr.pezzi ora-unita]]</f>
        <v>#VALUE!</v>
      </c>
      <c r="O1230" t="e">
        <f>Tabella1[[#This Row],[superificie]]*Resa</f>
        <v>#VALUE!</v>
      </c>
      <c r="P1230" t="e">
        <f>Tabella1[[#This Row],[KgPezzo]]*Tabella1[[#This Row],[q.ta offerta]]</f>
        <v>#VALUE!</v>
      </c>
      <c r="Q1230" t="e">
        <f>RigheOfferte[[#This Row],[QtaProtez]]</f>
        <v>#VALUE!</v>
      </c>
      <c r="R1230" t="e">
        <f>RigheOfferte[[#This Row],[Tipo Protezione]]</f>
        <v>#VALUE!</v>
      </c>
    </row>
    <row r="1231" spans="1:18">
      <c r="A1231" t="e">
        <f>RigheOfferte[[#This Row],[Nprev]]</f>
        <v>#VALUE!</v>
      </c>
      <c r="B1231" t="e">
        <f>RigheOfferte[[#This Row],[Nriga]]</f>
        <v>#VALUE!</v>
      </c>
      <c r="C1231" t="e">
        <f>RigheOfferte[[#This Row],[Cliente]]</f>
        <v>#VALUE!</v>
      </c>
      <c r="D1231" t="e">
        <f>RigheOfferte[[#This Row],[sub_cliente]]</f>
        <v>#VALUE!</v>
      </c>
      <c r="E1231" t="e">
        <f>RigheOfferte[[#This Row],[cod.Art.]]</f>
        <v>#VALUE!</v>
      </c>
      <c r="F1231" t="e">
        <f>RigheOfferte[[#This Row],[Descrizione]]</f>
        <v>#VALUE!</v>
      </c>
      <c r="G1231" t="e">
        <f>RigheOfferte[[#This Row],[Q.ta'']]</f>
        <v>#VALUE!</v>
      </c>
      <c r="H1231" t="e">
        <f>RigheOfferte[[#This Row],[Lavorazione]]</f>
        <v>#VALUE!</v>
      </c>
      <c r="I1231" t="e">
        <f>RigheOfferte[[#This Row],[Colore]]</f>
        <v>#VALUE!</v>
      </c>
      <c r="J1231" t="e">
        <f>RigheOfferte[[#This Row],[Velocità]]</f>
        <v>#VALUE!</v>
      </c>
      <c r="K1231" t="e">
        <f>RigheOfferte[[#This Row],[Superf.pz Mq]]</f>
        <v>#VALUE!</v>
      </c>
      <c r="L1231" t="e">
        <f>RigheOfferte[[#This Row],[passo]]</f>
        <v>#VALUE!</v>
      </c>
      <c r="M1231" t="e">
        <f>RigheOfferte[[#This Row],[nr.pezzi Telaio]]</f>
        <v>#VALUE!</v>
      </c>
      <c r="N1231" t="e">
        <f>RigheOfferte[[#This Row],[nr.pezzi ora-unita]]</f>
        <v>#VALUE!</v>
      </c>
      <c r="O1231" t="e">
        <f>Tabella1[[#This Row],[superificie]]*Resa</f>
        <v>#VALUE!</v>
      </c>
      <c r="P1231" t="e">
        <f>Tabella1[[#This Row],[KgPezzo]]*Tabella1[[#This Row],[q.ta offerta]]</f>
        <v>#VALUE!</v>
      </c>
      <c r="Q1231" t="e">
        <f>RigheOfferte[[#This Row],[QtaProtez]]</f>
        <v>#VALUE!</v>
      </c>
      <c r="R1231" t="e">
        <f>RigheOfferte[[#This Row],[Tipo Protezione]]</f>
        <v>#VALUE!</v>
      </c>
    </row>
    <row r="1232" spans="1:18">
      <c r="A1232" t="e">
        <f>RigheOfferte[[#This Row],[Nprev]]</f>
        <v>#VALUE!</v>
      </c>
      <c r="B1232" t="e">
        <f>RigheOfferte[[#This Row],[Nriga]]</f>
        <v>#VALUE!</v>
      </c>
      <c r="C1232" t="e">
        <f>RigheOfferte[[#This Row],[Cliente]]</f>
        <v>#VALUE!</v>
      </c>
      <c r="D1232" t="e">
        <f>RigheOfferte[[#This Row],[sub_cliente]]</f>
        <v>#VALUE!</v>
      </c>
      <c r="E1232" t="e">
        <f>RigheOfferte[[#This Row],[cod.Art.]]</f>
        <v>#VALUE!</v>
      </c>
      <c r="F1232" t="e">
        <f>RigheOfferte[[#This Row],[Descrizione]]</f>
        <v>#VALUE!</v>
      </c>
      <c r="G1232" t="e">
        <f>RigheOfferte[[#This Row],[Q.ta'']]</f>
        <v>#VALUE!</v>
      </c>
      <c r="H1232" t="e">
        <f>RigheOfferte[[#This Row],[Lavorazione]]</f>
        <v>#VALUE!</v>
      </c>
      <c r="I1232" t="e">
        <f>RigheOfferte[[#This Row],[Colore]]</f>
        <v>#VALUE!</v>
      </c>
      <c r="J1232" t="e">
        <f>RigheOfferte[[#This Row],[Velocità]]</f>
        <v>#VALUE!</v>
      </c>
      <c r="K1232" t="e">
        <f>RigheOfferte[[#This Row],[Superf.pz Mq]]</f>
        <v>#VALUE!</v>
      </c>
      <c r="L1232" t="e">
        <f>RigheOfferte[[#This Row],[passo]]</f>
        <v>#VALUE!</v>
      </c>
      <c r="M1232" t="e">
        <f>RigheOfferte[[#This Row],[nr.pezzi Telaio]]</f>
        <v>#VALUE!</v>
      </c>
      <c r="N1232" t="e">
        <f>RigheOfferte[[#This Row],[nr.pezzi ora-unita]]</f>
        <v>#VALUE!</v>
      </c>
      <c r="O1232" t="e">
        <f>Tabella1[[#This Row],[superificie]]*Resa</f>
        <v>#VALUE!</v>
      </c>
      <c r="P1232" t="e">
        <f>Tabella1[[#This Row],[KgPezzo]]*Tabella1[[#This Row],[q.ta offerta]]</f>
        <v>#VALUE!</v>
      </c>
      <c r="Q1232" t="e">
        <f>RigheOfferte[[#This Row],[QtaProtez]]</f>
        <v>#VALUE!</v>
      </c>
      <c r="R1232" t="e">
        <f>RigheOfferte[[#This Row],[Tipo Protezione]]</f>
        <v>#VALUE!</v>
      </c>
    </row>
    <row r="1233" spans="1:18">
      <c r="A1233" t="e">
        <f>RigheOfferte[[#This Row],[Nprev]]</f>
        <v>#VALUE!</v>
      </c>
      <c r="B1233" t="e">
        <f>RigheOfferte[[#This Row],[Nriga]]</f>
        <v>#VALUE!</v>
      </c>
      <c r="C1233" t="e">
        <f>RigheOfferte[[#This Row],[Cliente]]</f>
        <v>#VALUE!</v>
      </c>
      <c r="D1233" t="e">
        <f>RigheOfferte[[#This Row],[sub_cliente]]</f>
        <v>#VALUE!</v>
      </c>
      <c r="E1233" t="e">
        <f>RigheOfferte[[#This Row],[cod.Art.]]</f>
        <v>#VALUE!</v>
      </c>
      <c r="F1233" t="e">
        <f>RigheOfferte[[#This Row],[Descrizione]]</f>
        <v>#VALUE!</v>
      </c>
      <c r="G1233" t="e">
        <f>RigheOfferte[[#This Row],[Q.ta'']]</f>
        <v>#VALUE!</v>
      </c>
      <c r="H1233" t="e">
        <f>RigheOfferte[[#This Row],[Lavorazione]]</f>
        <v>#VALUE!</v>
      </c>
      <c r="I1233" t="e">
        <f>RigheOfferte[[#This Row],[Colore]]</f>
        <v>#VALUE!</v>
      </c>
      <c r="J1233" t="e">
        <f>RigheOfferte[[#This Row],[Velocità]]</f>
        <v>#VALUE!</v>
      </c>
      <c r="K1233" t="e">
        <f>RigheOfferte[[#This Row],[Superf.pz Mq]]</f>
        <v>#VALUE!</v>
      </c>
      <c r="L1233" t="e">
        <f>RigheOfferte[[#This Row],[passo]]</f>
        <v>#VALUE!</v>
      </c>
      <c r="M1233" t="e">
        <f>RigheOfferte[[#This Row],[nr.pezzi Telaio]]</f>
        <v>#VALUE!</v>
      </c>
      <c r="N1233" t="e">
        <f>RigheOfferte[[#This Row],[nr.pezzi ora-unita]]</f>
        <v>#VALUE!</v>
      </c>
      <c r="O1233" t="e">
        <f>Tabella1[[#This Row],[superificie]]*Resa</f>
        <v>#VALUE!</v>
      </c>
      <c r="P1233" t="e">
        <f>Tabella1[[#This Row],[KgPezzo]]*Tabella1[[#This Row],[q.ta offerta]]</f>
        <v>#VALUE!</v>
      </c>
      <c r="Q1233" t="e">
        <f>RigheOfferte[[#This Row],[QtaProtez]]</f>
        <v>#VALUE!</v>
      </c>
      <c r="R1233" t="e">
        <f>RigheOfferte[[#This Row],[Tipo Protezione]]</f>
        <v>#VALUE!</v>
      </c>
    </row>
    <row r="1234" spans="1:18">
      <c r="A1234" t="e">
        <f>RigheOfferte[[#This Row],[Nprev]]</f>
        <v>#VALUE!</v>
      </c>
      <c r="B1234" t="e">
        <f>RigheOfferte[[#This Row],[Nriga]]</f>
        <v>#VALUE!</v>
      </c>
      <c r="C1234" t="e">
        <f>RigheOfferte[[#This Row],[Cliente]]</f>
        <v>#VALUE!</v>
      </c>
      <c r="D1234" t="e">
        <f>RigheOfferte[[#This Row],[sub_cliente]]</f>
        <v>#VALUE!</v>
      </c>
      <c r="E1234" t="e">
        <f>RigheOfferte[[#This Row],[cod.Art.]]</f>
        <v>#VALUE!</v>
      </c>
      <c r="F1234" t="e">
        <f>RigheOfferte[[#This Row],[Descrizione]]</f>
        <v>#VALUE!</v>
      </c>
      <c r="G1234" t="e">
        <f>RigheOfferte[[#This Row],[Q.ta'']]</f>
        <v>#VALUE!</v>
      </c>
      <c r="H1234" t="e">
        <f>RigheOfferte[[#This Row],[Lavorazione]]</f>
        <v>#VALUE!</v>
      </c>
      <c r="I1234" t="e">
        <f>RigheOfferte[[#This Row],[Colore]]</f>
        <v>#VALUE!</v>
      </c>
      <c r="J1234" t="e">
        <f>RigheOfferte[[#This Row],[Velocità]]</f>
        <v>#VALUE!</v>
      </c>
      <c r="K1234" t="e">
        <f>RigheOfferte[[#This Row],[Superf.pz Mq]]</f>
        <v>#VALUE!</v>
      </c>
      <c r="L1234" t="e">
        <f>RigheOfferte[[#This Row],[passo]]</f>
        <v>#VALUE!</v>
      </c>
      <c r="M1234" t="e">
        <f>RigheOfferte[[#This Row],[nr.pezzi Telaio]]</f>
        <v>#VALUE!</v>
      </c>
      <c r="N1234" t="e">
        <f>RigheOfferte[[#This Row],[nr.pezzi ora-unita]]</f>
        <v>#VALUE!</v>
      </c>
      <c r="O1234" t="e">
        <f>Tabella1[[#This Row],[superificie]]*Resa</f>
        <v>#VALUE!</v>
      </c>
      <c r="P1234" t="e">
        <f>Tabella1[[#This Row],[KgPezzo]]*Tabella1[[#This Row],[q.ta offerta]]</f>
        <v>#VALUE!</v>
      </c>
      <c r="Q1234" t="e">
        <f>RigheOfferte[[#This Row],[QtaProtez]]</f>
        <v>#VALUE!</v>
      </c>
      <c r="R1234" t="e">
        <f>RigheOfferte[[#This Row],[Tipo Protezione]]</f>
        <v>#VALUE!</v>
      </c>
    </row>
    <row r="1235" spans="1:18">
      <c r="A1235" t="e">
        <f>RigheOfferte[[#This Row],[Nprev]]</f>
        <v>#VALUE!</v>
      </c>
      <c r="B1235" t="e">
        <f>RigheOfferte[[#This Row],[Nriga]]</f>
        <v>#VALUE!</v>
      </c>
      <c r="C1235" t="e">
        <f>RigheOfferte[[#This Row],[Cliente]]</f>
        <v>#VALUE!</v>
      </c>
      <c r="D1235" t="e">
        <f>RigheOfferte[[#This Row],[sub_cliente]]</f>
        <v>#VALUE!</v>
      </c>
      <c r="E1235" t="e">
        <f>RigheOfferte[[#This Row],[cod.Art.]]</f>
        <v>#VALUE!</v>
      </c>
      <c r="F1235" t="e">
        <f>RigheOfferte[[#This Row],[Descrizione]]</f>
        <v>#VALUE!</v>
      </c>
      <c r="G1235" t="e">
        <f>RigheOfferte[[#This Row],[Q.ta'']]</f>
        <v>#VALUE!</v>
      </c>
      <c r="H1235" t="e">
        <f>RigheOfferte[[#This Row],[Lavorazione]]</f>
        <v>#VALUE!</v>
      </c>
      <c r="I1235" t="e">
        <f>RigheOfferte[[#This Row],[Colore]]</f>
        <v>#VALUE!</v>
      </c>
      <c r="J1235" t="e">
        <f>RigheOfferte[[#This Row],[Velocità]]</f>
        <v>#VALUE!</v>
      </c>
      <c r="K1235" t="e">
        <f>RigheOfferte[[#This Row],[Superf.pz Mq]]</f>
        <v>#VALUE!</v>
      </c>
      <c r="L1235" t="e">
        <f>RigheOfferte[[#This Row],[passo]]</f>
        <v>#VALUE!</v>
      </c>
      <c r="M1235" t="e">
        <f>RigheOfferte[[#This Row],[nr.pezzi Telaio]]</f>
        <v>#VALUE!</v>
      </c>
      <c r="N1235" t="e">
        <f>RigheOfferte[[#This Row],[nr.pezzi ora-unita]]</f>
        <v>#VALUE!</v>
      </c>
      <c r="O1235" t="e">
        <f>Tabella1[[#This Row],[superificie]]*Resa</f>
        <v>#VALUE!</v>
      </c>
      <c r="P1235" t="e">
        <f>Tabella1[[#This Row],[KgPezzo]]*Tabella1[[#This Row],[q.ta offerta]]</f>
        <v>#VALUE!</v>
      </c>
      <c r="Q1235" t="e">
        <f>RigheOfferte[[#This Row],[QtaProtez]]</f>
        <v>#VALUE!</v>
      </c>
      <c r="R1235" t="e">
        <f>RigheOfferte[[#This Row],[Tipo Protezione]]</f>
        <v>#VALUE!</v>
      </c>
    </row>
    <row r="1236" spans="1:18">
      <c r="A1236" t="e">
        <f>RigheOfferte[[#This Row],[Nprev]]</f>
        <v>#VALUE!</v>
      </c>
      <c r="B1236" t="e">
        <f>RigheOfferte[[#This Row],[Nriga]]</f>
        <v>#VALUE!</v>
      </c>
      <c r="C1236" t="e">
        <f>RigheOfferte[[#This Row],[Cliente]]</f>
        <v>#VALUE!</v>
      </c>
      <c r="D1236" t="e">
        <f>RigheOfferte[[#This Row],[sub_cliente]]</f>
        <v>#VALUE!</v>
      </c>
      <c r="E1236" t="e">
        <f>RigheOfferte[[#This Row],[cod.Art.]]</f>
        <v>#VALUE!</v>
      </c>
      <c r="F1236" t="e">
        <f>RigheOfferte[[#This Row],[Descrizione]]</f>
        <v>#VALUE!</v>
      </c>
      <c r="G1236" t="e">
        <f>RigheOfferte[[#This Row],[Q.ta'']]</f>
        <v>#VALUE!</v>
      </c>
      <c r="H1236" t="e">
        <f>RigheOfferte[[#This Row],[Lavorazione]]</f>
        <v>#VALUE!</v>
      </c>
      <c r="I1236" t="e">
        <f>RigheOfferte[[#This Row],[Colore]]</f>
        <v>#VALUE!</v>
      </c>
      <c r="J1236" t="e">
        <f>RigheOfferte[[#This Row],[Velocità]]</f>
        <v>#VALUE!</v>
      </c>
      <c r="K1236" t="e">
        <f>RigheOfferte[[#This Row],[Superf.pz Mq]]</f>
        <v>#VALUE!</v>
      </c>
      <c r="L1236" t="e">
        <f>RigheOfferte[[#This Row],[passo]]</f>
        <v>#VALUE!</v>
      </c>
      <c r="M1236" t="e">
        <f>RigheOfferte[[#This Row],[nr.pezzi Telaio]]</f>
        <v>#VALUE!</v>
      </c>
      <c r="N1236" t="e">
        <f>RigheOfferte[[#This Row],[nr.pezzi ora-unita]]</f>
        <v>#VALUE!</v>
      </c>
      <c r="O1236" t="e">
        <f>Tabella1[[#This Row],[superificie]]*Resa</f>
        <v>#VALUE!</v>
      </c>
      <c r="P1236" t="e">
        <f>Tabella1[[#This Row],[KgPezzo]]*Tabella1[[#This Row],[q.ta offerta]]</f>
        <v>#VALUE!</v>
      </c>
      <c r="Q1236" t="e">
        <f>RigheOfferte[[#This Row],[QtaProtez]]</f>
        <v>#VALUE!</v>
      </c>
      <c r="R1236" t="e">
        <f>RigheOfferte[[#This Row],[Tipo Protezione]]</f>
        <v>#VALUE!</v>
      </c>
    </row>
    <row r="1237" spans="1:18">
      <c r="A1237" t="e">
        <f>RigheOfferte[[#This Row],[Nprev]]</f>
        <v>#VALUE!</v>
      </c>
      <c r="B1237" t="e">
        <f>RigheOfferte[[#This Row],[Nriga]]</f>
        <v>#VALUE!</v>
      </c>
      <c r="C1237" t="e">
        <f>RigheOfferte[[#This Row],[Cliente]]</f>
        <v>#VALUE!</v>
      </c>
      <c r="D1237" t="e">
        <f>RigheOfferte[[#This Row],[sub_cliente]]</f>
        <v>#VALUE!</v>
      </c>
      <c r="E1237" t="e">
        <f>RigheOfferte[[#This Row],[cod.Art.]]</f>
        <v>#VALUE!</v>
      </c>
      <c r="F1237" t="e">
        <f>RigheOfferte[[#This Row],[Descrizione]]</f>
        <v>#VALUE!</v>
      </c>
      <c r="G1237" t="e">
        <f>RigheOfferte[[#This Row],[Q.ta'']]</f>
        <v>#VALUE!</v>
      </c>
      <c r="H1237" t="e">
        <f>RigheOfferte[[#This Row],[Lavorazione]]</f>
        <v>#VALUE!</v>
      </c>
      <c r="I1237" t="e">
        <f>RigheOfferte[[#This Row],[Colore]]</f>
        <v>#VALUE!</v>
      </c>
      <c r="J1237" t="e">
        <f>RigheOfferte[[#This Row],[Velocità]]</f>
        <v>#VALUE!</v>
      </c>
      <c r="K1237" t="e">
        <f>RigheOfferte[[#This Row],[Superf.pz Mq]]</f>
        <v>#VALUE!</v>
      </c>
      <c r="L1237" t="e">
        <f>RigheOfferte[[#This Row],[passo]]</f>
        <v>#VALUE!</v>
      </c>
      <c r="M1237" t="e">
        <f>RigheOfferte[[#This Row],[nr.pezzi Telaio]]</f>
        <v>#VALUE!</v>
      </c>
      <c r="N1237" t="e">
        <f>RigheOfferte[[#This Row],[nr.pezzi ora-unita]]</f>
        <v>#VALUE!</v>
      </c>
      <c r="O1237" t="e">
        <f>Tabella1[[#This Row],[superificie]]*Resa</f>
        <v>#VALUE!</v>
      </c>
      <c r="P1237" t="e">
        <f>Tabella1[[#This Row],[KgPezzo]]*Tabella1[[#This Row],[q.ta offerta]]</f>
        <v>#VALUE!</v>
      </c>
      <c r="Q1237" t="e">
        <f>RigheOfferte[[#This Row],[QtaProtez]]</f>
        <v>#VALUE!</v>
      </c>
      <c r="R1237" t="e">
        <f>RigheOfferte[[#This Row],[Tipo Protezione]]</f>
        <v>#VALUE!</v>
      </c>
    </row>
    <row r="1238" spans="1:18">
      <c r="A1238" t="e">
        <f>RigheOfferte[[#This Row],[Nprev]]</f>
        <v>#VALUE!</v>
      </c>
      <c r="B1238" t="e">
        <f>RigheOfferte[[#This Row],[Nriga]]</f>
        <v>#VALUE!</v>
      </c>
      <c r="C1238" t="e">
        <f>RigheOfferte[[#This Row],[Cliente]]</f>
        <v>#VALUE!</v>
      </c>
      <c r="D1238" t="e">
        <f>RigheOfferte[[#This Row],[sub_cliente]]</f>
        <v>#VALUE!</v>
      </c>
      <c r="E1238" t="e">
        <f>RigheOfferte[[#This Row],[cod.Art.]]</f>
        <v>#VALUE!</v>
      </c>
      <c r="F1238" t="e">
        <f>RigheOfferte[[#This Row],[Descrizione]]</f>
        <v>#VALUE!</v>
      </c>
      <c r="G1238" t="e">
        <f>RigheOfferte[[#This Row],[Q.ta'']]</f>
        <v>#VALUE!</v>
      </c>
      <c r="H1238" t="e">
        <f>RigheOfferte[[#This Row],[Lavorazione]]</f>
        <v>#VALUE!</v>
      </c>
      <c r="I1238" t="e">
        <f>RigheOfferte[[#This Row],[Colore]]</f>
        <v>#VALUE!</v>
      </c>
      <c r="J1238" t="e">
        <f>RigheOfferte[[#This Row],[Velocità]]</f>
        <v>#VALUE!</v>
      </c>
      <c r="K1238" t="e">
        <f>RigheOfferte[[#This Row],[Superf.pz Mq]]</f>
        <v>#VALUE!</v>
      </c>
      <c r="L1238" t="e">
        <f>RigheOfferte[[#This Row],[passo]]</f>
        <v>#VALUE!</v>
      </c>
      <c r="M1238" t="e">
        <f>RigheOfferte[[#This Row],[nr.pezzi Telaio]]</f>
        <v>#VALUE!</v>
      </c>
      <c r="N1238" t="e">
        <f>RigheOfferte[[#This Row],[nr.pezzi ora-unita]]</f>
        <v>#VALUE!</v>
      </c>
      <c r="O1238" t="e">
        <f>Tabella1[[#This Row],[superificie]]*Resa</f>
        <v>#VALUE!</v>
      </c>
      <c r="P1238" t="e">
        <f>Tabella1[[#This Row],[KgPezzo]]*Tabella1[[#This Row],[q.ta offerta]]</f>
        <v>#VALUE!</v>
      </c>
      <c r="Q1238" t="e">
        <f>RigheOfferte[[#This Row],[QtaProtez]]</f>
        <v>#VALUE!</v>
      </c>
      <c r="R1238" t="e">
        <f>RigheOfferte[[#This Row],[Tipo Protezione]]</f>
        <v>#VALUE!</v>
      </c>
    </row>
    <row r="1239" spans="1:18">
      <c r="A1239" t="e">
        <f>RigheOfferte[[#This Row],[Nprev]]</f>
        <v>#VALUE!</v>
      </c>
      <c r="B1239" t="e">
        <f>RigheOfferte[[#This Row],[Nriga]]</f>
        <v>#VALUE!</v>
      </c>
      <c r="C1239" t="e">
        <f>RigheOfferte[[#This Row],[Cliente]]</f>
        <v>#VALUE!</v>
      </c>
      <c r="D1239" t="e">
        <f>RigheOfferte[[#This Row],[sub_cliente]]</f>
        <v>#VALUE!</v>
      </c>
      <c r="E1239" t="e">
        <f>RigheOfferte[[#This Row],[cod.Art.]]</f>
        <v>#VALUE!</v>
      </c>
      <c r="F1239" t="e">
        <f>RigheOfferte[[#This Row],[Descrizione]]</f>
        <v>#VALUE!</v>
      </c>
      <c r="G1239" t="e">
        <f>RigheOfferte[[#This Row],[Q.ta'']]</f>
        <v>#VALUE!</v>
      </c>
      <c r="H1239" t="e">
        <f>RigheOfferte[[#This Row],[Lavorazione]]</f>
        <v>#VALUE!</v>
      </c>
      <c r="I1239" t="e">
        <f>RigheOfferte[[#This Row],[Colore]]</f>
        <v>#VALUE!</v>
      </c>
      <c r="J1239" t="e">
        <f>RigheOfferte[[#This Row],[Velocità]]</f>
        <v>#VALUE!</v>
      </c>
      <c r="K1239" t="e">
        <f>RigheOfferte[[#This Row],[Superf.pz Mq]]</f>
        <v>#VALUE!</v>
      </c>
      <c r="L1239" t="e">
        <f>RigheOfferte[[#This Row],[passo]]</f>
        <v>#VALUE!</v>
      </c>
      <c r="M1239" t="e">
        <f>RigheOfferte[[#This Row],[nr.pezzi Telaio]]</f>
        <v>#VALUE!</v>
      </c>
      <c r="N1239" t="e">
        <f>RigheOfferte[[#This Row],[nr.pezzi ora-unita]]</f>
        <v>#VALUE!</v>
      </c>
      <c r="O1239" t="e">
        <f>Tabella1[[#This Row],[superificie]]*Resa</f>
        <v>#VALUE!</v>
      </c>
      <c r="P1239" t="e">
        <f>Tabella1[[#This Row],[KgPezzo]]*Tabella1[[#This Row],[q.ta offerta]]</f>
        <v>#VALUE!</v>
      </c>
      <c r="Q1239" t="e">
        <f>RigheOfferte[[#This Row],[QtaProtez]]</f>
        <v>#VALUE!</v>
      </c>
      <c r="R1239" t="e">
        <f>RigheOfferte[[#This Row],[Tipo Protezione]]</f>
        <v>#VALUE!</v>
      </c>
    </row>
    <row r="1240" spans="1:18">
      <c r="A1240" t="e">
        <f>RigheOfferte[[#This Row],[Nprev]]</f>
        <v>#VALUE!</v>
      </c>
      <c r="B1240" t="e">
        <f>RigheOfferte[[#This Row],[Nriga]]</f>
        <v>#VALUE!</v>
      </c>
      <c r="C1240" t="e">
        <f>RigheOfferte[[#This Row],[Cliente]]</f>
        <v>#VALUE!</v>
      </c>
      <c r="D1240" t="e">
        <f>RigheOfferte[[#This Row],[sub_cliente]]</f>
        <v>#VALUE!</v>
      </c>
      <c r="E1240" t="e">
        <f>RigheOfferte[[#This Row],[cod.Art.]]</f>
        <v>#VALUE!</v>
      </c>
      <c r="F1240" t="e">
        <f>RigheOfferte[[#This Row],[Descrizione]]</f>
        <v>#VALUE!</v>
      </c>
      <c r="G1240" t="e">
        <f>RigheOfferte[[#This Row],[Q.ta'']]</f>
        <v>#VALUE!</v>
      </c>
      <c r="H1240" t="e">
        <f>RigheOfferte[[#This Row],[Lavorazione]]</f>
        <v>#VALUE!</v>
      </c>
      <c r="I1240" t="e">
        <f>RigheOfferte[[#This Row],[Colore]]</f>
        <v>#VALUE!</v>
      </c>
      <c r="J1240" t="e">
        <f>RigheOfferte[[#This Row],[Velocità]]</f>
        <v>#VALUE!</v>
      </c>
      <c r="K1240" t="e">
        <f>RigheOfferte[[#This Row],[Superf.pz Mq]]</f>
        <v>#VALUE!</v>
      </c>
      <c r="L1240" t="e">
        <f>RigheOfferte[[#This Row],[passo]]</f>
        <v>#VALUE!</v>
      </c>
      <c r="M1240" t="e">
        <f>RigheOfferte[[#This Row],[nr.pezzi Telaio]]</f>
        <v>#VALUE!</v>
      </c>
      <c r="N1240" t="e">
        <f>RigheOfferte[[#This Row],[nr.pezzi ora-unita]]</f>
        <v>#VALUE!</v>
      </c>
      <c r="O1240" t="e">
        <f>Tabella1[[#This Row],[superificie]]*Resa</f>
        <v>#VALUE!</v>
      </c>
      <c r="P1240" t="e">
        <f>Tabella1[[#This Row],[KgPezzo]]*Tabella1[[#This Row],[q.ta offerta]]</f>
        <v>#VALUE!</v>
      </c>
      <c r="Q1240" t="e">
        <f>RigheOfferte[[#This Row],[QtaProtez]]</f>
        <v>#VALUE!</v>
      </c>
      <c r="R1240" t="e">
        <f>RigheOfferte[[#This Row],[Tipo Protezione]]</f>
        <v>#VALUE!</v>
      </c>
    </row>
    <row r="1241" spans="1:18">
      <c r="A1241" t="e">
        <f>RigheOfferte[[#This Row],[Nprev]]</f>
        <v>#VALUE!</v>
      </c>
      <c r="B1241" t="e">
        <f>RigheOfferte[[#This Row],[Nriga]]</f>
        <v>#VALUE!</v>
      </c>
      <c r="C1241" t="e">
        <f>RigheOfferte[[#This Row],[Cliente]]</f>
        <v>#VALUE!</v>
      </c>
      <c r="D1241" t="e">
        <f>RigheOfferte[[#This Row],[sub_cliente]]</f>
        <v>#VALUE!</v>
      </c>
      <c r="E1241" t="e">
        <f>RigheOfferte[[#This Row],[cod.Art.]]</f>
        <v>#VALUE!</v>
      </c>
      <c r="F1241" t="e">
        <f>RigheOfferte[[#This Row],[Descrizione]]</f>
        <v>#VALUE!</v>
      </c>
      <c r="G1241" t="e">
        <f>RigheOfferte[[#This Row],[Q.ta'']]</f>
        <v>#VALUE!</v>
      </c>
      <c r="H1241" t="e">
        <f>RigheOfferte[[#This Row],[Lavorazione]]</f>
        <v>#VALUE!</v>
      </c>
      <c r="I1241" t="e">
        <f>RigheOfferte[[#This Row],[Colore]]</f>
        <v>#VALUE!</v>
      </c>
      <c r="J1241" t="e">
        <f>RigheOfferte[[#This Row],[Velocità]]</f>
        <v>#VALUE!</v>
      </c>
      <c r="K1241" t="e">
        <f>RigheOfferte[[#This Row],[Superf.pz Mq]]</f>
        <v>#VALUE!</v>
      </c>
      <c r="L1241" t="e">
        <f>RigheOfferte[[#This Row],[passo]]</f>
        <v>#VALUE!</v>
      </c>
      <c r="M1241" t="e">
        <f>RigheOfferte[[#This Row],[nr.pezzi Telaio]]</f>
        <v>#VALUE!</v>
      </c>
      <c r="N1241" t="e">
        <f>RigheOfferte[[#This Row],[nr.pezzi ora-unita]]</f>
        <v>#VALUE!</v>
      </c>
      <c r="O1241" t="e">
        <f>Tabella1[[#This Row],[superificie]]*Resa</f>
        <v>#VALUE!</v>
      </c>
      <c r="P1241" t="e">
        <f>Tabella1[[#This Row],[KgPezzo]]*Tabella1[[#This Row],[q.ta offerta]]</f>
        <v>#VALUE!</v>
      </c>
      <c r="Q1241" t="e">
        <f>RigheOfferte[[#This Row],[QtaProtez]]</f>
        <v>#VALUE!</v>
      </c>
      <c r="R1241" t="e">
        <f>RigheOfferte[[#This Row],[Tipo Protezione]]</f>
        <v>#VALUE!</v>
      </c>
    </row>
    <row r="1242" spans="1:18">
      <c r="A1242" t="e">
        <f>RigheOfferte[[#This Row],[Nprev]]</f>
        <v>#VALUE!</v>
      </c>
      <c r="B1242" t="e">
        <f>RigheOfferte[[#This Row],[Nriga]]</f>
        <v>#VALUE!</v>
      </c>
      <c r="C1242" t="e">
        <f>RigheOfferte[[#This Row],[Cliente]]</f>
        <v>#VALUE!</v>
      </c>
      <c r="D1242" t="e">
        <f>RigheOfferte[[#This Row],[sub_cliente]]</f>
        <v>#VALUE!</v>
      </c>
      <c r="E1242" t="e">
        <f>RigheOfferte[[#This Row],[cod.Art.]]</f>
        <v>#VALUE!</v>
      </c>
      <c r="F1242" t="e">
        <f>RigheOfferte[[#This Row],[Descrizione]]</f>
        <v>#VALUE!</v>
      </c>
      <c r="G1242" t="e">
        <f>RigheOfferte[[#This Row],[Q.ta'']]</f>
        <v>#VALUE!</v>
      </c>
      <c r="H1242" t="e">
        <f>RigheOfferte[[#This Row],[Lavorazione]]</f>
        <v>#VALUE!</v>
      </c>
      <c r="I1242" t="e">
        <f>RigheOfferte[[#This Row],[Colore]]</f>
        <v>#VALUE!</v>
      </c>
      <c r="J1242" t="e">
        <f>RigheOfferte[[#This Row],[Velocità]]</f>
        <v>#VALUE!</v>
      </c>
      <c r="K1242" t="e">
        <f>RigheOfferte[[#This Row],[Superf.pz Mq]]</f>
        <v>#VALUE!</v>
      </c>
      <c r="L1242" t="e">
        <f>RigheOfferte[[#This Row],[passo]]</f>
        <v>#VALUE!</v>
      </c>
      <c r="M1242" t="e">
        <f>RigheOfferte[[#This Row],[nr.pezzi Telaio]]</f>
        <v>#VALUE!</v>
      </c>
      <c r="N1242" t="e">
        <f>RigheOfferte[[#This Row],[nr.pezzi ora-unita]]</f>
        <v>#VALUE!</v>
      </c>
      <c r="O1242" t="e">
        <f>Tabella1[[#This Row],[superificie]]*Resa</f>
        <v>#VALUE!</v>
      </c>
      <c r="P1242" t="e">
        <f>Tabella1[[#This Row],[KgPezzo]]*Tabella1[[#This Row],[q.ta offerta]]</f>
        <v>#VALUE!</v>
      </c>
      <c r="Q1242" t="e">
        <f>RigheOfferte[[#This Row],[QtaProtez]]</f>
        <v>#VALUE!</v>
      </c>
      <c r="R1242" t="e">
        <f>RigheOfferte[[#This Row],[Tipo Protezione]]</f>
        <v>#VALUE!</v>
      </c>
    </row>
  </sheetData>
  <pageMargins left="0.70866141732283505" right="0.70866141732283505" top="0.74803149606299202" bottom="0.74803149606299202" header="0.31496062992126" footer="0.31496062992126"/>
  <pageSetup paperSize="8" scale="1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AM159"/>
  <sheetViews>
    <sheetView topLeftCell="Z1" zoomScale="110" zoomScaleNormal="110" workbookViewId="0">
      <selection activeCell="AN5" sqref="AN5"/>
    </sheetView>
  </sheetViews>
  <sheetFormatPr defaultColWidth="8.88671875" defaultRowHeight="13.8"/>
  <cols>
    <col min="1" max="1" width="11.33203125" style="12" customWidth="1"/>
    <col min="2" max="3" width="11.6640625" style="12" customWidth="1"/>
    <col min="4" max="4" width="8.5546875" style="12" customWidth="1"/>
    <col min="5" max="5" width="7.88671875" style="12" customWidth="1"/>
    <col min="6" max="6" width="12.88671875" style="12" customWidth="1"/>
    <col min="7" max="7" width="14.6640625" style="12" customWidth="1"/>
    <col min="8" max="8" width="17.6640625" style="12" customWidth="1"/>
    <col min="9" max="9" width="14.6640625" style="12" customWidth="1"/>
    <col min="10" max="10" width="36.6640625" style="13" customWidth="1"/>
    <col min="11" max="11" width="31.5546875" style="12" customWidth="1"/>
    <col min="12" max="12" width="38.44140625" style="12" customWidth="1"/>
    <col min="13" max="13" width="12.33203125" style="12" customWidth="1"/>
    <col min="14" max="14" width="19" style="12" customWidth="1"/>
    <col min="15" max="15" width="9" style="12" customWidth="1"/>
    <col min="16" max="16" width="10.44140625" style="12" customWidth="1"/>
    <col min="17" max="17" width="20.33203125" style="12" customWidth="1"/>
    <col min="18" max="18" width="8.6640625" style="12" customWidth="1"/>
    <col min="19" max="19" width="10.109375" style="12" customWidth="1"/>
    <col min="20" max="20" width="7.33203125" style="1" customWidth="1"/>
    <col min="21" max="21" width="6.6640625" style="1" customWidth="1"/>
    <col min="22" max="22" width="17.44140625" style="1" customWidth="1"/>
    <col min="23" max="23" width="15.109375" style="1" customWidth="1"/>
    <col min="24" max="24" width="12.33203125" style="1" customWidth="1"/>
    <col min="25" max="25" width="9.33203125" style="1" customWidth="1"/>
    <col min="26" max="26" width="11" style="1" customWidth="1"/>
    <col min="27" max="27" width="12.88671875" style="1" customWidth="1"/>
    <col min="28" max="28" width="12" style="1" customWidth="1"/>
    <col min="29" max="29" width="9.6640625" style="1" customWidth="1"/>
    <col min="30" max="30" width="9.88671875" style="14" customWidth="1"/>
    <col min="31" max="31" width="15.109375" style="14" customWidth="1"/>
    <col min="32" max="32" width="9.44140625" style="1" customWidth="1"/>
    <col min="33" max="33" width="9.109375" style="15" customWidth="1"/>
    <col min="34" max="34" width="13.88671875" style="12" customWidth="1"/>
    <col min="35" max="35" width="11.44140625" style="12" customWidth="1"/>
    <col min="36" max="36" width="10.5546875" style="16" customWidth="1"/>
    <col min="37" max="37" width="15.44140625" style="12" customWidth="1"/>
    <col min="38" max="38" width="13.5546875" style="12" customWidth="1"/>
    <col min="39" max="39" width="20.33203125" style="12" customWidth="1"/>
    <col min="40" max="16384" width="8.88671875" style="12"/>
  </cols>
  <sheetData>
    <row r="1" spans="1:39" s="11" customFormat="1">
      <c r="A1" s="17" t="s">
        <v>98</v>
      </c>
      <c r="B1" s="17" t="s">
        <v>99</v>
      </c>
      <c r="C1" s="17" t="s">
        <v>100</v>
      </c>
      <c r="D1" s="17" t="s">
        <v>101</v>
      </c>
      <c r="E1" s="17" t="s">
        <v>102</v>
      </c>
      <c r="F1" s="17" t="s">
        <v>103</v>
      </c>
      <c r="G1" s="17" t="s">
        <v>83</v>
      </c>
      <c r="H1" s="17" t="s">
        <v>84</v>
      </c>
      <c r="I1" s="17" t="s">
        <v>104</v>
      </c>
      <c r="J1" s="17" t="s">
        <v>105</v>
      </c>
      <c r="K1" s="17" t="s">
        <v>85</v>
      </c>
      <c r="L1" s="17" t="s">
        <v>47</v>
      </c>
      <c r="M1" s="17" t="s">
        <v>106</v>
      </c>
      <c r="N1" s="17" t="s">
        <v>107</v>
      </c>
      <c r="O1" s="17" t="s">
        <v>108</v>
      </c>
      <c r="P1" s="21" t="s">
        <v>89</v>
      </c>
      <c r="Q1" s="17" t="s">
        <v>88</v>
      </c>
      <c r="R1" s="17" t="s">
        <v>109</v>
      </c>
      <c r="S1" s="17" t="s">
        <v>110</v>
      </c>
      <c r="T1" s="17" t="s">
        <v>91</v>
      </c>
      <c r="U1" s="17" t="s">
        <v>92</v>
      </c>
      <c r="V1" s="17" t="s">
        <v>93</v>
      </c>
      <c r="W1" s="17" t="s">
        <v>111</v>
      </c>
      <c r="X1" s="17" t="s">
        <v>112</v>
      </c>
      <c r="Y1" s="17" t="s">
        <v>113</v>
      </c>
      <c r="Z1" s="17" t="s">
        <v>114</v>
      </c>
      <c r="AA1" s="17" t="s">
        <v>115</v>
      </c>
      <c r="AB1" s="17" t="s">
        <v>116</v>
      </c>
      <c r="AC1" s="17" t="s">
        <v>117</v>
      </c>
      <c r="AD1" s="24" t="s">
        <v>118</v>
      </c>
      <c r="AE1" s="17" t="s">
        <v>119</v>
      </c>
      <c r="AF1" s="17" t="s">
        <v>120</v>
      </c>
      <c r="AG1" s="15" t="s">
        <v>121</v>
      </c>
      <c r="AH1" s="17" t="s">
        <v>122</v>
      </c>
      <c r="AI1" s="17" t="s">
        <v>123</v>
      </c>
      <c r="AJ1" s="26" t="s">
        <v>124</v>
      </c>
      <c r="AK1" s="17" t="s">
        <v>125</v>
      </c>
      <c r="AL1" s="17" t="s">
        <v>126</v>
      </c>
      <c r="AM1" s="17" t="s">
        <v>127</v>
      </c>
    </row>
    <row r="2" spans="1:39" ht="14.4">
      <c r="A2" s="47" t="str">
        <f>IF(LEN('riepilogo prezzi'!$D2&amp;'riepilogo prezzi'!$E2)&gt;0,'riepilogo prezzi'!$D2&amp;"-"&amp;'riepilogo prezzi'!$E2,"")</f>
        <v>202601-1</v>
      </c>
      <c r="B2" s="18" t="str">
        <f>IF(LEN(MONTH(RigheOfferte[[#This Row],[data]]))=1,0&amp;MONTH(RigheOfferte[[#This Row],[data]]),MONTH(RigheOfferte[[#This Row],[data]]))</f>
        <v>01</v>
      </c>
      <c r="C2" s="18" t="str">
        <f>IF(MONTH(RigheOfferte[[#This Row],[data]])&gt;8,"03",IF(MONTH(RigheOfferte[[#This Row],[data]])&gt;4,"02","01"))</f>
        <v>01</v>
      </c>
      <c r="D2" s="48">
        <v>202601</v>
      </c>
      <c r="E2" s="48">
        <v>1</v>
      </c>
      <c r="F2" s="59">
        <v>46029</v>
      </c>
      <c r="G2" s="48" t="s">
        <v>156</v>
      </c>
      <c r="H2" s="47" t="s">
        <v>155</v>
      </c>
      <c r="I2" s="48" t="s">
        <v>157</v>
      </c>
      <c r="J2" s="22" t="s">
        <v>158</v>
      </c>
      <c r="K2" s="49">
        <v>5600755201</v>
      </c>
      <c r="L2" s="48" t="s">
        <v>159</v>
      </c>
      <c r="M2" s="48" t="s">
        <v>5</v>
      </c>
      <c r="N2" s="48" t="str">
        <f>_xlfn.IFNA(VLOOKUP(RigheOfferte[[#This Row],[Lavorazione]],DescLavorazioni[],2,FALSE),"")</f>
        <v>Verniciatura</v>
      </c>
      <c r="O2" s="48" t="s">
        <v>57</v>
      </c>
      <c r="P2" s="50">
        <f>_xlfn.IFNA(VLOOKUP(RigheOfferte[[#This Row],[Cod Vel]],VeloCatena[],3,FALSE),0)</f>
        <v>2</v>
      </c>
      <c r="Q2" s="48" t="s">
        <v>160</v>
      </c>
      <c r="R2" s="48">
        <v>1000</v>
      </c>
      <c r="S2" s="48" t="s">
        <v>79</v>
      </c>
      <c r="T2" s="48">
        <v>0.8</v>
      </c>
      <c r="U2" s="48">
        <v>16</v>
      </c>
      <c r="V2" s="51">
        <f>IF(RigheOfferte[[#This Row],[Velocità]]&gt;0,60*RigheOfferte[[#This Row],[Velocità]]/RigheOfferte[[#This Row],[passo]]*RigheOfferte[[#This Row],[nr.pezzi Telaio]],0)</f>
        <v>2400</v>
      </c>
      <c r="W2" s="51"/>
      <c r="X2" s="52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0.41666666666666669</v>
      </c>
      <c r="Y2" s="51">
        <f>IFERROR(IF(OR(RigheOfferte[[#This Row],[Lavorazione]]="L1",RigheOfferte[[#This Row],[Lavorazione]]="L2",RigheOfferte[[#This Row],[Lavorazione]]="L3"),VLOOKUP(RigheOfferte[[#This Row],[lotto]],Lotti[],2,FALSE),0),0)</f>
        <v>30</v>
      </c>
      <c r="Z2" s="51">
        <f>_xlfn.IFNA(INDEX(RiepilogoCostiOrari[],MATCH(YEAR(RigheOfferte[[#This Row],[data]])&amp;RigheOfferte[[#This Row],[Quadrimestre]],QuCostiLav,0),MATCH(RigheOfferte[[#This Row],[Lavorazione]],CodLavorazioni,0)),0)</f>
        <v>690.7</v>
      </c>
      <c r="AA2" s="53">
        <v>5.7000000000000002E-2</v>
      </c>
      <c r="AB2" s="48">
        <v>5</v>
      </c>
      <c r="AC2" s="51">
        <f>RigheOfferte[[#This Row],[Superf.pz Mq]]*Resa*RigheOfferte[[#This Row],[MP (€kg)]]</f>
        <v>4.4574000000000003E-2</v>
      </c>
      <c r="AD2" s="54"/>
      <c r="AE2" s="54"/>
      <c r="AF2" s="55">
        <f>_xlfn.IFNA(VLOOKUP(RigheOfferte[[#This Row],[Tipo Protezione]],Protezioni[],2,FALSE),0)</f>
        <v>0</v>
      </c>
      <c r="AG2" s="56">
        <v>0.51</v>
      </c>
      <c r="AH2" s="57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0.3623656666666667</v>
      </c>
      <c r="AI2" s="48">
        <f>RigheOfferte[[#This Row],[altri costi]]+RigheOfferte[[#This Row],[costo industriale pz]]</f>
        <v>0.87236566666666671</v>
      </c>
      <c r="AJ2" s="58">
        <f>_xlfn.IFNA(INDEX(Ricarichi[],MATCH(YEAR(RigheOfferte[[#This Row],[data]])&amp;RigheOfferte[[#This Row],[Quadrimestre]],QuCostiLav,0),MATCH(RigheOfferte[[#This Row],[Lavorazione]],CodLavorazioni,0)),0)</f>
        <v>0.38</v>
      </c>
      <c r="AK2" s="57">
        <f>RigheOfferte[[#This Row],[totale costi]]+(RigheOfferte[[#This Row],[totale costi]]*RigheOfferte[[#This Row],[Ricarico]])</f>
        <v>1.2038646200000001</v>
      </c>
      <c r="AL2" s="48">
        <f>RigheOfferte[[#This Row],[Prezzo Di Vendita]]*RigheOfferte[[#This Row],[Q.ta'']]</f>
        <v>1203.8646200000001</v>
      </c>
      <c r="AM2" s="48">
        <f>IFERROR(RigheOfferte[[#This Row],[Prezzo Di Vendita]]/RigheOfferte[[#This Row],[Superf.pz Mq]],0)</f>
        <v>21.120431929824562</v>
      </c>
    </row>
    <row r="3" spans="1:39" ht="14.4">
      <c r="A3" s="60" t="str">
        <f>IF(LEN('riepilogo prezzi'!$D3&amp;'riepilogo prezzi'!$E3)&gt;0,'riepilogo prezzi'!$D3&amp;"-"&amp;'riepilogo prezzi'!$E3,"")</f>
        <v>202602-1</v>
      </c>
      <c r="B3" s="19" t="str">
        <f>IF(LEN(MONTH(RigheOfferte[[#This Row],[data]]))=1,0&amp;MONTH(RigheOfferte[[#This Row],[data]]),MONTH(RigheOfferte[[#This Row],[data]]))</f>
        <v>02</v>
      </c>
      <c r="C3" s="19" t="str">
        <f>IF(MONTH(RigheOfferte[[#This Row],[data]])&gt;8,"03",IF(MONTH(RigheOfferte[[#This Row],[data]])&gt;4,"02","01"))</f>
        <v>01</v>
      </c>
      <c r="D3" s="20">
        <v>202602</v>
      </c>
      <c r="E3" s="20">
        <v>1</v>
      </c>
      <c r="F3" s="61">
        <v>46079</v>
      </c>
      <c r="G3" s="20" t="s">
        <v>162</v>
      </c>
      <c r="H3" s="20" t="s">
        <v>162</v>
      </c>
      <c r="I3" s="48" t="s">
        <v>157</v>
      </c>
      <c r="J3" s="82" t="s">
        <v>165</v>
      </c>
      <c r="K3" s="49">
        <v>3037280</v>
      </c>
      <c r="L3" s="20" t="s">
        <v>163</v>
      </c>
      <c r="M3" s="20" t="s">
        <v>5</v>
      </c>
      <c r="N3" s="20" t="str">
        <f>_xlfn.IFNA(VLOOKUP(RigheOfferte[[#This Row],[Lavorazione]],DescLavorazioni[],2,FALSE),"")</f>
        <v>Verniciatura</v>
      </c>
      <c r="O3" s="20" t="s">
        <v>57</v>
      </c>
      <c r="P3" s="63">
        <f>_xlfn.IFNA(VLOOKUP(RigheOfferte[[#This Row],[Cod Vel]],VeloCatena[],3,FALSE),0)</f>
        <v>2</v>
      </c>
      <c r="Q3" s="20" t="s">
        <v>164</v>
      </c>
      <c r="R3" s="20">
        <v>2000</v>
      </c>
      <c r="S3" s="20" t="s">
        <v>80</v>
      </c>
      <c r="T3" s="20">
        <v>1.2</v>
      </c>
      <c r="U3" s="20">
        <v>5</v>
      </c>
      <c r="V3" s="23">
        <f>IF(RigheOfferte[[#This Row],[Velocità]]&gt;0,60*RigheOfferte[[#This Row],[Velocità]]/RigheOfferte[[#This Row],[passo]]*RigheOfferte[[#This Row],[nr.pezzi Telaio]],0)</f>
        <v>500</v>
      </c>
      <c r="W3" s="23"/>
      <c r="X3" s="64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4</v>
      </c>
      <c r="Y3" s="23">
        <f>IFERROR(IF(OR(RigheOfferte[[#This Row],[Lavorazione]]="L1",RigheOfferte[[#This Row],[Lavorazione]]="L2",RigheOfferte[[#This Row],[Lavorazione]]="L3"),VLOOKUP(RigheOfferte[[#This Row],[lotto]],Lotti[],2,FALSE),0),0)</f>
        <v>10</v>
      </c>
      <c r="Z3" s="23">
        <f>_xlfn.IFNA(INDEX(RiepilogoCostiOrari[],MATCH(YEAR(RigheOfferte[[#This Row],[data]])&amp;RigheOfferte[[#This Row],[Quadrimestre]],QuCostiLav,0),MATCH(RigheOfferte[[#This Row],[Lavorazione]],CodLavorazioni,0)),0)</f>
        <v>690.7</v>
      </c>
      <c r="AA3" s="65">
        <v>0.72099999999999997</v>
      </c>
      <c r="AB3" s="20">
        <v>4.5999999999999996</v>
      </c>
      <c r="AC3" s="23">
        <f>RigheOfferte[[#This Row],[Superf.pz Mq]]*Resa*RigheOfferte[[#This Row],[MP (€kg)]]</f>
        <v>0.51871623999999994</v>
      </c>
      <c r="AD3" s="25"/>
      <c r="AE3" s="25"/>
      <c r="AF3" s="55">
        <f>_xlfn.IFNA(VLOOKUP(RigheOfferte[[#This Row],[Tipo Protezione]],Protezioni[],2,FALSE),0)</f>
        <v>0</v>
      </c>
      <c r="AG3" s="27"/>
      <c r="AH3" s="66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1.9051162399999999</v>
      </c>
      <c r="AI3" s="20">
        <f>RigheOfferte[[#This Row],[altri costi]]+RigheOfferte[[#This Row],[costo industriale pz]]</f>
        <v>1.9051162399999999</v>
      </c>
      <c r="AJ3" s="28">
        <f>_xlfn.IFNA(INDEX(Ricarichi[],MATCH(YEAR(RigheOfferte[[#This Row],[data]])&amp;RigheOfferte[[#This Row],[Quadrimestre]],QuCostiLav,0),MATCH(RigheOfferte[[#This Row],[Lavorazione]],CodLavorazioni,0)),0)</f>
        <v>0.38</v>
      </c>
      <c r="AK3" s="66">
        <f>RigheOfferte[[#This Row],[totale costi]]+(RigheOfferte[[#This Row],[totale costi]]*RigheOfferte[[#This Row],[Ricarico]])</f>
        <v>2.6290604111999998</v>
      </c>
      <c r="AL3" s="20">
        <f>RigheOfferte[[#This Row],[Prezzo Di Vendita]]*RigheOfferte[[#This Row],[Q.ta'']]</f>
        <v>5258.1208223999993</v>
      </c>
      <c r="AM3" s="20">
        <f>IFERROR(RigheOfferte[[#This Row],[Prezzo Di Vendita]]/RigheOfferte[[#This Row],[Superf.pz Mq]],0)</f>
        <v>3.6464083373092926</v>
      </c>
    </row>
    <row r="4" spans="1:39" ht="14.4">
      <c r="A4" s="69" t="str">
        <f>IF(LEN('riepilogo prezzi'!$D4&amp;'riepilogo prezzi'!$E4)&gt;0,'riepilogo prezzi'!$D4&amp;"-"&amp;'riepilogo prezzi'!$E4,"")</f>
        <v>202602-2</v>
      </c>
      <c r="B4" s="70" t="str">
        <f>IF(LEN(MONTH(RigheOfferte[[#This Row],[data]]))=1,0&amp;MONTH(RigheOfferte[[#This Row],[data]]),MONTH(RigheOfferte[[#This Row],[data]]))</f>
        <v>02</v>
      </c>
      <c r="C4" s="70" t="str">
        <f>IF(MONTH(RigheOfferte[[#This Row],[data]])&gt;8,"03",IF(MONTH(RigheOfferte[[#This Row],[data]])&gt;4,"02","01"))</f>
        <v>01</v>
      </c>
      <c r="D4" s="20">
        <v>202602</v>
      </c>
      <c r="E4" s="20">
        <v>2</v>
      </c>
      <c r="F4" s="61">
        <v>46079</v>
      </c>
      <c r="G4" s="20" t="s">
        <v>162</v>
      </c>
      <c r="H4" s="20" t="s">
        <v>162</v>
      </c>
      <c r="I4" s="48" t="s">
        <v>157</v>
      </c>
      <c r="J4" s="82" t="s">
        <v>165</v>
      </c>
      <c r="K4" s="49">
        <v>3037280</v>
      </c>
      <c r="L4" s="20" t="s">
        <v>163</v>
      </c>
      <c r="M4" s="48" t="s">
        <v>25</v>
      </c>
      <c r="N4" s="71" t="str">
        <f>_xlfn.IFNA(VLOOKUP(RigheOfferte[[#This Row],[Lavorazione]],DescLavorazioni[],2,FALSE),"")</f>
        <v>Montaggio</v>
      </c>
      <c r="O4" s="71"/>
      <c r="P4" s="73">
        <f>_xlfn.IFNA(VLOOKUP(RigheOfferte[[#This Row],[Cod Vel]],VeloCatena[],3,FALSE),0)</f>
        <v>0</v>
      </c>
      <c r="Q4" s="20"/>
      <c r="R4" s="20">
        <v>2000</v>
      </c>
      <c r="S4" s="71"/>
      <c r="T4" s="71"/>
      <c r="U4" s="71"/>
      <c r="V4" s="74">
        <f>IF(RigheOfferte[[#This Row],[Velocità]]&gt;0,60*RigheOfferte[[#This Row],[Velocità]]/RigheOfferte[[#This Row],[passo]]*RigheOfferte[[#This Row],[nr.pezzi Telaio]],0)</f>
        <v>0</v>
      </c>
      <c r="W4" s="74">
        <v>32</v>
      </c>
      <c r="X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62.5</v>
      </c>
      <c r="Y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" s="74">
        <f>_xlfn.IFNA(INDEX(RiepilogoCostiOrari[],MATCH(YEAR(RigheOfferte[[#This Row],[data]])&amp;RigheOfferte[[#This Row],[Quadrimestre]],QuCostiLav,0),MATCH(RigheOfferte[[#This Row],[Lavorazione]],CodLavorazioni,0)),0)</f>
        <v>30</v>
      </c>
      <c r="AA4" s="76"/>
      <c r="AB4" s="71"/>
      <c r="AC4" s="74">
        <f>RigheOfferte[[#This Row],[Superf.pz Mq]]*Resa*RigheOfferte[[#This Row],[MP (€kg)]]</f>
        <v>0</v>
      </c>
      <c r="AD4" s="77"/>
      <c r="AE4" s="77"/>
      <c r="AF4" s="55">
        <f>_xlfn.IFNA(VLOOKUP(RigheOfferte[[#This Row],[Tipo Protezione]],Protezioni[],2,FALSE),0)</f>
        <v>0</v>
      </c>
      <c r="AG4" s="79"/>
      <c r="AH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0.9375</v>
      </c>
      <c r="AI4" s="71">
        <f>RigheOfferte[[#This Row],[altri costi]]+RigheOfferte[[#This Row],[costo industriale pz]]</f>
        <v>0.9375</v>
      </c>
      <c r="AJ4" s="81">
        <f>_xlfn.IFNA(INDEX(Ricarichi[],MATCH(YEAR(RigheOfferte[[#This Row],[data]])&amp;RigheOfferte[[#This Row],[Quadrimestre]],QuCostiLav,0),MATCH(RigheOfferte[[#This Row],[Lavorazione]],CodLavorazioni,0)),0)</f>
        <v>0.38</v>
      </c>
      <c r="AK4" s="80">
        <f>RigheOfferte[[#This Row],[totale costi]]+(RigheOfferte[[#This Row],[totale costi]]*RigheOfferte[[#This Row],[Ricarico]])</f>
        <v>1.29375</v>
      </c>
      <c r="AL4" s="71">
        <f>RigheOfferte[[#This Row],[Prezzo Di Vendita]]*RigheOfferte[[#This Row],[Q.ta'']]</f>
        <v>2587.5</v>
      </c>
      <c r="AM4" s="71">
        <f>IFERROR(RigheOfferte[[#This Row],[Prezzo Di Vendita]]/RigheOfferte[[#This Row],[Superf.pz Mq]],0)</f>
        <v>0</v>
      </c>
    </row>
    <row r="5" spans="1:39" ht="14.4">
      <c r="A5" s="69" t="str">
        <f>IF(LEN('riepilogo prezzi'!$D5&amp;'riepilogo prezzi'!$E5)&gt;0,'riepilogo prezzi'!$D5&amp;"-"&amp;'riepilogo prezzi'!$E5,"")</f>
        <v>202602-3</v>
      </c>
      <c r="B5" s="70" t="str">
        <f>IF(LEN(MONTH(RigheOfferte[[#This Row],[data]]))=1,0&amp;MONTH(RigheOfferte[[#This Row],[data]]),MONTH(RigheOfferte[[#This Row],[data]]))</f>
        <v>02</v>
      </c>
      <c r="C5" s="70" t="str">
        <f>IF(MONTH(RigheOfferte[[#This Row],[data]])&gt;8,"03",IF(MONTH(RigheOfferte[[#This Row],[data]])&gt;4,"02","01"))</f>
        <v>01</v>
      </c>
      <c r="D5" s="20">
        <v>202602</v>
      </c>
      <c r="E5" s="20">
        <v>3</v>
      </c>
      <c r="F5" s="61">
        <v>46079</v>
      </c>
      <c r="G5" s="20" t="s">
        <v>162</v>
      </c>
      <c r="H5" s="20" t="s">
        <v>162</v>
      </c>
      <c r="I5" s="48" t="s">
        <v>157</v>
      </c>
      <c r="J5" s="82" t="s">
        <v>165</v>
      </c>
      <c r="K5" s="49">
        <v>3037280</v>
      </c>
      <c r="L5" s="20" t="s">
        <v>163</v>
      </c>
      <c r="M5" s="48" t="s">
        <v>29</v>
      </c>
      <c r="N5" s="71" t="str">
        <f>_xlfn.IFNA(VLOOKUP(RigheOfferte[[#This Row],[Lavorazione]],DescLavorazioni[],2,FALSE),"")</f>
        <v>Imballo</v>
      </c>
      <c r="O5" s="20"/>
      <c r="P5" s="73">
        <f>_xlfn.IFNA(VLOOKUP(RigheOfferte[[#This Row],[Cod Vel]],VeloCatena[],3,FALSE),0)</f>
        <v>0</v>
      </c>
      <c r="Q5" s="20"/>
      <c r="R5" s="20">
        <v>2000</v>
      </c>
      <c r="S5" s="71"/>
      <c r="T5" s="71"/>
      <c r="U5" s="71"/>
      <c r="V5" s="74">
        <f>IF(RigheOfferte[[#This Row],[Velocità]]&gt;0,60*RigheOfferte[[#This Row],[Velocità]]/RigheOfferte[[#This Row],[passo]]*RigheOfferte[[#This Row],[nr.pezzi Telaio]],0)</f>
        <v>0</v>
      </c>
      <c r="W5" s="74">
        <v>250</v>
      </c>
      <c r="X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8</v>
      </c>
      <c r="Y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" s="74">
        <f>_xlfn.IFNA(INDEX(RiepilogoCostiOrari[],MATCH(YEAR(RigheOfferte[[#This Row],[data]])&amp;RigheOfferte[[#This Row],[Quadrimestre]],QuCostiLav,0),MATCH(RigheOfferte[[#This Row],[Lavorazione]],CodLavorazioni,0)),0)</f>
        <v>30</v>
      </c>
      <c r="AA5" s="76"/>
      <c r="AB5" s="20"/>
      <c r="AC5" s="74">
        <f>RigheOfferte[[#This Row],[Superf.pz Mq]]*Resa*RigheOfferte[[#This Row],[MP (€kg)]]</f>
        <v>0</v>
      </c>
      <c r="AD5" s="77"/>
      <c r="AE5" s="77"/>
      <c r="AF5" s="55">
        <f>_xlfn.IFNA(VLOOKUP(RigheOfferte[[#This Row],[Tipo Protezione]],Protezioni[],2,FALSE),0)</f>
        <v>0</v>
      </c>
      <c r="AG5" s="79"/>
      <c r="AH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0.12</v>
      </c>
      <c r="AI5" s="71">
        <f>RigheOfferte[[#This Row],[altri costi]]+RigheOfferte[[#This Row],[costo industriale pz]]</f>
        <v>0.12</v>
      </c>
      <c r="AJ5" s="81">
        <f>_xlfn.IFNA(INDEX(Ricarichi[],MATCH(YEAR(RigheOfferte[[#This Row],[data]])&amp;RigheOfferte[[#This Row],[Quadrimestre]],QuCostiLav,0),MATCH(RigheOfferte[[#This Row],[Lavorazione]],CodLavorazioni,0)),0)</f>
        <v>0.38</v>
      </c>
      <c r="AK5" s="80">
        <f>RigheOfferte[[#This Row],[totale costi]]+(RigheOfferte[[#This Row],[totale costi]]*RigheOfferte[[#This Row],[Ricarico]])</f>
        <v>0.1656</v>
      </c>
      <c r="AL5" s="71">
        <f>RigheOfferte[[#This Row],[Prezzo Di Vendita]]*RigheOfferte[[#This Row],[Q.ta'']]</f>
        <v>331.2</v>
      </c>
      <c r="AM5" s="71">
        <f>IFERROR(RigheOfferte[[#This Row],[Prezzo Di Vendita]]/RigheOfferte[[#This Row],[Superf.pz Mq]],0)</f>
        <v>0</v>
      </c>
    </row>
    <row r="6" spans="1:39" ht="14.4">
      <c r="A6" s="69" t="str">
        <f>IF(LEN('riepilogo prezzi'!$D6&amp;'riepilogo prezzi'!$E6)&gt;0,'riepilogo prezzi'!$D6&amp;"-"&amp;'riepilogo prezzi'!$E6,"")</f>
        <v/>
      </c>
      <c r="B6" s="70" t="str">
        <f>IF(LEN(MONTH(RigheOfferte[[#This Row],[data]]))=1,0&amp;MONTH(RigheOfferte[[#This Row],[data]]),MONTH(RigheOfferte[[#This Row],[data]]))</f>
        <v>01</v>
      </c>
      <c r="C6" s="70" t="str">
        <f>IF(MONTH(RigheOfferte[[#This Row],[data]])&gt;8,"03",IF(MONTH(RigheOfferte[[#This Row],[data]])&gt;4,"02","01"))</f>
        <v>01</v>
      </c>
      <c r="D6" s="71"/>
      <c r="E6" s="20"/>
      <c r="F6" s="59"/>
      <c r="G6" s="71"/>
      <c r="H6" s="71"/>
      <c r="I6" s="71"/>
      <c r="J6" s="82"/>
      <c r="K6" s="71"/>
      <c r="L6" s="71"/>
      <c r="M6" s="48"/>
      <c r="N6" s="71" t="str">
        <f>_xlfn.IFNA(VLOOKUP(RigheOfferte[[#This Row],[Lavorazione]],DescLavorazioni[],2,FALSE),"")</f>
        <v/>
      </c>
      <c r="O6" s="71"/>
      <c r="P6" s="73">
        <f>_xlfn.IFNA(VLOOKUP(RigheOfferte[[#This Row],[Cod Vel]],VeloCatena[],3,FALSE),0)</f>
        <v>0</v>
      </c>
      <c r="Q6" s="20"/>
      <c r="R6" s="71"/>
      <c r="S6" s="71"/>
      <c r="T6" s="71"/>
      <c r="U6" s="71"/>
      <c r="V6" s="74">
        <f>IF(RigheOfferte[[#This Row],[Velocità]]&gt;0,60*RigheOfferte[[#This Row],[Velocità]]/RigheOfferte[[#This Row],[passo]]*RigheOfferte[[#This Row],[nr.pezzi Telaio]],0)</f>
        <v>0</v>
      </c>
      <c r="W6" s="74"/>
      <c r="X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" s="74">
        <f>_xlfn.IFNA(INDEX(RiepilogoCostiOrari[],MATCH(YEAR(RigheOfferte[[#This Row],[data]])&amp;RigheOfferte[[#This Row],[Quadrimestre]],QuCostiLav,0),MATCH(RigheOfferte[[#This Row],[Lavorazione]],CodLavorazioni,0)),0)</f>
        <v>0</v>
      </c>
      <c r="AA6" s="76"/>
      <c r="AB6" s="71"/>
      <c r="AC6" s="74">
        <f>RigheOfferte[[#This Row],[Superf.pz Mq]]*Resa*RigheOfferte[[#This Row],[MP (€kg)]]</f>
        <v>0</v>
      </c>
      <c r="AD6" s="77"/>
      <c r="AE6" s="77"/>
      <c r="AF6" s="55">
        <f>_xlfn.IFNA(VLOOKUP(RigheOfferte[[#This Row],[Tipo Protezione]],Protezioni[],2,FALSE),0)</f>
        <v>0</v>
      </c>
      <c r="AG6" s="79"/>
      <c r="AH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" s="71">
        <f>RigheOfferte[[#This Row],[altri costi]]+RigheOfferte[[#This Row],[costo industriale pz]]</f>
        <v>0</v>
      </c>
      <c r="AJ6" s="81">
        <f>_xlfn.IFNA(INDEX(Ricarichi[],MATCH(YEAR(RigheOfferte[[#This Row],[data]])&amp;RigheOfferte[[#This Row],[Quadrimestre]],QuCostiLav,0),MATCH(RigheOfferte[[#This Row],[Lavorazione]],CodLavorazioni,0)),0)</f>
        <v>0</v>
      </c>
      <c r="AK6" s="80">
        <f>RigheOfferte[[#This Row],[totale costi]]+(RigheOfferte[[#This Row],[totale costi]]*RigheOfferte[[#This Row],[Ricarico]])</f>
        <v>0</v>
      </c>
      <c r="AL6" s="71">
        <f>RigheOfferte[[#This Row],[Prezzo Di Vendita]]*RigheOfferte[[#This Row],[Q.ta'']]</f>
        <v>0</v>
      </c>
      <c r="AM6" s="71">
        <f>IFERROR(RigheOfferte[[#This Row],[Prezzo Di Vendita]]/RigheOfferte[[#This Row],[Superf.pz Mq]],0)</f>
        <v>0</v>
      </c>
    </row>
    <row r="7" spans="1:39" ht="14.4">
      <c r="A7" s="69" t="str">
        <f>IF(LEN('riepilogo prezzi'!$D7&amp;'riepilogo prezzi'!$E7)&gt;0,'riepilogo prezzi'!$D7&amp;"-"&amp;'riepilogo prezzi'!$E7,"")</f>
        <v/>
      </c>
      <c r="B7" s="70" t="str">
        <f>IF(LEN(MONTH(RigheOfferte[[#This Row],[data]]))=1,0&amp;MONTH(RigheOfferte[[#This Row],[data]]),MONTH(RigheOfferte[[#This Row],[data]]))</f>
        <v>01</v>
      </c>
      <c r="C7" s="70" t="str">
        <f>IF(MONTH(RigheOfferte[[#This Row],[data]])&gt;8,"03",IF(MONTH(RigheOfferte[[#This Row],[data]])&gt;4,"02","01"))</f>
        <v>01</v>
      </c>
      <c r="D7" s="20"/>
      <c r="E7" s="71"/>
      <c r="F7" s="61"/>
      <c r="G7" s="20"/>
      <c r="H7" s="20"/>
      <c r="I7" s="20"/>
      <c r="J7" s="82"/>
      <c r="K7" s="72"/>
      <c r="L7" s="71"/>
      <c r="M7" s="48"/>
      <c r="N7" s="71" t="str">
        <f>_xlfn.IFNA(VLOOKUP(RigheOfferte[[#This Row],[Lavorazione]],DescLavorazioni[],2,FALSE),"")</f>
        <v/>
      </c>
      <c r="O7" s="20"/>
      <c r="P7" s="73">
        <f>_xlfn.IFNA(VLOOKUP(RigheOfferte[[#This Row],[Cod Vel]],VeloCatena[],3,FALSE),0)</f>
        <v>0</v>
      </c>
      <c r="Q7" s="20"/>
      <c r="R7" s="71"/>
      <c r="S7" s="71"/>
      <c r="T7" s="71"/>
      <c r="U7" s="71"/>
      <c r="V7" s="74">
        <f>IF(RigheOfferte[[#This Row],[Velocità]]&gt;0,60*RigheOfferte[[#This Row],[Velocità]]/RigheOfferte[[#This Row],[passo]]*RigheOfferte[[#This Row],[nr.pezzi Telaio]],0)</f>
        <v>0</v>
      </c>
      <c r="W7" s="74"/>
      <c r="X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" s="74">
        <f>_xlfn.IFNA(INDEX(RiepilogoCostiOrari[],MATCH(YEAR(RigheOfferte[[#This Row],[data]])&amp;RigheOfferte[[#This Row],[Quadrimestre]],QuCostiLav,0),MATCH(RigheOfferte[[#This Row],[Lavorazione]],CodLavorazioni,0)),0)</f>
        <v>0</v>
      </c>
      <c r="AA7" s="76"/>
      <c r="AB7" s="20"/>
      <c r="AC7" s="74">
        <f>RigheOfferte[[#This Row],[Superf.pz Mq]]*Resa*RigheOfferte[[#This Row],[MP (€kg)]]</f>
        <v>0</v>
      </c>
      <c r="AD7" s="77"/>
      <c r="AE7" s="77"/>
      <c r="AF7" s="55">
        <f>_xlfn.IFNA(VLOOKUP(RigheOfferte[[#This Row],[Tipo Protezione]],Protezioni[],2,FALSE),0)</f>
        <v>0</v>
      </c>
      <c r="AG7" s="79"/>
      <c r="AH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" s="71">
        <f>RigheOfferte[[#This Row],[altri costi]]+RigheOfferte[[#This Row],[costo industriale pz]]</f>
        <v>0</v>
      </c>
      <c r="AJ7" s="81">
        <f>_xlfn.IFNA(INDEX(Ricarichi[],MATCH(YEAR(RigheOfferte[[#This Row],[data]])&amp;RigheOfferte[[#This Row],[Quadrimestre]],QuCostiLav,0),MATCH(RigheOfferte[[#This Row],[Lavorazione]],CodLavorazioni,0)),0)</f>
        <v>0</v>
      </c>
      <c r="AK7" s="80">
        <f>RigheOfferte[[#This Row],[totale costi]]+(RigheOfferte[[#This Row],[totale costi]]*RigheOfferte[[#This Row],[Ricarico]])</f>
        <v>0</v>
      </c>
      <c r="AL7" s="71">
        <f>RigheOfferte[[#This Row],[Prezzo Di Vendita]]*RigheOfferte[[#This Row],[Q.ta'']]</f>
        <v>0</v>
      </c>
      <c r="AM7" s="71">
        <f>IFERROR(RigheOfferte[[#This Row],[Prezzo Di Vendita]]/RigheOfferte[[#This Row],[Superf.pz Mq]],0)</f>
        <v>0</v>
      </c>
    </row>
    <row r="8" spans="1:39" ht="14.4">
      <c r="A8" s="69" t="str">
        <f>IF(LEN('riepilogo prezzi'!$D8&amp;'riepilogo prezzi'!$E8)&gt;0,'riepilogo prezzi'!$D8&amp;"-"&amp;'riepilogo prezzi'!$E8,"")</f>
        <v/>
      </c>
      <c r="B8" s="70" t="str">
        <f>IF(LEN(MONTH(RigheOfferte[[#This Row],[data]]))=1,0&amp;MONTH(RigheOfferte[[#This Row],[data]]),MONTH(RigheOfferte[[#This Row],[data]]))</f>
        <v>01</v>
      </c>
      <c r="C8" s="70" t="str">
        <f>IF(MONTH(RigheOfferte[[#This Row],[data]])&gt;8,"03",IF(MONTH(RigheOfferte[[#This Row],[data]])&gt;4,"02","01"))</f>
        <v>01</v>
      </c>
      <c r="D8" s="71"/>
      <c r="E8" s="71"/>
      <c r="F8" s="59"/>
      <c r="G8" s="71"/>
      <c r="H8" s="71"/>
      <c r="I8" s="71"/>
      <c r="J8" s="82"/>
      <c r="K8" s="72"/>
      <c r="L8" s="71"/>
      <c r="M8" s="48"/>
      <c r="N8" s="71" t="str">
        <f>_xlfn.IFNA(VLOOKUP(RigheOfferte[[#This Row],[Lavorazione]],DescLavorazioni[],2,FALSE),"")</f>
        <v/>
      </c>
      <c r="O8" s="20"/>
      <c r="P8" s="73">
        <f>_xlfn.IFNA(VLOOKUP(RigheOfferte[[#This Row],[Cod Vel]],VeloCatena[],3,FALSE),0)</f>
        <v>0</v>
      </c>
      <c r="Q8" s="71"/>
      <c r="R8" s="71"/>
      <c r="S8" s="71"/>
      <c r="T8" s="71"/>
      <c r="U8" s="71"/>
      <c r="V8" s="74">
        <f>IF(RigheOfferte[[#This Row],[Velocità]]&gt;0,60*RigheOfferte[[#This Row],[Velocità]]/RigheOfferte[[#This Row],[passo]]*RigheOfferte[[#This Row],[nr.pezzi Telaio]],0)</f>
        <v>0</v>
      </c>
      <c r="W8" s="74"/>
      <c r="X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" s="74">
        <f>_xlfn.IFNA(INDEX(RiepilogoCostiOrari[],MATCH(YEAR(RigheOfferte[[#This Row],[data]])&amp;RigheOfferte[[#This Row],[Quadrimestre]],QuCostiLav,0),MATCH(RigheOfferte[[#This Row],[Lavorazione]],CodLavorazioni,0)),0)</f>
        <v>0</v>
      </c>
      <c r="AA8" s="76"/>
      <c r="AB8" s="71"/>
      <c r="AC8" s="74">
        <f>RigheOfferte[[#This Row],[Superf.pz Mq]]*Resa*RigheOfferte[[#This Row],[MP (€kg)]]</f>
        <v>0</v>
      </c>
      <c r="AD8" s="77"/>
      <c r="AE8" s="77"/>
      <c r="AF8" s="55">
        <f>_xlfn.IFNA(VLOOKUP(RigheOfferte[[#This Row],[Tipo Protezione]],Protezioni[],2,FALSE),0)</f>
        <v>0</v>
      </c>
      <c r="AG8" s="79"/>
      <c r="AH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" s="71">
        <f>RigheOfferte[[#This Row],[altri costi]]+RigheOfferte[[#This Row],[costo industriale pz]]</f>
        <v>0</v>
      </c>
      <c r="AJ8" s="81">
        <f>_xlfn.IFNA(INDEX(Ricarichi[],MATCH(YEAR(RigheOfferte[[#This Row],[data]])&amp;RigheOfferte[[#This Row],[Quadrimestre]],QuCostiLav,0),MATCH(RigheOfferte[[#This Row],[Lavorazione]],CodLavorazioni,0)),0)</f>
        <v>0</v>
      </c>
      <c r="AK8" s="80">
        <f>RigheOfferte[[#This Row],[totale costi]]+(RigheOfferte[[#This Row],[totale costi]]*RigheOfferte[[#This Row],[Ricarico]])</f>
        <v>0</v>
      </c>
      <c r="AL8" s="71">
        <f>RigheOfferte[[#This Row],[Prezzo Di Vendita]]*RigheOfferte[[#This Row],[Q.ta'']]</f>
        <v>0</v>
      </c>
      <c r="AM8" s="71">
        <f>IFERROR(RigheOfferte[[#This Row],[Prezzo Di Vendita]]/RigheOfferte[[#This Row],[Superf.pz Mq]],0)</f>
        <v>0</v>
      </c>
    </row>
    <row r="9" spans="1:39" ht="14.4">
      <c r="A9" s="69" t="str">
        <f>IF(LEN('riepilogo prezzi'!$D9&amp;'riepilogo prezzi'!$E9)&gt;0,'riepilogo prezzi'!$D9&amp;"-"&amp;'riepilogo prezzi'!$E9,"")</f>
        <v/>
      </c>
      <c r="B9" s="70" t="str">
        <f>IF(LEN(MONTH(RigheOfferte[[#This Row],[data]]))=1,0&amp;MONTH(RigheOfferte[[#This Row],[data]]),MONTH(RigheOfferte[[#This Row],[data]]))</f>
        <v>01</v>
      </c>
      <c r="C9" s="70" t="str">
        <f>IF(MONTH(RigheOfferte[[#This Row],[data]])&gt;8,"03",IF(MONTH(RigheOfferte[[#This Row],[data]])&gt;4,"02","01"))</f>
        <v>01</v>
      </c>
      <c r="D9" s="71"/>
      <c r="E9" s="71"/>
      <c r="F9" s="59"/>
      <c r="G9" s="71"/>
      <c r="H9" s="71"/>
      <c r="I9" s="71"/>
      <c r="J9" s="82"/>
      <c r="K9" s="72"/>
      <c r="L9" s="71"/>
      <c r="M9" s="48"/>
      <c r="N9" s="71" t="str">
        <f>_xlfn.IFNA(VLOOKUP(RigheOfferte[[#This Row],[Lavorazione]],DescLavorazioni[],2,FALSE),"")</f>
        <v/>
      </c>
      <c r="O9" s="20"/>
      <c r="P9" s="73">
        <f>_xlfn.IFNA(VLOOKUP(RigheOfferte[[#This Row],[Cod Vel]],VeloCatena[],3,FALSE),0)</f>
        <v>0</v>
      </c>
      <c r="Q9" s="71"/>
      <c r="R9" s="71"/>
      <c r="S9" s="71"/>
      <c r="T9" s="71"/>
      <c r="U9" s="71"/>
      <c r="V9" s="74">
        <f>IF(RigheOfferte[[#This Row],[Velocità]]&gt;0,60*RigheOfferte[[#This Row],[Velocità]]/RigheOfferte[[#This Row],[passo]]*RigheOfferte[[#This Row],[nr.pezzi Telaio]],0)</f>
        <v>0</v>
      </c>
      <c r="W9" s="74"/>
      <c r="X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" s="74">
        <f>_xlfn.IFNA(INDEX(RiepilogoCostiOrari[],MATCH(YEAR(RigheOfferte[[#This Row],[data]])&amp;RigheOfferte[[#This Row],[Quadrimestre]],QuCostiLav,0),MATCH(RigheOfferte[[#This Row],[Lavorazione]],CodLavorazioni,0)),0)</f>
        <v>0</v>
      </c>
      <c r="AA9" s="76"/>
      <c r="AB9" s="71"/>
      <c r="AC9" s="74">
        <f>RigheOfferte[[#This Row],[Superf.pz Mq]]*Resa*RigheOfferte[[#This Row],[MP (€kg)]]</f>
        <v>0</v>
      </c>
      <c r="AD9" s="77"/>
      <c r="AE9" s="77"/>
      <c r="AF9" s="55">
        <f>_xlfn.IFNA(VLOOKUP(RigheOfferte[[#This Row],[Tipo Protezione]],Protezioni[],2,FALSE),0)</f>
        <v>0</v>
      </c>
      <c r="AG9" s="79"/>
      <c r="AH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" s="71">
        <f>RigheOfferte[[#This Row],[altri costi]]+RigheOfferte[[#This Row],[costo industriale pz]]</f>
        <v>0</v>
      </c>
      <c r="AJ9" s="81">
        <f>_xlfn.IFNA(INDEX(Ricarichi[],MATCH(YEAR(RigheOfferte[[#This Row],[data]])&amp;RigheOfferte[[#This Row],[Quadrimestre]],QuCostiLav,0),MATCH(RigheOfferte[[#This Row],[Lavorazione]],CodLavorazioni,0)),0)</f>
        <v>0</v>
      </c>
      <c r="AK9" s="80">
        <f>RigheOfferte[[#This Row],[totale costi]]+(RigheOfferte[[#This Row],[totale costi]]*RigheOfferte[[#This Row],[Ricarico]])</f>
        <v>0</v>
      </c>
      <c r="AL9" s="71">
        <f>RigheOfferte[[#This Row],[Prezzo Di Vendita]]*RigheOfferte[[#This Row],[Q.ta'']]</f>
        <v>0</v>
      </c>
      <c r="AM9" s="71">
        <f>IFERROR(RigheOfferte[[#This Row],[Prezzo Di Vendita]]/RigheOfferte[[#This Row],[Superf.pz Mq]],0)</f>
        <v>0</v>
      </c>
    </row>
    <row r="10" spans="1:39" ht="14.4">
      <c r="A10" s="69" t="str">
        <f>IF(LEN('riepilogo prezzi'!$D10&amp;'riepilogo prezzi'!$E10)&gt;0,'riepilogo prezzi'!$D10&amp;"-"&amp;'riepilogo prezzi'!$E10,"")</f>
        <v/>
      </c>
      <c r="B10" s="70" t="str">
        <f>IF(LEN(MONTH(RigheOfferte[[#This Row],[data]]))=1,0&amp;MONTH(RigheOfferte[[#This Row],[data]]),MONTH(RigheOfferte[[#This Row],[data]]))</f>
        <v>01</v>
      </c>
      <c r="C10" s="70" t="str">
        <f>IF(MONTH(RigheOfferte[[#This Row],[data]])&gt;8,"03",IF(MONTH(RigheOfferte[[#This Row],[data]])&gt;4,"02","01"))</f>
        <v>01</v>
      </c>
      <c r="D10" s="20"/>
      <c r="E10" s="71"/>
      <c r="F10" s="61"/>
      <c r="G10" s="20"/>
      <c r="H10" s="20"/>
      <c r="I10" s="20"/>
      <c r="J10" s="82"/>
      <c r="K10" s="72"/>
      <c r="L10" s="71"/>
      <c r="M10" s="48"/>
      <c r="N10" s="71" t="str">
        <f>_xlfn.IFNA(VLOOKUP(RigheOfferte[[#This Row],[Lavorazione]],DescLavorazioni[],2,FALSE),"")</f>
        <v/>
      </c>
      <c r="O10" s="20"/>
      <c r="P10" s="73">
        <f>_xlfn.IFNA(VLOOKUP(RigheOfferte[[#This Row],[Cod Vel]],VeloCatena[],3,FALSE),0)</f>
        <v>0</v>
      </c>
      <c r="Q10" s="71"/>
      <c r="R10" s="71"/>
      <c r="S10" s="71"/>
      <c r="T10" s="71"/>
      <c r="U10" s="71"/>
      <c r="V10" s="74">
        <f>IF(RigheOfferte[[#This Row],[Velocità]]&gt;0,60*RigheOfferte[[#This Row],[Velocità]]/RigheOfferte[[#This Row],[passo]]*RigheOfferte[[#This Row],[nr.pezzi Telaio]],0)</f>
        <v>0</v>
      </c>
      <c r="W10" s="74"/>
      <c r="X1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" s="76"/>
      <c r="AB10" s="71"/>
      <c r="AC10" s="74">
        <f>RigheOfferte[[#This Row],[Superf.pz Mq]]*Resa*RigheOfferte[[#This Row],[MP (€kg)]]</f>
        <v>0</v>
      </c>
      <c r="AD10" s="77"/>
      <c r="AE10" s="77"/>
      <c r="AF10" s="55">
        <f>_xlfn.IFNA(VLOOKUP(RigheOfferte[[#This Row],[Tipo Protezione]],Protezioni[],2,FALSE),0)</f>
        <v>0</v>
      </c>
      <c r="AG10" s="79"/>
      <c r="AH1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" s="71">
        <f>RigheOfferte[[#This Row],[altri costi]]+RigheOfferte[[#This Row],[costo industriale pz]]</f>
        <v>0</v>
      </c>
      <c r="AJ10" s="81">
        <f>_xlfn.IFNA(INDEX(Ricarichi[],MATCH(YEAR(RigheOfferte[[#This Row],[data]])&amp;RigheOfferte[[#This Row],[Quadrimestre]],QuCostiLav,0),MATCH(RigheOfferte[[#This Row],[Lavorazione]],CodLavorazioni,0)),0)</f>
        <v>0</v>
      </c>
      <c r="AK10" s="80">
        <f>RigheOfferte[[#This Row],[totale costi]]+(RigheOfferte[[#This Row],[totale costi]]*RigheOfferte[[#This Row],[Ricarico]])</f>
        <v>0</v>
      </c>
      <c r="AL10" s="71">
        <f>RigheOfferte[[#This Row],[Prezzo Di Vendita]]*RigheOfferte[[#This Row],[Q.ta'']]</f>
        <v>0</v>
      </c>
      <c r="AM10" s="71">
        <f>IFERROR(RigheOfferte[[#This Row],[Prezzo Di Vendita]]/RigheOfferte[[#This Row],[Superf.pz Mq]],0)</f>
        <v>0</v>
      </c>
    </row>
    <row r="11" spans="1:39" ht="14.4">
      <c r="A11" s="69" t="str">
        <f>IF(LEN('riepilogo prezzi'!$D11&amp;'riepilogo prezzi'!$E11)&gt;0,'riepilogo prezzi'!$D11&amp;"-"&amp;'riepilogo prezzi'!$E11,"")</f>
        <v/>
      </c>
      <c r="B11" s="70" t="str">
        <f>IF(LEN(MONTH(RigheOfferte[[#This Row],[data]]))=1,0&amp;MONTH(RigheOfferte[[#This Row],[data]]),MONTH(RigheOfferte[[#This Row],[data]]))</f>
        <v>01</v>
      </c>
      <c r="C11" s="70" t="str">
        <f>IF(MONTH(RigheOfferte[[#This Row],[data]])&gt;8,"03",IF(MONTH(RigheOfferte[[#This Row],[data]])&gt;4,"02","01"))</f>
        <v>01</v>
      </c>
      <c r="D11" s="71"/>
      <c r="E11" s="71"/>
      <c r="F11" s="83"/>
      <c r="G11" s="71"/>
      <c r="H11" s="71"/>
      <c r="I11" s="71"/>
      <c r="J11" s="22"/>
      <c r="K11" s="72"/>
      <c r="L11" s="71"/>
      <c r="M11" s="71"/>
      <c r="N11" s="71" t="str">
        <f>_xlfn.IFNA(VLOOKUP(RigheOfferte[[#This Row],[Lavorazione]],DescLavorazioni[],2,FALSE),"")</f>
        <v/>
      </c>
      <c r="O11" s="71"/>
      <c r="P11" s="73">
        <f>_xlfn.IFNA(VLOOKUP(RigheOfferte[[#This Row],[Cod Vel]],VeloCatena[],3,FALSE),0)</f>
        <v>0</v>
      </c>
      <c r="Q11" s="71"/>
      <c r="R11" s="71"/>
      <c r="S11" s="71"/>
      <c r="T11" s="71"/>
      <c r="U11" s="71"/>
      <c r="V11" s="74">
        <f>IF(RigheOfferte[[#This Row],[Velocità]]&gt;0,60*RigheOfferte[[#This Row],[Velocità]]/RigheOfferte[[#This Row],[passo]]*RigheOfferte[[#This Row],[nr.pezzi Telaio]],0)</f>
        <v>0</v>
      </c>
      <c r="W11" s="74"/>
      <c r="X1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" s="76"/>
      <c r="AB11" s="71"/>
      <c r="AC11" s="74">
        <f>RigheOfferte[[#This Row],[Superf.pz Mq]]*Resa*RigheOfferte[[#This Row],[MP (€kg)]]</f>
        <v>0</v>
      </c>
      <c r="AD11" s="77"/>
      <c r="AE11" s="77"/>
      <c r="AF11" s="55">
        <f>_xlfn.IFNA(VLOOKUP(RigheOfferte[[#This Row],[Tipo Protezione]],Protezioni[],2,FALSE),0)</f>
        <v>0</v>
      </c>
      <c r="AG11" s="79"/>
      <c r="AH1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" s="71">
        <f>RigheOfferte[[#This Row],[altri costi]]+RigheOfferte[[#This Row],[costo industriale pz]]</f>
        <v>0</v>
      </c>
      <c r="AJ11" s="81">
        <f>_xlfn.IFNA(INDEX(Ricarichi[],MATCH(YEAR(RigheOfferte[[#This Row],[data]])&amp;RigheOfferte[[#This Row],[Quadrimestre]],QuCostiLav,0),MATCH(RigheOfferte[[#This Row],[Lavorazione]],CodLavorazioni,0)),0)</f>
        <v>0</v>
      </c>
      <c r="AK11" s="80">
        <f>RigheOfferte[[#This Row],[totale costi]]+(RigheOfferte[[#This Row],[totale costi]]*RigheOfferte[[#This Row],[Ricarico]])</f>
        <v>0</v>
      </c>
      <c r="AL11" s="71">
        <f>RigheOfferte[[#This Row],[Prezzo Di Vendita]]*RigheOfferte[[#This Row],[Q.ta'']]</f>
        <v>0</v>
      </c>
      <c r="AM11" s="71">
        <f>IFERROR(RigheOfferte[[#This Row],[Prezzo Di Vendita]]/RigheOfferte[[#This Row],[Superf.pz Mq]],0)</f>
        <v>0</v>
      </c>
    </row>
    <row r="12" spans="1:39" ht="14.4">
      <c r="A12" s="69" t="str">
        <f>IF(LEN('riepilogo prezzi'!$D12&amp;'riepilogo prezzi'!$E12)&gt;0,'riepilogo prezzi'!$D12&amp;"-"&amp;'riepilogo prezzi'!$E12,"")</f>
        <v/>
      </c>
      <c r="B12" s="70" t="str">
        <f>IF(LEN(MONTH(RigheOfferte[[#This Row],[data]]))=1,0&amp;MONTH(RigheOfferte[[#This Row],[data]]),MONTH(RigheOfferte[[#This Row],[data]]))</f>
        <v>01</v>
      </c>
      <c r="C12" s="70" t="str">
        <f>IF(MONTH(RigheOfferte[[#This Row],[data]])&gt;8,"03",IF(MONTH(RigheOfferte[[#This Row],[data]])&gt;4,"02","01"))</f>
        <v>01</v>
      </c>
      <c r="D12" s="71"/>
      <c r="E12" s="71"/>
      <c r="F12" s="83"/>
      <c r="G12" s="20"/>
      <c r="H12" s="20"/>
      <c r="I12" s="71"/>
      <c r="J12" s="22"/>
      <c r="K12" s="72"/>
      <c r="L12" s="71"/>
      <c r="M12" s="48"/>
      <c r="N12" s="71" t="str">
        <f>_xlfn.IFNA(VLOOKUP(RigheOfferte[[#This Row],[Lavorazione]],DescLavorazioni[],2,FALSE),"")</f>
        <v/>
      </c>
      <c r="O12" s="71"/>
      <c r="P12" s="73">
        <f>_xlfn.IFNA(VLOOKUP(RigheOfferte[[#This Row],[Cod Vel]],VeloCatena[],3,FALSE),0)</f>
        <v>0</v>
      </c>
      <c r="Q12" s="71"/>
      <c r="R12" s="71"/>
      <c r="S12" s="71"/>
      <c r="T12" s="71"/>
      <c r="U12" s="71"/>
      <c r="V12" s="74">
        <f>IF(RigheOfferte[[#This Row],[Velocità]]&gt;0,60*RigheOfferte[[#This Row],[Velocità]]/RigheOfferte[[#This Row],[passo]]*RigheOfferte[[#This Row],[nr.pezzi Telaio]],0)</f>
        <v>0</v>
      </c>
      <c r="W12" s="74"/>
      <c r="X1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" s="76"/>
      <c r="AB12" s="71"/>
      <c r="AC12" s="74">
        <f>RigheOfferte[[#This Row],[Superf.pz Mq]]*Resa*RigheOfferte[[#This Row],[MP (€kg)]]</f>
        <v>0</v>
      </c>
      <c r="AD12" s="77"/>
      <c r="AE12" s="77"/>
      <c r="AF12" s="55">
        <f>_xlfn.IFNA(VLOOKUP(RigheOfferte[[#This Row],[Tipo Protezione]],Protezioni[],2,FALSE),0)</f>
        <v>0</v>
      </c>
      <c r="AG12" s="79"/>
      <c r="AH1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" s="71">
        <f>RigheOfferte[[#This Row],[altri costi]]+RigheOfferte[[#This Row],[costo industriale pz]]</f>
        <v>0</v>
      </c>
      <c r="AJ12" s="81">
        <f>_xlfn.IFNA(INDEX(Ricarichi[],MATCH(YEAR(RigheOfferte[[#This Row],[data]])&amp;RigheOfferte[[#This Row],[Quadrimestre]],QuCostiLav,0),MATCH(RigheOfferte[[#This Row],[Lavorazione]],CodLavorazioni,0)),0)</f>
        <v>0</v>
      </c>
      <c r="AK12" s="80">
        <f>RigheOfferte[[#This Row],[totale costi]]+(RigheOfferte[[#This Row],[totale costi]]*RigheOfferte[[#This Row],[Ricarico]])</f>
        <v>0</v>
      </c>
      <c r="AL12" s="71">
        <f>RigheOfferte[[#This Row],[Prezzo Di Vendita]]*RigheOfferte[[#This Row],[Q.ta'']]</f>
        <v>0</v>
      </c>
      <c r="AM12" s="71">
        <f>IFERROR(RigheOfferte[[#This Row],[Prezzo Di Vendita]]/RigheOfferte[[#This Row],[Superf.pz Mq]],0)</f>
        <v>0</v>
      </c>
    </row>
    <row r="13" spans="1:39" ht="14.4">
      <c r="A13" s="69" t="str">
        <f>IF(LEN('riepilogo prezzi'!$D13&amp;'riepilogo prezzi'!$E13)&gt;0,'riepilogo prezzi'!$D13&amp;"-"&amp;'riepilogo prezzi'!$E13,"")</f>
        <v/>
      </c>
      <c r="B13" s="70" t="str">
        <f>IF(LEN(MONTH(RigheOfferte[[#This Row],[data]]))=1,0&amp;MONTH(RigheOfferte[[#This Row],[data]]),MONTH(RigheOfferte[[#This Row],[data]]))</f>
        <v>01</v>
      </c>
      <c r="C13" s="70" t="str">
        <f>IF(MONTH(RigheOfferte[[#This Row],[data]])&gt;8,"03",IF(MONTH(RigheOfferte[[#This Row],[data]])&gt;4,"02","01"))</f>
        <v>01</v>
      </c>
      <c r="D13" s="71"/>
      <c r="E13" s="71"/>
      <c r="F13" s="83"/>
      <c r="G13" s="71"/>
      <c r="H13" s="71"/>
      <c r="I13" s="20"/>
      <c r="J13" s="22"/>
      <c r="K13" s="72"/>
      <c r="L13" s="71"/>
      <c r="M13" s="71"/>
      <c r="N13" s="71" t="str">
        <f>_xlfn.IFNA(VLOOKUP(RigheOfferte[[#This Row],[Lavorazione]],DescLavorazioni[],2,FALSE),"")</f>
        <v/>
      </c>
      <c r="O13" s="71"/>
      <c r="P13" s="73">
        <f>_xlfn.IFNA(VLOOKUP(RigheOfferte[[#This Row],[Cod Vel]],VeloCatena[],3,FALSE),0)</f>
        <v>0</v>
      </c>
      <c r="Q13" s="71"/>
      <c r="R13" s="71"/>
      <c r="S13" s="71"/>
      <c r="T13" s="71"/>
      <c r="U13" s="71"/>
      <c r="V13" s="74">
        <f>IF(RigheOfferte[[#This Row],[Velocità]]&gt;0,60*RigheOfferte[[#This Row],[Velocità]]/RigheOfferte[[#This Row],[passo]]*RigheOfferte[[#This Row],[nr.pezzi Telaio]],0)</f>
        <v>0</v>
      </c>
      <c r="W13" s="74"/>
      <c r="X1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3" s="74">
        <f>_xlfn.IFNA(INDEX(RiepilogoCostiOrari[],MATCH(YEAR(RigheOfferte[[#This Row],[data]])&amp;RigheOfferte[[#This Row],[Quadrimestre]],QuCostiLav,0),MATCH(RigheOfferte[[#This Row],[Lavorazione]],CodLavorazioni,0)),0)</f>
        <v>0</v>
      </c>
      <c r="AA13" s="76"/>
      <c r="AB13" s="71"/>
      <c r="AC13" s="74">
        <f>RigheOfferte[[#This Row],[Superf.pz Mq]]*Resa*RigheOfferte[[#This Row],[MP (€kg)]]</f>
        <v>0</v>
      </c>
      <c r="AD13" s="77"/>
      <c r="AE13" s="77"/>
      <c r="AF13" s="55">
        <f>_xlfn.IFNA(VLOOKUP(RigheOfferte[[#This Row],[Tipo Protezione]],Protezioni[],2,FALSE),0)</f>
        <v>0</v>
      </c>
      <c r="AG13" s="79"/>
      <c r="AH1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" s="71">
        <f>RigheOfferte[[#This Row],[altri costi]]+RigheOfferte[[#This Row],[costo industriale pz]]</f>
        <v>0</v>
      </c>
      <c r="AJ13" s="81">
        <f>_xlfn.IFNA(INDEX(Ricarichi[],MATCH(YEAR(RigheOfferte[[#This Row],[data]])&amp;RigheOfferte[[#This Row],[Quadrimestre]],QuCostiLav,0),MATCH(RigheOfferte[[#This Row],[Lavorazione]],CodLavorazioni,0)),0)</f>
        <v>0</v>
      </c>
      <c r="AK13" s="80">
        <f>RigheOfferte[[#This Row],[totale costi]]+(RigheOfferte[[#This Row],[totale costi]]*RigheOfferte[[#This Row],[Ricarico]])</f>
        <v>0</v>
      </c>
      <c r="AL13" s="71">
        <f>RigheOfferte[[#This Row],[Prezzo Di Vendita]]*RigheOfferte[[#This Row],[Q.ta'']]</f>
        <v>0</v>
      </c>
      <c r="AM13" s="71">
        <f>IFERROR(RigheOfferte[[#This Row],[Prezzo Di Vendita]]/RigheOfferte[[#This Row],[Superf.pz Mq]],0)</f>
        <v>0</v>
      </c>
    </row>
    <row r="14" spans="1:39" ht="14.4">
      <c r="A14" s="69" t="str">
        <f>IF(LEN('riepilogo prezzi'!$D14&amp;'riepilogo prezzi'!$E14)&gt;0,'riepilogo prezzi'!$D14&amp;"-"&amp;'riepilogo prezzi'!$E14,"")</f>
        <v/>
      </c>
      <c r="B14" s="70" t="str">
        <f>IF(LEN(MONTH(RigheOfferte[[#This Row],[data]]))=1,0&amp;MONTH(RigheOfferte[[#This Row],[data]]),MONTH(RigheOfferte[[#This Row],[data]]))</f>
        <v>01</v>
      </c>
      <c r="C14" s="70" t="str">
        <f>IF(MONTH(RigheOfferte[[#This Row],[data]])&gt;8,"03",IF(MONTH(RigheOfferte[[#This Row],[data]])&gt;4,"02","01"))</f>
        <v>01</v>
      </c>
      <c r="D14" s="71"/>
      <c r="E14" s="71"/>
      <c r="F14" s="83"/>
      <c r="G14" s="20"/>
      <c r="H14" s="20"/>
      <c r="I14" s="71"/>
      <c r="J14" s="22"/>
      <c r="K14" s="72"/>
      <c r="L14" s="71"/>
      <c r="M14" s="48"/>
      <c r="N14" s="71" t="str">
        <f>_xlfn.IFNA(VLOOKUP(RigheOfferte[[#This Row],[Lavorazione]],DescLavorazioni[],2,FALSE),"")</f>
        <v/>
      </c>
      <c r="O14" s="71"/>
      <c r="P14" s="73">
        <f>_xlfn.IFNA(VLOOKUP(RigheOfferte[[#This Row],[Cod Vel]],VeloCatena[],3,FALSE),0)</f>
        <v>0</v>
      </c>
      <c r="Q14" s="71"/>
      <c r="R14" s="71"/>
      <c r="S14" s="71"/>
      <c r="T14" s="71"/>
      <c r="U14" s="71"/>
      <c r="V14" s="74">
        <f>IF(RigheOfferte[[#This Row],[Velocità]]&gt;0,60*RigheOfferte[[#This Row],[Velocità]]/RigheOfferte[[#This Row],[passo]]*RigheOfferte[[#This Row],[nr.pezzi Telaio]],0)</f>
        <v>0</v>
      </c>
      <c r="W14" s="74"/>
      <c r="X1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" s="76"/>
      <c r="AB14" s="71"/>
      <c r="AC14" s="74">
        <f>RigheOfferte[[#This Row],[Superf.pz Mq]]*Resa*RigheOfferte[[#This Row],[MP (€kg)]]</f>
        <v>0</v>
      </c>
      <c r="AD14" s="77"/>
      <c r="AE14" s="77"/>
      <c r="AF14" s="55">
        <f>_xlfn.IFNA(VLOOKUP(RigheOfferte[[#This Row],[Tipo Protezione]],Protezioni[],2,FALSE),0)</f>
        <v>0</v>
      </c>
      <c r="AG14" s="79"/>
      <c r="AH1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" s="71">
        <f>RigheOfferte[[#This Row],[altri costi]]+RigheOfferte[[#This Row],[costo industriale pz]]</f>
        <v>0</v>
      </c>
      <c r="AJ14" s="81">
        <f>_xlfn.IFNA(INDEX(Ricarichi[],MATCH(YEAR(RigheOfferte[[#This Row],[data]])&amp;RigheOfferte[[#This Row],[Quadrimestre]],QuCostiLav,0),MATCH(RigheOfferte[[#This Row],[Lavorazione]],CodLavorazioni,0)),0)</f>
        <v>0</v>
      </c>
      <c r="AK14" s="80">
        <f>RigheOfferte[[#This Row],[totale costi]]+(RigheOfferte[[#This Row],[totale costi]]*RigheOfferte[[#This Row],[Ricarico]])</f>
        <v>0</v>
      </c>
      <c r="AL14" s="71">
        <f>RigheOfferte[[#This Row],[Prezzo Di Vendita]]*RigheOfferte[[#This Row],[Q.ta'']]</f>
        <v>0</v>
      </c>
      <c r="AM14" s="71">
        <f>IFERROR(RigheOfferte[[#This Row],[Prezzo Di Vendita]]/RigheOfferte[[#This Row],[Superf.pz Mq]],0)</f>
        <v>0</v>
      </c>
    </row>
    <row r="15" spans="1:39" ht="14.4">
      <c r="A15" s="69" t="str">
        <f>IF(LEN('riepilogo prezzi'!$D15&amp;'riepilogo prezzi'!$E15)&gt;0,'riepilogo prezzi'!$D15&amp;"-"&amp;'riepilogo prezzi'!$E15,"")</f>
        <v/>
      </c>
      <c r="B15" s="70" t="str">
        <f>IF(LEN(MONTH(RigheOfferte[[#This Row],[data]]))=1,0&amp;MONTH(RigheOfferte[[#This Row],[data]]),MONTH(RigheOfferte[[#This Row],[data]]))</f>
        <v>01</v>
      </c>
      <c r="C15" s="70" t="str">
        <f>IF(MONTH(RigheOfferte[[#This Row],[data]])&gt;8,"03",IF(MONTH(RigheOfferte[[#This Row],[data]])&gt;4,"02","01"))</f>
        <v>01</v>
      </c>
      <c r="D15" s="71"/>
      <c r="E15" s="71"/>
      <c r="F15" s="83"/>
      <c r="G15" s="71"/>
      <c r="H15" s="71"/>
      <c r="I15" s="71"/>
      <c r="J15" s="22"/>
      <c r="K15" s="72"/>
      <c r="L15" s="71"/>
      <c r="M15" s="71"/>
      <c r="N15" s="71" t="str">
        <f>_xlfn.IFNA(VLOOKUP(RigheOfferte[[#This Row],[Lavorazione]],DescLavorazioni[],2,FALSE),"")</f>
        <v/>
      </c>
      <c r="O15" s="71"/>
      <c r="P15" s="73">
        <f>_xlfn.IFNA(VLOOKUP(RigheOfferte[[#This Row],[Cod Vel]],VeloCatena[],3,FALSE),0)</f>
        <v>0</v>
      </c>
      <c r="Q15" s="71"/>
      <c r="R15" s="71"/>
      <c r="S15" s="71"/>
      <c r="T15" s="71"/>
      <c r="U15" s="71"/>
      <c r="V15" s="74">
        <f>IF(RigheOfferte[[#This Row],[Velocità]]&gt;0,60*RigheOfferte[[#This Row],[Velocità]]/RigheOfferte[[#This Row],[passo]]*RigheOfferte[[#This Row],[nr.pezzi Telaio]],0)</f>
        <v>0</v>
      </c>
      <c r="W15" s="74"/>
      <c r="X1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5" s="74">
        <f>_xlfn.IFNA(INDEX(RiepilogoCostiOrari[],MATCH(YEAR(RigheOfferte[[#This Row],[data]])&amp;RigheOfferte[[#This Row],[Quadrimestre]],QuCostiLav,0),MATCH(RigheOfferte[[#This Row],[Lavorazione]],CodLavorazioni,0)),0)</f>
        <v>0</v>
      </c>
      <c r="AA15" s="76"/>
      <c r="AB15" s="71"/>
      <c r="AC15" s="74">
        <f>RigheOfferte[[#This Row],[Superf.pz Mq]]*Resa*RigheOfferte[[#This Row],[MP (€kg)]]</f>
        <v>0</v>
      </c>
      <c r="AD15" s="77"/>
      <c r="AE15" s="77"/>
      <c r="AF15" s="55">
        <f>_xlfn.IFNA(VLOOKUP(RigheOfferte[[#This Row],[Tipo Protezione]],Protezioni[],2,FALSE),0)</f>
        <v>0</v>
      </c>
      <c r="AG15" s="79"/>
      <c r="AH1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" s="71">
        <f>RigheOfferte[[#This Row],[altri costi]]+RigheOfferte[[#This Row],[costo industriale pz]]</f>
        <v>0</v>
      </c>
      <c r="AJ15" s="81">
        <f>_xlfn.IFNA(INDEX(Ricarichi[],MATCH(YEAR(RigheOfferte[[#This Row],[data]])&amp;RigheOfferte[[#This Row],[Quadrimestre]],QuCostiLav,0),MATCH(RigheOfferte[[#This Row],[Lavorazione]],CodLavorazioni,0)),0)</f>
        <v>0</v>
      </c>
      <c r="AK15" s="80">
        <f>RigheOfferte[[#This Row],[totale costi]]+(RigheOfferte[[#This Row],[totale costi]]*RigheOfferte[[#This Row],[Ricarico]])</f>
        <v>0</v>
      </c>
      <c r="AL15" s="71">
        <f>RigheOfferte[[#This Row],[Prezzo Di Vendita]]*RigheOfferte[[#This Row],[Q.ta'']]</f>
        <v>0</v>
      </c>
      <c r="AM15" s="71">
        <f>IFERROR(RigheOfferte[[#This Row],[Prezzo Di Vendita]]/RigheOfferte[[#This Row],[Superf.pz Mq]],0)</f>
        <v>0</v>
      </c>
    </row>
    <row r="16" spans="1:39" ht="14.4">
      <c r="A16" s="69" t="str">
        <f>IF(LEN('riepilogo prezzi'!$D16&amp;'riepilogo prezzi'!$E16)&gt;0,'riepilogo prezzi'!$D16&amp;"-"&amp;'riepilogo prezzi'!$E16,"")</f>
        <v/>
      </c>
      <c r="B16" s="70" t="str">
        <f>IF(LEN(MONTH(RigheOfferte[[#This Row],[data]]))=1,0&amp;MONTH(RigheOfferte[[#This Row],[data]]),MONTH(RigheOfferte[[#This Row],[data]]))</f>
        <v>01</v>
      </c>
      <c r="C16" s="70" t="str">
        <f>IF(MONTH(RigheOfferte[[#This Row],[data]])&gt;8,"03",IF(MONTH(RigheOfferte[[#This Row],[data]])&gt;4,"02","01"))</f>
        <v>01</v>
      </c>
      <c r="D16" s="71"/>
      <c r="E16" s="71"/>
      <c r="F16" s="83"/>
      <c r="G16" s="20"/>
      <c r="H16" s="20"/>
      <c r="I16" s="20"/>
      <c r="J16" s="22"/>
      <c r="K16" s="72"/>
      <c r="L16" s="72"/>
      <c r="M16" s="48"/>
      <c r="N16" s="71" t="str">
        <f>_xlfn.IFNA(VLOOKUP(RigheOfferte[[#This Row],[Lavorazione]],DescLavorazioni[],2,FALSE),"")</f>
        <v/>
      </c>
      <c r="O16" s="71"/>
      <c r="P16" s="73">
        <f>_xlfn.IFNA(VLOOKUP(RigheOfferte[[#This Row],[Cod Vel]],VeloCatena[],3,FALSE),0)</f>
        <v>0</v>
      </c>
      <c r="Q16" s="71"/>
      <c r="R16" s="71"/>
      <c r="S16" s="71"/>
      <c r="T16" s="71"/>
      <c r="U16" s="71"/>
      <c r="V16" s="74">
        <f>IF(RigheOfferte[[#This Row],[Velocità]]&gt;0,60*RigheOfferte[[#This Row],[Velocità]]/RigheOfferte[[#This Row],[passo]]*RigheOfferte[[#This Row],[nr.pezzi Telaio]],0)</f>
        <v>0</v>
      </c>
      <c r="W16" s="74"/>
      <c r="X1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6" s="74">
        <f>_xlfn.IFNA(INDEX(RiepilogoCostiOrari[],MATCH(YEAR(RigheOfferte[[#This Row],[data]])&amp;RigheOfferte[[#This Row],[Quadrimestre]],QuCostiLav,0),MATCH(RigheOfferte[[#This Row],[Lavorazione]],CodLavorazioni,0)),0)</f>
        <v>0</v>
      </c>
      <c r="AA16" s="76"/>
      <c r="AB16" s="71"/>
      <c r="AC16" s="74">
        <f>RigheOfferte[[#This Row],[Superf.pz Mq]]*Resa*RigheOfferte[[#This Row],[MP (€kg)]]</f>
        <v>0</v>
      </c>
      <c r="AD16" s="77"/>
      <c r="AE16" s="77"/>
      <c r="AF16" s="55">
        <f>_xlfn.IFNA(VLOOKUP(RigheOfferte[[#This Row],[Tipo Protezione]],Protezioni[],2,FALSE),0)</f>
        <v>0</v>
      </c>
      <c r="AG16" s="79"/>
      <c r="AH1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6" s="71">
        <f>RigheOfferte[[#This Row],[altri costi]]+RigheOfferte[[#This Row],[costo industriale pz]]</f>
        <v>0</v>
      </c>
      <c r="AJ16" s="81">
        <f>_xlfn.IFNA(INDEX(Ricarichi[],MATCH(YEAR(RigheOfferte[[#This Row],[data]])&amp;RigheOfferte[[#This Row],[Quadrimestre]],QuCostiLav,0),MATCH(RigheOfferte[[#This Row],[Lavorazione]],CodLavorazioni,0)),0)</f>
        <v>0</v>
      </c>
      <c r="AK16" s="80">
        <f>RigheOfferte[[#This Row],[totale costi]]+(RigheOfferte[[#This Row],[totale costi]]*RigheOfferte[[#This Row],[Ricarico]])</f>
        <v>0</v>
      </c>
      <c r="AL16" s="71">
        <f>RigheOfferte[[#This Row],[Prezzo Di Vendita]]*RigheOfferte[[#This Row],[Q.ta'']]</f>
        <v>0</v>
      </c>
      <c r="AM16" s="71">
        <f>IFERROR(RigheOfferte[[#This Row],[Prezzo Di Vendita]]/RigheOfferte[[#This Row],[Superf.pz Mq]],0)</f>
        <v>0</v>
      </c>
    </row>
    <row r="17" spans="1:39" ht="14.4">
      <c r="A17" s="69" t="str">
        <f>IF(LEN('riepilogo prezzi'!$D17&amp;'riepilogo prezzi'!$E17)&gt;0,'riepilogo prezzi'!$D17&amp;"-"&amp;'riepilogo prezzi'!$E17,"")</f>
        <v/>
      </c>
      <c r="B17" s="70" t="str">
        <f>IF(LEN(MONTH(RigheOfferte[[#This Row],[data]]))=1,0&amp;MONTH(RigheOfferte[[#This Row],[data]]),MONTH(RigheOfferte[[#This Row],[data]]))</f>
        <v>01</v>
      </c>
      <c r="C17" s="70" t="str">
        <f>IF(MONTH(RigheOfferte[[#This Row],[data]])&gt;8,"03",IF(MONTH(RigheOfferte[[#This Row],[data]])&gt;4,"02","01"))</f>
        <v>01</v>
      </c>
      <c r="D17" s="71"/>
      <c r="E17" s="71"/>
      <c r="F17" s="83"/>
      <c r="G17" s="71"/>
      <c r="H17" s="69"/>
      <c r="I17" s="71"/>
      <c r="J17" s="22"/>
      <c r="K17" s="72"/>
      <c r="L17" s="71"/>
      <c r="M17" s="71"/>
      <c r="N17" s="71" t="str">
        <f>_xlfn.IFNA(VLOOKUP(RigheOfferte[[#This Row],[Lavorazione]],DescLavorazioni[],2,FALSE),"")</f>
        <v/>
      </c>
      <c r="O17" s="71"/>
      <c r="P17" s="73">
        <f>_xlfn.IFNA(VLOOKUP(RigheOfferte[[#This Row],[Cod Vel]],VeloCatena[],3,FALSE),0)</f>
        <v>0</v>
      </c>
      <c r="Q17" s="71"/>
      <c r="R17" s="71"/>
      <c r="S17" s="71"/>
      <c r="T17" s="71"/>
      <c r="U17" s="71"/>
      <c r="V17" s="74">
        <f>IF(RigheOfferte[[#This Row],[Velocità]]&gt;0,60*RigheOfferte[[#This Row],[Velocità]]/RigheOfferte[[#This Row],[passo]]*RigheOfferte[[#This Row],[nr.pezzi Telaio]],0)</f>
        <v>0</v>
      </c>
      <c r="W17" s="74"/>
      <c r="X1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7" s="74">
        <f>_xlfn.IFNA(INDEX(RiepilogoCostiOrari[],MATCH(YEAR(RigheOfferte[[#This Row],[data]])&amp;RigheOfferte[[#This Row],[Quadrimestre]],QuCostiLav,0),MATCH(RigheOfferte[[#This Row],[Lavorazione]],CodLavorazioni,0)),0)</f>
        <v>0</v>
      </c>
      <c r="AA17" s="76"/>
      <c r="AB17" s="71"/>
      <c r="AC17" s="74">
        <f>RigheOfferte[[#This Row],[Superf.pz Mq]]*Resa*RigheOfferte[[#This Row],[MP (€kg)]]</f>
        <v>0</v>
      </c>
      <c r="AD17" s="77"/>
      <c r="AE17" s="77"/>
      <c r="AF17" s="55">
        <f>_xlfn.IFNA(VLOOKUP(RigheOfferte[[#This Row],[Tipo Protezione]],Protezioni[],2,FALSE),0)</f>
        <v>0</v>
      </c>
      <c r="AG17" s="79"/>
      <c r="AH1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7" s="71">
        <f>RigheOfferte[[#This Row],[altri costi]]+RigheOfferte[[#This Row],[costo industriale pz]]</f>
        <v>0</v>
      </c>
      <c r="AJ17" s="81">
        <f>_xlfn.IFNA(INDEX(Ricarichi[],MATCH(YEAR(RigheOfferte[[#This Row],[data]])&amp;RigheOfferte[[#This Row],[Quadrimestre]],QuCostiLav,0),MATCH(RigheOfferte[[#This Row],[Lavorazione]],CodLavorazioni,0)),0)</f>
        <v>0</v>
      </c>
      <c r="AK17" s="80">
        <f>RigheOfferte[[#This Row],[totale costi]]+(RigheOfferte[[#This Row],[totale costi]]*RigheOfferte[[#This Row],[Ricarico]])</f>
        <v>0</v>
      </c>
      <c r="AL17" s="71">
        <f>RigheOfferte[[#This Row],[Prezzo Di Vendita]]*RigheOfferte[[#This Row],[Q.ta'']]</f>
        <v>0</v>
      </c>
      <c r="AM17" s="71">
        <f>IFERROR(RigheOfferte[[#This Row],[Prezzo Di Vendita]]/RigheOfferte[[#This Row],[Superf.pz Mq]],0)</f>
        <v>0</v>
      </c>
    </row>
    <row r="18" spans="1:39" ht="14.4">
      <c r="A18" s="69" t="str">
        <f>IF(LEN('riepilogo prezzi'!$D18&amp;'riepilogo prezzi'!$E18)&gt;0,'riepilogo prezzi'!$D18&amp;"-"&amp;'riepilogo prezzi'!$E18,"")</f>
        <v/>
      </c>
      <c r="B18" s="70" t="str">
        <f>IF(LEN(MONTH(RigheOfferte[[#This Row],[data]]))=1,0&amp;MONTH(RigheOfferte[[#This Row],[data]]),MONTH(RigheOfferte[[#This Row],[data]]))</f>
        <v>01</v>
      </c>
      <c r="C18" s="70" t="str">
        <f>IF(MONTH(RigheOfferte[[#This Row],[data]])&gt;8,"03",IF(MONTH(RigheOfferte[[#This Row],[data]])&gt;4,"02","01"))</f>
        <v>01</v>
      </c>
      <c r="D18" s="71"/>
      <c r="E18" s="71"/>
      <c r="F18" s="83"/>
      <c r="G18" s="71"/>
      <c r="H18" s="69"/>
      <c r="I18" s="71"/>
      <c r="J18" s="22"/>
      <c r="K18" s="72"/>
      <c r="L18" s="71"/>
      <c r="M18" s="71"/>
      <c r="N18" s="71" t="str">
        <f>_xlfn.IFNA(VLOOKUP(RigheOfferte[[#This Row],[Lavorazione]],DescLavorazioni[],2,FALSE),"")</f>
        <v/>
      </c>
      <c r="O18" s="71"/>
      <c r="P18" s="73">
        <f>_xlfn.IFNA(VLOOKUP(RigheOfferte[[#This Row],[Cod Vel]],VeloCatena[],3,FALSE),0)</f>
        <v>0</v>
      </c>
      <c r="Q18" s="71"/>
      <c r="R18" s="71"/>
      <c r="S18" s="71"/>
      <c r="T18" s="71"/>
      <c r="U18" s="71"/>
      <c r="V18" s="74">
        <f>IF(RigheOfferte[[#This Row],[Velocità]]&gt;0,60*RigheOfferte[[#This Row],[Velocità]]/RigheOfferte[[#This Row],[passo]]*RigheOfferte[[#This Row],[nr.pezzi Telaio]],0)</f>
        <v>0</v>
      </c>
      <c r="W18" s="74"/>
      <c r="X1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8" s="74">
        <f>_xlfn.IFNA(INDEX(RiepilogoCostiOrari[],MATCH(YEAR(RigheOfferte[[#This Row],[data]])&amp;RigheOfferte[[#This Row],[Quadrimestre]],QuCostiLav,0),MATCH(RigheOfferte[[#This Row],[Lavorazione]],CodLavorazioni,0)),0)</f>
        <v>0</v>
      </c>
      <c r="AA18" s="76"/>
      <c r="AB18" s="71"/>
      <c r="AC18" s="74">
        <f>RigheOfferte[[#This Row],[Superf.pz Mq]]*Resa*RigheOfferte[[#This Row],[MP (€kg)]]</f>
        <v>0</v>
      </c>
      <c r="AD18" s="77"/>
      <c r="AE18" s="77"/>
      <c r="AF18" s="55">
        <f>_xlfn.IFNA(VLOOKUP(RigheOfferte[[#This Row],[Tipo Protezione]],Protezioni[],2,FALSE),0)</f>
        <v>0</v>
      </c>
      <c r="AG18" s="79"/>
      <c r="AH1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8" s="71">
        <f>RigheOfferte[[#This Row],[altri costi]]+RigheOfferte[[#This Row],[costo industriale pz]]</f>
        <v>0</v>
      </c>
      <c r="AJ18" s="81">
        <f>_xlfn.IFNA(INDEX(Ricarichi[],MATCH(YEAR(RigheOfferte[[#This Row],[data]])&amp;RigheOfferte[[#This Row],[Quadrimestre]],QuCostiLav,0),MATCH(RigheOfferte[[#This Row],[Lavorazione]],CodLavorazioni,0)),0)</f>
        <v>0</v>
      </c>
      <c r="AK18" s="80">
        <f>RigheOfferte[[#This Row],[totale costi]]+(RigheOfferte[[#This Row],[totale costi]]*RigheOfferte[[#This Row],[Ricarico]])</f>
        <v>0</v>
      </c>
      <c r="AL18" s="71">
        <f>RigheOfferte[[#This Row],[Prezzo Di Vendita]]*RigheOfferte[[#This Row],[Q.ta'']]</f>
        <v>0</v>
      </c>
      <c r="AM18" s="71">
        <f>IFERROR(RigheOfferte[[#This Row],[Prezzo Di Vendita]]/RigheOfferte[[#This Row],[Superf.pz Mq]],0)</f>
        <v>0</v>
      </c>
    </row>
    <row r="19" spans="1:39" ht="14.4">
      <c r="A19" s="69" t="str">
        <f>IF(LEN('riepilogo prezzi'!$D19&amp;'riepilogo prezzi'!$E19)&gt;0,'riepilogo prezzi'!$D19&amp;"-"&amp;'riepilogo prezzi'!$E19,"")</f>
        <v/>
      </c>
      <c r="B19" s="70" t="str">
        <f>IF(LEN(MONTH(RigheOfferte[[#This Row],[data]]))=1,0&amp;MONTH(RigheOfferte[[#This Row],[data]]),MONTH(RigheOfferte[[#This Row],[data]]))</f>
        <v>01</v>
      </c>
      <c r="C19" s="70" t="str">
        <f>IF(MONTH(RigheOfferte[[#This Row],[data]])&gt;8,"03",IF(MONTH(RigheOfferte[[#This Row],[data]])&gt;4,"02","01"))</f>
        <v>01</v>
      </c>
      <c r="D19" s="71"/>
      <c r="E19" s="71"/>
      <c r="F19" s="83"/>
      <c r="G19" s="71"/>
      <c r="H19" s="69"/>
      <c r="I19" s="71"/>
      <c r="J19" s="82"/>
      <c r="K19" s="84"/>
      <c r="L19" s="84"/>
      <c r="M19" s="71"/>
      <c r="N19" s="71" t="str">
        <f>_xlfn.IFNA(VLOOKUP(RigheOfferte[[#This Row],[Lavorazione]],DescLavorazioni[],2,FALSE),"")</f>
        <v/>
      </c>
      <c r="O19" s="71"/>
      <c r="P19" s="73">
        <f>_xlfn.IFNA(VLOOKUP(RigheOfferte[[#This Row],[Cod Vel]],VeloCatena[],3,FALSE),0)</f>
        <v>0</v>
      </c>
      <c r="Q19" s="85"/>
      <c r="R19" s="85"/>
      <c r="S19" s="71"/>
      <c r="T19" s="71"/>
      <c r="U19" s="71"/>
      <c r="V19" s="74">
        <f>IF(RigheOfferte[[#This Row],[Velocità]]&gt;0,60*RigheOfferte[[#This Row],[Velocità]]/RigheOfferte[[#This Row],[passo]]*RigheOfferte[[#This Row],[nr.pezzi Telaio]],0)</f>
        <v>0</v>
      </c>
      <c r="W19" s="74"/>
      <c r="X1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9" s="74">
        <f>_xlfn.IFNA(INDEX(RiepilogoCostiOrari[],MATCH(YEAR(RigheOfferte[[#This Row],[data]])&amp;RigheOfferte[[#This Row],[Quadrimestre]],QuCostiLav,0),MATCH(RigheOfferte[[#This Row],[Lavorazione]],CodLavorazioni,0)),0)</f>
        <v>0</v>
      </c>
      <c r="AA19" s="87"/>
      <c r="AB19" s="71"/>
      <c r="AC19" s="74">
        <f>RigheOfferte[[#This Row],[Superf.pz Mq]]*Resa*RigheOfferte[[#This Row],[MP (€kg)]]</f>
        <v>0</v>
      </c>
      <c r="AD19" s="77"/>
      <c r="AE19" s="77"/>
      <c r="AF19" s="55">
        <f>_xlfn.IFNA(VLOOKUP(RigheOfferte[[#This Row],[Tipo Protezione]],Protezioni[],2,FALSE),0)</f>
        <v>0</v>
      </c>
      <c r="AG19" s="79"/>
      <c r="AH1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9" s="71">
        <f>RigheOfferte[[#This Row],[altri costi]]+RigheOfferte[[#This Row],[costo industriale pz]]</f>
        <v>0</v>
      </c>
      <c r="AJ19" s="81">
        <f>_xlfn.IFNA(INDEX(Ricarichi[],MATCH(YEAR(RigheOfferte[[#This Row],[data]])&amp;RigheOfferte[[#This Row],[Quadrimestre]],QuCostiLav,0),MATCH(RigheOfferte[[#This Row],[Lavorazione]],CodLavorazioni,0)),0)</f>
        <v>0</v>
      </c>
      <c r="AK19" s="80">
        <f>RigheOfferte[[#This Row],[totale costi]]+(RigheOfferte[[#This Row],[totale costi]]*RigheOfferte[[#This Row],[Ricarico]])</f>
        <v>0</v>
      </c>
      <c r="AL19" s="71">
        <f>RigheOfferte[[#This Row],[Prezzo Di Vendita]]*RigheOfferte[[#This Row],[Q.ta'']]</f>
        <v>0</v>
      </c>
      <c r="AM19" s="71">
        <f>IFERROR(RigheOfferte[[#This Row],[Prezzo Di Vendita]]/RigheOfferte[[#This Row],[Superf.pz Mq]],0)</f>
        <v>0</v>
      </c>
    </row>
    <row r="20" spans="1:39" ht="14.4">
      <c r="A20" s="69" t="str">
        <f>IF(LEN('riepilogo prezzi'!$D20&amp;'riepilogo prezzi'!$E20)&gt;0,'riepilogo prezzi'!$D20&amp;"-"&amp;'riepilogo prezzi'!$E20,"")</f>
        <v/>
      </c>
      <c r="B20" s="70" t="str">
        <f>IF(LEN(MONTH(RigheOfferte[[#This Row],[data]]))=1,0&amp;MONTH(RigheOfferte[[#This Row],[data]]),MONTH(RigheOfferte[[#This Row],[data]]))</f>
        <v>01</v>
      </c>
      <c r="C20" s="70" t="str">
        <f>IF(MONTH(RigheOfferte[[#This Row],[data]])&gt;8,"03",IF(MONTH(RigheOfferte[[#This Row],[data]])&gt;4,"02","01"))</f>
        <v>01</v>
      </c>
      <c r="D20" s="71"/>
      <c r="E20" s="71"/>
      <c r="F20" s="83"/>
      <c r="G20" s="71"/>
      <c r="H20" s="69"/>
      <c r="I20" s="71"/>
      <c r="J20" s="82"/>
      <c r="K20" s="84"/>
      <c r="L20" s="84"/>
      <c r="M20" s="71"/>
      <c r="N20" s="71" t="str">
        <f>_xlfn.IFNA(VLOOKUP(RigheOfferte[[#This Row],[Lavorazione]],DescLavorazioni[],2,FALSE),"")</f>
        <v/>
      </c>
      <c r="O20" s="71"/>
      <c r="P20" s="73">
        <f>_xlfn.IFNA(VLOOKUP(RigheOfferte[[#This Row],[Cod Vel]],VeloCatena[],3,FALSE),0)</f>
        <v>0</v>
      </c>
      <c r="Q20" s="85"/>
      <c r="R20" s="85"/>
      <c r="S20" s="71"/>
      <c r="T20" s="71"/>
      <c r="U20" s="71"/>
      <c r="V20" s="74">
        <f>IF(RigheOfferte[[#This Row],[Velocità]]&gt;0,60*RigheOfferte[[#This Row],[Velocità]]/RigheOfferte[[#This Row],[passo]]*RigheOfferte[[#This Row],[nr.pezzi Telaio]],0)</f>
        <v>0</v>
      </c>
      <c r="W20" s="74"/>
      <c r="X2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2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20" s="74">
        <f>_xlfn.IFNA(INDEX(RiepilogoCostiOrari[],MATCH(YEAR(RigheOfferte[[#This Row],[data]])&amp;RigheOfferte[[#This Row],[Quadrimestre]],QuCostiLav,0),MATCH(RigheOfferte[[#This Row],[Lavorazione]],CodLavorazioni,0)),0)</f>
        <v>0</v>
      </c>
      <c r="AA20" s="76"/>
      <c r="AB20" s="71"/>
      <c r="AC20" s="74">
        <f>RigheOfferte[[#This Row],[Superf.pz Mq]]*Resa*RigheOfferte[[#This Row],[MP (€kg)]]</f>
        <v>0</v>
      </c>
      <c r="AD20" s="77"/>
      <c r="AE20" s="77"/>
      <c r="AF20" s="55">
        <f>_xlfn.IFNA(VLOOKUP(RigheOfferte[[#This Row],[Tipo Protezione]],Protezioni[],2,FALSE),0)</f>
        <v>0</v>
      </c>
      <c r="AG20" s="79"/>
      <c r="AH2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20" s="71">
        <f>RigheOfferte[[#This Row],[altri costi]]+RigheOfferte[[#This Row],[costo industriale pz]]</f>
        <v>0</v>
      </c>
      <c r="AJ20" s="81">
        <f>_xlfn.IFNA(INDEX(Ricarichi[],MATCH(YEAR(RigheOfferte[[#This Row],[data]])&amp;RigheOfferte[[#This Row],[Quadrimestre]],QuCostiLav,0),MATCH(RigheOfferte[[#This Row],[Lavorazione]],CodLavorazioni,0)),0)</f>
        <v>0</v>
      </c>
      <c r="AK20" s="80">
        <f>RigheOfferte[[#This Row],[totale costi]]+(RigheOfferte[[#This Row],[totale costi]]*RigheOfferte[[#This Row],[Ricarico]])</f>
        <v>0</v>
      </c>
      <c r="AL20" s="71">
        <f>RigheOfferte[[#This Row],[Prezzo Di Vendita]]*RigheOfferte[[#This Row],[Q.ta'']]</f>
        <v>0</v>
      </c>
      <c r="AM20" s="71">
        <f>IFERROR(RigheOfferte[[#This Row],[Prezzo Di Vendita]]/RigheOfferte[[#This Row],[Superf.pz Mq]],0)</f>
        <v>0</v>
      </c>
    </row>
    <row r="21" spans="1:39" ht="14.4">
      <c r="A21" s="69" t="str">
        <f>IF(LEN('riepilogo prezzi'!$D21&amp;'riepilogo prezzi'!$E21)&gt;0,'riepilogo prezzi'!$D21&amp;"-"&amp;'riepilogo prezzi'!$E21,"")</f>
        <v/>
      </c>
      <c r="B21" s="70" t="str">
        <f>IF(LEN(MONTH(RigheOfferte[[#This Row],[data]]))=1,0&amp;MONTH(RigheOfferte[[#This Row],[data]]),MONTH(RigheOfferte[[#This Row],[data]]))</f>
        <v>01</v>
      </c>
      <c r="C21" s="70" t="str">
        <f>IF(MONTH(RigheOfferte[[#This Row],[data]])&gt;8,"03",IF(MONTH(RigheOfferte[[#This Row],[data]])&gt;4,"02","01"))</f>
        <v>01</v>
      </c>
      <c r="D21" s="71"/>
      <c r="E21" s="71"/>
      <c r="F21" s="83"/>
      <c r="G21" s="71"/>
      <c r="H21" s="69"/>
      <c r="I21" s="71"/>
      <c r="J21" s="82"/>
      <c r="K21" s="84"/>
      <c r="L21" s="84"/>
      <c r="M21" s="71"/>
      <c r="N21" s="71" t="str">
        <f>_xlfn.IFNA(VLOOKUP(RigheOfferte[[#This Row],[Lavorazione]],DescLavorazioni[],2,FALSE),"")</f>
        <v/>
      </c>
      <c r="O21" s="71"/>
      <c r="P21" s="73">
        <f>_xlfn.IFNA(VLOOKUP(RigheOfferte[[#This Row],[Cod Vel]],VeloCatena[],3,FALSE),0)</f>
        <v>0</v>
      </c>
      <c r="Q21" s="85"/>
      <c r="R21" s="85"/>
      <c r="S21" s="71"/>
      <c r="T21" s="71"/>
      <c r="U21" s="71"/>
      <c r="V21" s="74">
        <f>IF(RigheOfferte[[#This Row],[Velocità]]&gt;0,60*RigheOfferte[[#This Row],[Velocità]]/RigheOfferte[[#This Row],[passo]]*RigheOfferte[[#This Row],[nr.pezzi Telaio]],0)</f>
        <v>0</v>
      </c>
      <c r="W21" s="74"/>
      <c r="X2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2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21" s="74">
        <f>_xlfn.IFNA(INDEX(RiepilogoCostiOrari[],MATCH(YEAR(RigheOfferte[[#This Row],[data]])&amp;RigheOfferte[[#This Row],[Quadrimestre]],QuCostiLav,0),MATCH(RigheOfferte[[#This Row],[Lavorazione]],CodLavorazioni,0)),0)</f>
        <v>0</v>
      </c>
      <c r="AA21" s="76"/>
      <c r="AB21" s="71"/>
      <c r="AC21" s="74">
        <f>RigheOfferte[[#This Row],[Superf.pz Mq]]*Resa*RigheOfferte[[#This Row],[MP (€kg)]]</f>
        <v>0</v>
      </c>
      <c r="AD21" s="77"/>
      <c r="AE21" s="77"/>
      <c r="AF21" s="55">
        <f>_xlfn.IFNA(VLOOKUP(RigheOfferte[[#This Row],[Tipo Protezione]],Protezioni[],2,FALSE),0)</f>
        <v>0</v>
      </c>
      <c r="AG21" s="79"/>
      <c r="AH2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21" s="71">
        <f>RigheOfferte[[#This Row],[altri costi]]+RigheOfferte[[#This Row],[costo industriale pz]]</f>
        <v>0</v>
      </c>
      <c r="AJ21" s="81">
        <f>_xlfn.IFNA(INDEX(Ricarichi[],MATCH(YEAR(RigheOfferte[[#This Row],[data]])&amp;RigheOfferte[[#This Row],[Quadrimestre]],QuCostiLav,0),MATCH(RigheOfferte[[#This Row],[Lavorazione]],CodLavorazioni,0)),0)</f>
        <v>0</v>
      </c>
      <c r="AK21" s="80">
        <f>RigheOfferte[[#This Row],[totale costi]]+(RigheOfferte[[#This Row],[totale costi]]*RigheOfferte[[#This Row],[Ricarico]])</f>
        <v>0</v>
      </c>
      <c r="AL21" s="71">
        <f>RigheOfferte[[#This Row],[Prezzo Di Vendita]]*RigheOfferte[[#This Row],[Q.ta'']]</f>
        <v>0</v>
      </c>
      <c r="AM21" s="71">
        <f>IFERROR(RigheOfferte[[#This Row],[Prezzo Di Vendita]]/RigheOfferte[[#This Row],[Superf.pz Mq]],0)</f>
        <v>0</v>
      </c>
    </row>
    <row r="22" spans="1:39" ht="14.4">
      <c r="A22" s="69" t="str">
        <f>IF(LEN('riepilogo prezzi'!$D22&amp;'riepilogo prezzi'!$E22)&gt;0,'riepilogo prezzi'!$D22&amp;"-"&amp;'riepilogo prezzi'!$E22,"")</f>
        <v/>
      </c>
      <c r="B22" s="70" t="str">
        <f>IF(LEN(MONTH(RigheOfferte[[#This Row],[data]]))=1,0&amp;MONTH(RigheOfferte[[#This Row],[data]]),MONTH(RigheOfferte[[#This Row],[data]]))</f>
        <v>01</v>
      </c>
      <c r="C22" s="70" t="str">
        <f>IF(MONTH(RigheOfferte[[#This Row],[data]])&gt;8,"03",IF(MONTH(RigheOfferte[[#This Row],[data]])&gt;4,"02","01"))</f>
        <v>01</v>
      </c>
      <c r="D22" s="71"/>
      <c r="E22" s="71"/>
      <c r="F22" s="83"/>
      <c r="G22" s="71"/>
      <c r="H22" s="69"/>
      <c r="I22" s="71"/>
      <c r="J22" s="82"/>
      <c r="K22" s="84"/>
      <c r="L22" s="84"/>
      <c r="M22" s="71"/>
      <c r="N22" s="71" t="str">
        <f>_xlfn.IFNA(VLOOKUP(RigheOfferte[[#This Row],[Lavorazione]],DescLavorazioni[],2,FALSE),"")</f>
        <v/>
      </c>
      <c r="O22" s="71"/>
      <c r="P22" s="73">
        <f>_xlfn.IFNA(VLOOKUP(RigheOfferte[[#This Row],[Cod Vel]],VeloCatena[],3,FALSE),0)</f>
        <v>0</v>
      </c>
      <c r="Q22" s="85"/>
      <c r="R22" s="85"/>
      <c r="S22" s="71"/>
      <c r="T22" s="71"/>
      <c r="U22" s="71"/>
      <c r="V22" s="74">
        <f>IF(RigheOfferte[[#This Row],[Velocità]]&gt;0,60*RigheOfferte[[#This Row],[Velocità]]/RigheOfferte[[#This Row],[passo]]*RigheOfferte[[#This Row],[nr.pezzi Telaio]],0)</f>
        <v>0</v>
      </c>
      <c r="W22" s="74"/>
      <c r="X2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2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22" s="74">
        <f>_xlfn.IFNA(INDEX(RiepilogoCostiOrari[],MATCH(YEAR(RigheOfferte[[#This Row],[data]])&amp;RigheOfferte[[#This Row],[Quadrimestre]],QuCostiLav,0),MATCH(RigheOfferte[[#This Row],[Lavorazione]],CodLavorazioni,0)),0)</f>
        <v>0</v>
      </c>
      <c r="AA22" s="76"/>
      <c r="AB22" s="71"/>
      <c r="AC22" s="74">
        <f>RigheOfferte[[#This Row],[Superf.pz Mq]]*Resa*RigheOfferte[[#This Row],[MP (€kg)]]</f>
        <v>0</v>
      </c>
      <c r="AD22" s="77"/>
      <c r="AE22" s="77"/>
      <c r="AF22" s="55">
        <f>_xlfn.IFNA(VLOOKUP(RigheOfferte[[#This Row],[Tipo Protezione]],Protezioni[],2,FALSE),0)</f>
        <v>0</v>
      </c>
      <c r="AG22" s="79"/>
      <c r="AH2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22" s="71">
        <f>RigheOfferte[[#This Row],[altri costi]]+RigheOfferte[[#This Row],[costo industriale pz]]</f>
        <v>0</v>
      </c>
      <c r="AJ22" s="81">
        <f>_xlfn.IFNA(INDEX(Ricarichi[],MATCH(YEAR(RigheOfferte[[#This Row],[data]])&amp;RigheOfferte[[#This Row],[Quadrimestre]],QuCostiLav,0),MATCH(RigheOfferte[[#This Row],[Lavorazione]],CodLavorazioni,0)),0)</f>
        <v>0</v>
      </c>
      <c r="AK22" s="80">
        <f>RigheOfferte[[#This Row],[totale costi]]+(RigheOfferte[[#This Row],[totale costi]]*RigheOfferte[[#This Row],[Ricarico]])</f>
        <v>0</v>
      </c>
      <c r="AL22" s="71">
        <f>RigheOfferte[[#This Row],[Prezzo Di Vendita]]*RigheOfferte[[#This Row],[Q.ta'']]</f>
        <v>0</v>
      </c>
      <c r="AM22" s="71">
        <f>IFERROR(RigheOfferte[[#This Row],[Prezzo Di Vendita]]/RigheOfferte[[#This Row],[Superf.pz Mq]],0)</f>
        <v>0</v>
      </c>
    </row>
    <row r="23" spans="1:39" ht="14.4">
      <c r="A23" s="69" t="str">
        <f>IF(LEN('riepilogo prezzi'!$D23&amp;'riepilogo prezzi'!$E23)&gt;0,'riepilogo prezzi'!$D23&amp;"-"&amp;'riepilogo prezzi'!$E23,"")</f>
        <v/>
      </c>
      <c r="B23" s="70" t="str">
        <f>IF(LEN(MONTH(RigheOfferte[[#This Row],[data]]))=1,0&amp;MONTH(RigheOfferte[[#This Row],[data]]),MONTH(RigheOfferte[[#This Row],[data]]))</f>
        <v>01</v>
      </c>
      <c r="C23" s="70" t="str">
        <f>IF(MONTH(RigheOfferte[[#This Row],[data]])&gt;8,"03",IF(MONTH(RigheOfferte[[#This Row],[data]])&gt;4,"02","01"))</f>
        <v>01</v>
      </c>
      <c r="D23" s="71"/>
      <c r="E23" s="71"/>
      <c r="F23" s="83"/>
      <c r="G23" s="71"/>
      <c r="H23" s="69"/>
      <c r="I23" s="71"/>
      <c r="J23" s="82"/>
      <c r="K23" s="84"/>
      <c r="L23" s="84"/>
      <c r="M23" s="71"/>
      <c r="N23" s="71" t="str">
        <f>_xlfn.IFNA(VLOOKUP(RigheOfferte[[#This Row],[Lavorazione]],DescLavorazioni[],2,FALSE),"")</f>
        <v/>
      </c>
      <c r="O23" s="71"/>
      <c r="P23" s="73">
        <f>_xlfn.IFNA(VLOOKUP(RigheOfferte[[#This Row],[Cod Vel]],VeloCatena[],3,FALSE),0)</f>
        <v>0</v>
      </c>
      <c r="Q23" s="85"/>
      <c r="R23" s="85"/>
      <c r="S23" s="71"/>
      <c r="T23" s="71"/>
      <c r="U23" s="71"/>
      <c r="V23" s="74">
        <f>IF(RigheOfferte[[#This Row],[Velocità]]&gt;0,60*RigheOfferte[[#This Row],[Velocità]]/RigheOfferte[[#This Row],[passo]]*RigheOfferte[[#This Row],[nr.pezzi Telaio]],0)</f>
        <v>0</v>
      </c>
      <c r="W23" s="74"/>
      <c r="X2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2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23" s="74">
        <f>_xlfn.IFNA(INDEX(RiepilogoCostiOrari[],MATCH(YEAR(RigheOfferte[[#This Row],[data]])&amp;RigheOfferte[[#This Row],[Quadrimestre]],QuCostiLav,0),MATCH(RigheOfferte[[#This Row],[Lavorazione]],CodLavorazioni,0)),0)</f>
        <v>0</v>
      </c>
      <c r="AA23" s="76"/>
      <c r="AB23" s="71"/>
      <c r="AC23" s="74">
        <f>RigheOfferte[[#This Row],[Superf.pz Mq]]*Resa*RigheOfferte[[#This Row],[MP (€kg)]]</f>
        <v>0</v>
      </c>
      <c r="AD23" s="77"/>
      <c r="AE23" s="77"/>
      <c r="AF23" s="55">
        <f>_xlfn.IFNA(VLOOKUP(RigheOfferte[[#This Row],[Tipo Protezione]],Protezioni[],2,FALSE),0)</f>
        <v>0</v>
      </c>
      <c r="AG23" s="79"/>
      <c r="AH2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23" s="71">
        <f>RigheOfferte[[#This Row],[altri costi]]+RigheOfferte[[#This Row],[costo industriale pz]]</f>
        <v>0</v>
      </c>
      <c r="AJ23" s="81">
        <f>_xlfn.IFNA(INDEX(Ricarichi[],MATCH(YEAR(RigheOfferte[[#This Row],[data]])&amp;RigheOfferte[[#This Row],[Quadrimestre]],QuCostiLav,0),MATCH(RigheOfferte[[#This Row],[Lavorazione]],CodLavorazioni,0)),0)</f>
        <v>0</v>
      </c>
      <c r="AK23" s="80">
        <f>RigheOfferte[[#This Row],[totale costi]]+(RigheOfferte[[#This Row],[totale costi]]*RigheOfferte[[#This Row],[Ricarico]])</f>
        <v>0</v>
      </c>
      <c r="AL23" s="71">
        <f>RigheOfferte[[#This Row],[Prezzo Di Vendita]]*RigheOfferte[[#This Row],[Q.ta'']]</f>
        <v>0</v>
      </c>
      <c r="AM23" s="71">
        <f>IFERROR(RigheOfferte[[#This Row],[Prezzo Di Vendita]]/RigheOfferte[[#This Row],[Superf.pz Mq]],0)</f>
        <v>0</v>
      </c>
    </row>
    <row r="24" spans="1:39" ht="14.4">
      <c r="A24" s="69" t="str">
        <f>IF(LEN('riepilogo prezzi'!$D24&amp;'riepilogo prezzi'!$E24)&gt;0,'riepilogo prezzi'!$D24&amp;"-"&amp;'riepilogo prezzi'!$E24,"")</f>
        <v/>
      </c>
      <c r="B24" s="70" t="str">
        <f>IF(LEN(MONTH(RigheOfferte[[#This Row],[data]]))=1,0&amp;MONTH(RigheOfferte[[#This Row],[data]]),MONTH(RigheOfferte[[#This Row],[data]]))</f>
        <v>01</v>
      </c>
      <c r="C24" s="70" t="str">
        <f>IF(MONTH(RigheOfferte[[#This Row],[data]])&gt;8,"03",IF(MONTH(RigheOfferte[[#This Row],[data]])&gt;4,"02","01"))</f>
        <v>01</v>
      </c>
      <c r="D24" s="71"/>
      <c r="E24" s="71"/>
      <c r="F24" s="83"/>
      <c r="G24" s="71"/>
      <c r="H24" s="69"/>
      <c r="I24" s="71"/>
      <c r="J24" s="82"/>
      <c r="K24" s="84"/>
      <c r="L24" s="84"/>
      <c r="M24" s="71"/>
      <c r="N24" s="71" t="str">
        <f>_xlfn.IFNA(VLOOKUP(RigheOfferte[[#This Row],[Lavorazione]],DescLavorazioni[],2,FALSE),"")</f>
        <v/>
      </c>
      <c r="O24" s="71"/>
      <c r="P24" s="73">
        <f>_xlfn.IFNA(VLOOKUP(RigheOfferte[[#This Row],[Cod Vel]],VeloCatena[],3,FALSE),0)</f>
        <v>0</v>
      </c>
      <c r="Q24" s="85"/>
      <c r="R24" s="85"/>
      <c r="S24" s="71"/>
      <c r="T24" s="71"/>
      <c r="U24" s="71"/>
      <c r="V24" s="74">
        <f>IF(RigheOfferte[[#This Row],[Velocità]]&gt;0,60*RigheOfferte[[#This Row],[Velocità]]/RigheOfferte[[#This Row],[passo]]*RigheOfferte[[#This Row],[nr.pezzi Telaio]],0)</f>
        <v>0</v>
      </c>
      <c r="W24" s="74"/>
      <c r="X2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2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24" s="74">
        <f>_xlfn.IFNA(INDEX(RiepilogoCostiOrari[],MATCH(YEAR(RigheOfferte[[#This Row],[data]])&amp;RigheOfferte[[#This Row],[Quadrimestre]],QuCostiLav,0),MATCH(RigheOfferte[[#This Row],[Lavorazione]],CodLavorazioni,0)),0)</f>
        <v>0</v>
      </c>
      <c r="AA24" s="76"/>
      <c r="AB24" s="71"/>
      <c r="AC24" s="74">
        <f>RigheOfferte[[#This Row],[Superf.pz Mq]]*Resa*RigheOfferte[[#This Row],[MP (€kg)]]</f>
        <v>0</v>
      </c>
      <c r="AD24" s="77"/>
      <c r="AE24" s="77"/>
      <c r="AF24" s="55">
        <f>_xlfn.IFNA(VLOOKUP(RigheOfferte[[#This Row],[Tipo Protezione]],Protezioni[],2,FALSE),0)</f>
        <v>0</v>
      </c>
      <c r="AG24" s="79"/>
      <c r="AH2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24" s="71">
        <f>RigheOfferte[[#This Row],[altri costi]]+RigheOfferte[[#This Row],[costo industriale pz]]</f>
        <v>0</v>
      </c>
      <c r="AJ24" s="81">
        <f>_xlfn.IFNA(INDEX(Ricarichi[],MATCH(YEAR(RigheOfferte[[#This Row],[data]])&amp;RigheOfferte[[#This Row],[Quadrimestre]],QuCostiLav,0),MATCH(RigheOfferte[[#This Row],[Lavorazione]],CodLavorazioni,0)),0)</f>
        <v>0</v>
      </c>
      <c r="AK24" s="80">
        <f>RigheOfferte[[#This Row],[totale costi]]+(RigheOfferte[[#This Row],[totale costi]]*RigheOfferte[[#This Row],[Ricarico]])</f>
        <v>0</v>
      </c>
      <c r="AL24" s="71">
        <f>RigheOfferte[[#This Row],[Prezzo Di Vendita]]*RigheOfferte[[#This Row],[Q.ta'']]</f>
        <v>0</v>
      </c>
      <c r="AM24" s="71">
        <f>IFERROR(RigheOfferte[[#This Row],[Prezzo Di Vendita]]/RigheOfferte[[#This Row],[Superf.pz Mq]],0)</f>
        <v>0</v>
      </c>
    </row>
    <row r="25" spans="1:39" ht="14.4">
      <c r="A25" s="69" t="str">
        <f>IF(LEN('riepilogo prezzi'!$D25&amp;'riepilogo prezzi'!$E25)&gt;0,'riepilogo prezzi'!$D25&amp;"-"&amp;'riepilogo prezzi'!$E25,"")</f>
        <v/>
      </c>
      <c r="B25" s="70" t="str">
        <f>IF(LEN(MONTH(RigheOfferte[[#This Row],[data]]))=1,0&amp;MONTH(RigheOfferte[[#This Row],[data]]),MONTH(RigheOfferte[[#This Row],[data]]))</f>
        <v>01</v>
      </c>
      <c r="C25" s="70" t="str">
        <f>IF(MONTH(RigheOfferte[[#This Row],[data]])&gt;8,"03",IF(MONTH(RigheOfferte[[#This Row],[data]])&gt;4,"02","01"))</f>
        <v>01</v>
      </c>
      <c r="D25" s="71"/>
      <c r="E25" s="71"/>
      <c r="F25" s="83"/>
      <c r="G25" s="71"/>
      <c r="H25" s="69"/>
      <c r="I25" s="71"/>
      <c r="J25" s="82"/>
      <c r="K25" s="84"/>
      <c r="L25" s="84"/>
      <c r="M25" s="71"/>
      <c r="N25" s="71" t="str">
        <f>_xlfn.IFNA(VLOOKUP(RigheOfferte[[#This Row],[Lavorazione]],DescLavorazioni[],2,FALSE),"")</f>
        <v/>
      </c>
      <c r="O25" s="71"/>
      <c r="P25" s="73">
        <f>_xlfn.IFNA(VLOOKUP(RigheOfferte[[#This Row],[Cod Vel]],VeloCatena[],3,FALSE),0)</f>
        <v>0</v>
      </c>
      <c r="Q25" s="85"/>
      <c r="R25" s="85"/>
      <c r="S25" s="71"/>
      <c r="T25" s="71"/>
      <c r="U25" s="71"/>
      <c r="V25" s="74">
        <f>IF(RigheOfferte[[#This Row],[Velocità]]&gt;0,60*RigheOfferte[[#This Row],[Velocità]]/RigheOfferte[[#This Row],[passo]]*RigheOfferte[[#This Row],[nr.pezzi Telaio]],0)</f>
        <v>0</v>
      </c>
      <c r="W25" s="74"/>
      <c r="X2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2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25" s="74">
        <f>_xlfn.IFNA(INDEX(RiepilogoCostiOrari[],MATCH(YEAR(RigheOfferte[[#This Row],[data]])&amp;RigheOfferte[[#This Row],[Quadrimestre]],QuCostiLav,0),MATCH(RigheOfferte[[#This Row],[Lavorazione]],CodLavorazioni,0)),0)</f>
        <v>0</v>
      </c>
      <c r="AA25" s="76"/>
      <c r="AB25" s="71"/>
      <c r="AC25" s="74">
        <f>RigheOfferte[[#This Row],[Superf.pz Mq]]*Resa*RigheOfferte[[#This Row],[MP (€kg)]]</f>
        <v>0</v>
      </c>
      <c r="AD25" s="77"/>
      <c r="AE25" s="77"/>
      <c r="AF25" s="55">
        <f>_xlfn.IFNA(VLOOKUP(RigheOfferte[[#This Row],[Tipo Protezione]],Protezioni[],2,FALSE),0)</f>
        <v>0</v>
      </c>
      <c r="AG25" s="79"/>
      <c r="AH2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25" s="71">
        <f>RigheOfferte[[#This Row],[altri costi]]+RigheOfferte[[#This Row],[costo industriale pz]]</f>
        <v>0</v>
      </c>
      <c r="AJ25" s="81">
        <f>_xlfn.IFNA(INDEX(Ricarichi[],MATCH(YEAR(RigheOfferte[[#This Row],[data]])&amp;RigheOfferte[[#This Row],[Quadrimestre]],QuCostiLav,0),MATCH(RigheOfferte[[#This Row],[Lavorazione]],CodLavorazioni,0)),0)</f>
        <v>0</v>
      </c>
      <c r="AK25" s="80">
        <f>RigheOfferte[[#This Row],[totale costi]]+(RigheOfferte[[#This Row],[totale costi]]*RigheOfferte[[#This Row],[Ricarico]])</f>
        <v>0</v>
      </c>
      <c r="AL25" s="71">
        <f>RigheOfferte[[#This Row],[Prezzo Di Vendita]]*RigheOfferte[[#This Row],[Q.ta'']]</f>
        <v>0</v>
      </c>
      <c r="AM25" s="71">
        <f>IFERROR(RigheOfferte[[#This Row],[Prezzo Di Vendita]]/RigheOfferte[[#This Row],[Superf.pz Mq]],0)</f>
        <v>0</v>
      </c>
    </row>
    <row r="26" spans="1:39" ht="14.4">
      <c r="A26" s="69" t="str">
        <f>IF(LEN('riepilogo prezzi'!$D26&amp;'riepilogo prezzi'!$E26)&gt;0,'riepilogo prezzi'!$D26&amp;"-"&amp;'riepilogo prezzi'!$E26,"")</f>
        <v/>
      </c>
      <c r="B26" s="70" t="str">
        <f>IF(LEN(MONTH(RigheOfferte[[#This Row],[data]]))=1,0&amp;MONTH(RigheOfferte[[#This Row],[data]]),MONTH(RigheOfferte[[#This Row],[data]]))</f>
        <v>01</v>
      </c>
      <c r="C26" s="70" t="str">
        <f>IF(MONTH(RigheOfferte[[#This Row],[data]])&gt;8,"03",IF(MONTH(RigheOfferte[[#This Row],[data]])&gt;4,"02","01"))</f>
        <v>01</v>
      </c>
      <c r="D26" s="71"/>
      <c r="E26" s="71"/>
      <c r="F26" s="83"/>
      <c r="G26" s="71"/>
      <c r="H26" s="69"/>
      <c r="I26" s="71"/>
      <c r="J26" s="82"/>
      <c r="K26" s="84"/>
      <c r="L26" s="84"/>
      <c r="M26" s="71"/>
      <c r="N26" s="71" t="str">
        <f>_xlfn.IFNA(VLOOKUP(RigheOfferte[[#This Row],[Lavorazione]],DescLavorazioni[],2,FALSE),"")</f>
        <v/>
      </c>
      <c r="O26" s="71"/>
      <c r="P26" s="73">
        <f>_xlfn.IFNA(VLOOKUP(RigheOfferte[[#This Row],[Cod Vel]],VeloCatena[],3,FALSE),0)</f>
        <v>0</v>
      </c>
      <c r="Q26" s="85"/>
      <c r="R26" s="85"/>
      <c r="S26" s="71"/>
      <c r="T26" s="71"/>
      <c r="U26" s="71"/>
      <c r="V26" s="74">
        <f>IF(RigheOfferte[[#This Row],[Velocità]]&gt;0,60*RigheOfferte[[#This Row],[Velocità]]/RigheOfferte[[#This Row],[passo]]*RigheOfferte[[#This Row],[nr.pezzi Telaio]],0)</f>
        <v>0</v>
      </c>
      <c r="W26" s="74"/>
      <c r="X2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2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26" s="74">
        <f>_xlfn.IFNA(INDEX(RiepilogoCostiOrari[],MATCH(YEAR(RigheOfferte[[#This Row],[data]])&amp;RigheOfferte[[#This Row],[Quadrimestre]],QuCostiLav,0),MATCH(RigheOfferte[[#This Row],[Lavorazione]],CodLavorazioni,0)),0)</f>
        <v>0</v>
      </c>
      <c r="AA26" s="76"/>
      <c r="AB26" s="71"/>
      <c r="AC26" s="74">
        <f>RigheOfferte[[#This Row],[Superf.pz Mq]]*Resa*RigheOfferte[[#This Row],[MP (€kg)]]</f>
        <v>0</v>
      </c>
      <c r="AD26" s="77"/>
      <c r="AE26" s="77"/>
      <c r="AF26" s="55">
        <f>_xlfn.IFNA(VLOOKUP(RigheOfferte[[#This Row],[Tipo Protezione]],Protezioni[],2,FALSE),0)</f>
        <v>0</v>
      </c>
      <c r="AG26" s="79"/>
      <c r="AH2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26" s="71">
        <f>RigheOfferte[[#This Row],[altri costi]]+RigheOfferte[[#This Row],[costo industriale pz]]</f>
        <v>0</v>
      </c>
      <c r="AJ26" s="81">
        <f>_xlfn.IFNA(INDEX(Ricarichi[],MATCH(YEAR(RigheOfferte[[#This Row],[data]])&amp;RigheOfferte[[#This Row],[Quadrimestre]],QuCostiLav,0),MATCH(RigheOfferte[[#This Row],[Lavorazione]],CodLavorazioni,0)),0)</f>
        <v>0</v>
      </c>
      <c r="AK26" s="80">
        <f>RigheOfferte[[#This Row],[totale costi]]+(RigheOfferte[[#This Row],[totale costi]]*RigheOfferte[[#This Row],[Ricarico]])</f>
        <v>0</v>
      </c>
      <c r="AL26" s="71">
        <f>RigheOfferte[[#This Row],[Prezzo Di Vendita]]*RigheOfferte[[#This Row],[Q.ta'']]</f>
        <v>0</v>
      </c>
      <c r="AM26" s="71">
        <f>IFERROR(RigheOfferte[[#This Row],[Prezzo Di Vendita]]/RigheOfferte[[#This Row],[Superf.pz Mq]],0)</f>
        <v>0</v>
      </c>
    </row>
    <row r="27" spans="1:39" ht="14.4">
      <c r="A27" s="69" t="str">
        <f>IF(LEN('riepilogo prezzi'!$D27&amp;'riepilogo prezzi'!$E27)&gt;0,'riepilogo prezzi'!$D27&amp;"-"&amp;'riepilogo prezzi'!$E27,"")</f>
        <v/>
      </c>
      <c r="B27" s="70" t="str">
        <f>IF(LEN(MONTH(RigheOfferte[[#This Row],[data]]))=1,0&amp;MONTH(RigheOfferte[[#This Row],[data]]),MONTH(RigheOfferte[[#This Row],[data]]))</f>
        <v>01</v>
      </c>
      <c r="C27" s="70" t="str">
        <f>IF(MONTH(RigheOfferte[[#This Row],[data]])&gt;8,"03",IF(MONTH(RigheOfferte[[#This Row],[data]])&gt;4,"02","01"))</f>
        <v>01</v>
      </c>
      <c r="D27" s="71"/>
      <c r="E27" s="71"/>
      <c r="F27" s="83"/>
      <c r="G27" s="71"/>
      <c r="H27" s="69"/>
      <c r="I27" s="71"/>
      <c r="J27" s="82"/>
      <c r="K27" s="84"/>
      <c r="L27" s="84"/>
      <c r="M27" s="71"/>
      <c r="N27" s="71" t="str">
        <f>_xlfn.IFNA(VLOOKUP(RigheOfferte[[#This Row],[Lavorazione]],DescLavorazioni[],2,FALSE),"")</f>
        <v/>
      </c>
      <c r="O27" s="71"/>
      <c r="P27" s="73">
        <f>_xlfn.IFNA(VLOOKUP(RigheOfferte[[#This Row],[Cod Vel]],VeloCatena[],3,FALSE),0)</f>
        <v>0</v>
      </c>
      <c r="Q27" s="85"/>
      <c r="R27" s="85"/>
      <c r="S27" s="71"/>
      <c r="T27" s="71"/>
      <c r="U27" s="71"/>
      <c r="V27" s="74">
        <f>IF(RigheOfferte[[#This Row],[Velocità]]&gt;0,60*RigheOfferte[[#This Row],[Velocità]]/RigheOfferte[[#This Row],[passo]]*RigheOfferte[[#This Row],[nr.pezzi Telaio]],0)</f>
        <v>0</v>
      </c>
      <c r="W27" s="74"/>
      <c r="X2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2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27" s="74">
        <f>_xlfn.IFNA(INDEX(RiepilogoCostiOrari[],MATCH(YEAR(RigheOfferte[[#This Row],[data]])&amp;RigheOfferte[[#This Row],[Quadrimestre]],QuCostiLav,0),MATCH(RigheOfferte[[#This Row],[Lavorazione]],CodLavorazioni,0)),0)</f>
        <v>0</v>
      </c>
      <c r="AA27" s="76"/>
      <c r="AB27" s="71"/>
      <c r="AC27" s="74">
        <f>RigheOfferte[[#This Row],[Superf.pz Mq]]*Resa*RigheOfferte[[#This Row],[MP (€kg)]]</f>
        <v>0</v>
      </c>
      <c r="AD27" s="77"/>
      <c r="AE27" s="77"/>
      <c r="AF27" s="55">
        <f>_xlfn.IFNA(VLOOKUP(RigheOfferte[[#This Row],[Tipo Protezione]],Protezioni[],2,FALSE),0)</f>
        <v>0</v>
      </c>
      <c r="AG27" s="79"/>
      <c r="AH2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27" s="71">
        <f>RigheOfferte[[#This Row],[altri costi]]+RigheOfferte[[#This Row],[costo industriale pz]]</f>
        <v>0</v>
      </c>
      <c r="AJ27" s="81">
        <f>_xlfn.IFNA(INDEX(Ricarichi[],MATCH(YEAR(RigheOfferte[[#This Row],[data]])&amp;RigheOfferte[[#This Row],[Quadrimestre]],QuCostiLav,0),MATCH(RigheOfferte[[#This Row],[Lavorazione]],CodLavorazioni,0)),0)</f>
        <v>0</v>
      </c>
      <c r="AK27" s="80">
        <f>RigheOfferte[[#This Row],[totale costi]]+(RigheOfferte[[#This Row],[totale costi]]*RigheOfferte[[#This Row],[Ricarico]])</f>
        <v>0</v>
      </c>
      <c r="AL27" s="71">
        <f>RigheOfferte[[#This Row],[Prezzo Di Vendita]]*RigheOfferte[[#This Row],[Q.ta'']]</f>
        <v>0</v>
      </c>
      <c r="AM27" s="71">
        <f>IFERROR(RigheOfferte[[#This Row],[Prezzo Di Vendita]]/RigheOfferte[[#This Row],[Superf.pz Mq]],0)</f>
        <v>0</v>
      </c>
    </row>
    <row r="28" spans="1:39" ht="14.4">
      <c r="A28" s="69" t="str">
        <f>IF(LEN('riepilogo prezzi'!$D28&amp;'riepilogo prezzi'!$E28)&gt;0,'riepilogo prezzi'!$D28&amp;"-"&amp;'riepilogo prezzi'!$E28,"")</f>
        <v/>
      </c>
      <c r="B28" s="70" t="str">
        <f>IF(LEN(MONTH(RigheOfferte[[#This Row],[data]]))=1,0&amp;MONTH(RigheOfferte[[#This Row],[data]]),MONTH(RigheOfferte[[#This Row],[data]]))</f>
        <v>01</v>
      </c>
      <c r="C28" s="70" t="str">
        <f>IF(MONTH(RigheOfferte[[#This Row],[data]])&gt;8,"03",IF(MONTH(RigheOfferte[[#This Row],[data]])&gt;4,"02","01"))</f>
        <v>01</v>
      </c>
      <c r="D28" s="71"/>
      <c r="E28" s="71"/>
      <c r="F28" s="83"/>
      <c r="G28" s="71"/>
      <c r="H28" s="69"/>
      <c r="I28" s="71"/>
      <c r="J28" s="82"/>
      <c r="K28" s="84"/>
      <c r="L28" s="84"/>
      <c r="M28" s="71"/>
      <c r="N28" s="71" t="str">
        <f>_xlfn.IFNA(VLOOKUP(RigheOfferte[[#This Row],[Lavorazione]],DescLavorazioni[],2,FALSE),"")</f>
        <v/>
      </c>
      <c r="O28" s="71"/>
      <c r="P28" s="73">
        <f>_xlfn.IFNA(VLOOKUP(RigheOfferte[[#This Row],[Cod Vel]],VeloCatena[],3,FALSE),0)</f>
        <v>0</v>
      </c>
      <c r="Q28" s="85"/>
      <c r="R28" s="85"/>
      <c r="S28" s="71"/>
      <c r="T28" s="71"/>
      <c r="U28" s="71"/>
      <c r="V28" s="74">
        <f>IF(RigheOfferte[[#This Row],[Velocità]]&gt;0,60*RigheOfferte[[#This Row],[Velocità]]/RigheOfferte[[#This Row],[passo]]*RigheOfferte[[#This Row],[nr.pezzi Telaio]],0)</f>
        <v>0</v>
      </c>
      <c r="W28" s="74"/>
      <c r="X2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2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28" s="74">
        <f>_xlfn.IFNA(INDEX(RiepilogoCostiOrari[],MATCH(YEAR(RigheOfferte[[#This Row],[data]])&amp;RigheOfferte[[#This Row],[Quadrimestre]],QuCostiLav,0),MATCH(RigheOfferte[[#This Row],[Lavorazione]],CodLavorazioni,0)),0)</f>
        <v>0</v>
      </c>
      <c r="AA28" s="76"/>
      <c r="AB28" s="71"/>
      <c r="AC28" s="74">
        <f>RigheOfferte[[#This Row],[Superf.pz Mq]]*Resa*RigheOfferte[[#This Row],[MP (€kg)]]</f>
        <v>0</v>
      </c>
      <c r="AD28" s="77"/>
      <c r="AE28" s="77"/>
      <c r="AF28" s="55">
        <f>_xlfn.IFNA(VLOOKUP(RigheOfferte[[#This Row],[Tipo Protezione]],Protezioni[],2,FALSE),0)</f>
        <v>0</v>
      </c>
      <c r="AG28" s="79"/>
      <c r="AH2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28" s="71">
        <f>RigheOfferte[[#This Row],[altri costi]]+RigheOfferte[[#This Row],[costo industriale pz]]</f>
        <v>0</v>
      </c>
      <c r="AJ28" s="81">
        <f>_xlfn.IFNA(INDEX(Ricarichi[],MATCH(YEAR(RigheOfferte[[#This Row],[data]])&amp;RigheOfferte[[#This Row],[Quadrimestre]],QuCostiLav,0),MATCH(RigheOfferte[[#This Row],[Lavorazione]],CodLavorazioni,0)),0)</f>
        <v>0</v>
      </c>
      <c r="AK28" s="80">
        <f>RigheOfferte[[#This Row],[totale costi]]+(RigheOfferte[[#This Row],[totale costi]]*RigheOfferte[[#This Row],[Ricarico]])</f>
        <v>0</v>
      </c>
      <c r="AL28" s="71">
        <f>RigheOfferte[[#This Row],[Prezzo Di Vendita]]*RigheOfferte[[#This Row],[Q.ta'']]</f>
        <v>0</v>
      </c>
      <c r="AM28" s="71">
        <f>IFERROR(RigheOfferte[[#This Row],[Prezzo Di Vendita]]/RigheOfferte[[#This Row],[Superf.pz Mq]],0)</f>
        <v>0</v>
      </c>
    </row>
    <row r="29" spans="1:39" ht="14.4">
      <c r="A29" s="69" t="str">
        <f>IF(LEN('riepilogo prezzi'!$D29&amp;'riepilogo prezzi'!$E29)&gt;0,'riepilogo prezzi'!$D29&amp;"-"&amp;'riepilogo prezzi'!$E29,"")</f>
        <v/>
      </c>
      <c r="B29" s="70" t="str">
        <f>IF(LEN(MONTH(RigheOfferte[[#This Row],[data]]))=1,0&amp;MONTH(RigheOfferte[[#This Row],[data]]),MONTH(RigheOfferte[[#This Row],[data]]))</f>
        <v>01</v>
      </c>
      <c r="C29" s="70" t="str">
        <f>IF(MONTH(RigheOfferte[[#This Row],[data]])&gt;8,"03",IF(MONTH(RigheOfferte[[#This Row],[data]])&gt;4,"02","01"))</f>
        <v>01</v>
      </c>
      <c r="D29" s="71"/>
      <c r="E29" s="71"/>
      <c r="F29" s="83"/>
      <c r="G29" s="71"/>
      <c r="H29" s="69"/>
      <c r="I29" s="71"/>
      <c r="J29" s="82"/>
      <c r="K29" s="84"/>
      <c r="L29" s="84"/>
      <c r="M29" s="71"/>
      <c r="N29" s="71" t="str">
        <f>_xlfn.IFNA(VLOOKUP(RigheOfferte[[#This Row],[Lavorazione]],DescLavorazioni[],2,FALSE),"")</f>
        <v/>
      </c>
      <c r="O29" s="71"/>
      <c r="P29" s="73">
        <f>_xlfn.IFNA(VLOOKUP(RigheOfferte[[#This Row],[Cod Vel]],VeloCatena[],3,FALSE),0)</f>
        <v>0</v>
      </c>
      <c r="Q29" s="85"/>
      <c r="R29" s="85"/>
      <c r="S29" s="71"/>
      <c r="T29" s="71"/>
      <c r="U29" s="71"/>
      <c r="V29" s="74">
        <f>IF(RigheOfferte[[#This Row],[Velocità]]&gt;0,60*RigheOfferte[[#This Row],[Velocità]]/RigheOfferte[[#This Row],[passo]]*RigheOfferte[[#This Row],[nr.pezzi Telaio]],0)</f>
        <v>0</v>
      </c>
      <c r="W29" s="74"/>
      <c r="X2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2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29" s="74">
        <f>_xlfn.IFNA(INDEX(RiepilogoCostiOrari[],MATCH(YEAR(RigheOfferte[[#This Row],[data]])&amp;RigheOfferte[[#This Row],[Quadrimestre]],QuCostiLav,0),MATCH(RigheOfferte[[#This Row],[Lavorazione]],CodLavorazioni,0)),0)</f>
        <v>0</v>
      </c>
      <c r="AA29" s="76"/>
      <c r="AB29" s="71"/>
      <c r="AC29" s="74">
        <f>RigheOfferte[[#This Row],[Superf.pz Mq]]*Resa*RigheOfferte[[#This Row],[MP (€kg)]]</f>
        <v>0</v>
      </c>
      <c r="AD29" s="77"/>
      <c r="AE29" s="77"/>
      <c r="AF29" s="55">
        <f>_xlfn.IFNA(VLOOKUP(RigheOfferte[[#This Row],[Tipo Protezione]],Protezioni[],2,FALSE),0)</f>
        <v>0</v>
      </c>
      <c r="AG29" s="79"/>
      <c r="AH2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29" s="71">
        <f>RigheOfferte[[#This Row],[altri costi]]+RigheOfferte[[#This Row],[costo industriale pz]]</f>
        <v>0</v>
      </c>
      <c r="AJ29" s="81">
        <f>_xlfn.IFNA(INDEX(Ricarichi[],MATCH(YEAR(RigheOfferte[[#This Row],[data]])&amp;RigheOfferte[[#This Row],[Quadrimestre]],QuCostiLav,0),MATCH(RigheOfferte[[#This Row],[Lavorazione]],CodLavorazioni,0)),0)</f>
        <v>0</v>
      </c>
      <c r="AK29" s="80">
        <f>RigheOfferte[[#This Row],[totale costi]]+(RigheOfferte[[#This Row],[totale costi]]*RigheOfferte[[#This Row],[Ricarico]])</f>
        <v>0</v>
      </c>
      <c r="AL29" s="71">
        <f>RigheOfferte[[#This Row],[Prezzo Di Vendita]]*RigheOfferte[[#This Row],[Q.ta'']]</f>
        <v>0</v>
      </c>
      <c r="AM29" s="71">
        <f>IFERROR(RigheOfferte[[#This Row],[Prezzo Di Vendita]]/RigheOfferte[[#This Row],[Superf.pz Mq]],0)</f>
        <v>0</v>
      </c>
    </row>
    <row r="30" spans="1:39" ht="14.4">
      <c r="A30" s="69" t="str">
        <f>IF(LEN('riepilogo prezzi'!$D30&amp;'riepilogo prezzi'!$E30)&gt;0,'riepilogo prezzi'!$D30&amp;"-"&amp;'riepilogo prezzi'!$E30,"")</f>
        <v/>
      </c>
      <c r="B30" s="70" t="str">
        <f>IF(LEN(MONTH(RigheOfferte[[#This Row],[data]]))=1,0&amp;MONTH(RigheOfferte[[#This Row],[data]]),MONTH(RigheOfferte[[#This Row],[data]]))</f>
        <v>01</v>
      </c>
      <c r="C30" s="70" t="str">
        <f>IF(MONTH(RigheOfferte[[#This Row],[data]])&gt;8,"03",IF(MONTH(RigheOfferte[[#This Row],[data]])&gt;4,"02","01"))</f>
        <v>01</v>
      </c>
      <c r="D30" s="71"/>
      <c r="E30" s="71"/>
      <c r="F30" s="83"/>
      <c r="G30" s="71"/>
      <c r="H30" s="69"/>
      <c r="I30" s="71"/>
      <c r="J30" s="82"/>
      <c r="K30" s="84"/>
      <c r="L30" s="84"/>
      <c r="M30" s="71"/>
      <c r="N30" s="71" t="str">
        <f>_xlfn.IFNA(VLOOKUP(RigheOfferte[[#This Row],[Lavorazione]],DescLavorazioni[],2,FALSE),"")</f>
        <v/>
      </c>
      <c r="O30" s="71"/>
      <c r="P30" s="73">
        <f>_xlfn.IFNA(VLOOKUP(RigheOfferte[[#This Row],[Cod Vel]],VeloCatena[],3,FALSE),0)</f>
        <v>0</v>
      </c>
      <c r="Q30" s="85"/>
      <c r="R30" s="85"/>
      <c r="S30" s="71"/>
      <c r="T30" s="71"/>
      <c r="U30" s="71"/>
      <c r="V30" s="74">
        <f>IF(RigheOfferte[[#This Row],[Velocità]]&gt;0,60*RigheOfferte[[#This Row],[Velocità]]/RigheOfferte[[#This Row],[passo]]*RigheOfferte[[#This Row],[nr.pezzi Telaio]],0)</f>
        <v>0</v>
      </c>
      <c r="W30" s="74"/>
      <c r="X3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3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30" s="74">
        <f>_xlfn.IFNA(INDEX(RiepilogoCostiOrari[],MATCH(YEAR(RigheOfferte[[#This Row],[data]])&amp;RigheOfferte[[#This Row],[Quadrimestre]],QuCostiLav,0),MATCH(RigheOfferte[[#This Row],[Lavorazione]],CodLavorazioni,0)),0)</f>
        <v>0</v>
      </c>
      <c r="AA30" s="76"/>
      <c r="AB30" s="71"/>
      <c r="AC30" s="74">
        <f>RigheOfferte[[#This Row],[Superf.pz Mq]]*Resa*RigheOfferte[[#This Row],[MP (€kg)]]</f>
        <v>0</v>
      </c>
      <c r="AD30" s="77"/>
      <c r="AE30" s="77"/>
      <c r="AF30" s="55">
        <f>_xlfn.IFNA(VLOOKUP(RigheOfferte[[#This Row],[Tipo Protezione]],Protezioni[],2,FALSE),0)</f>
        <v>0</v>
      </c>
      <c r="AG30" s="79"/>
      <c r="AH3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30" s="71">
        <f>RigheOfferte[[#This Row],[altri costi]]+RigheOfferte[[#This Row],[costo industriale pz]]</f>
        <v>0</v>
      </c>
      <c r="AJ30" s="81">
        <f>_xlfn.IFNA(INDEX(Ricarichi[],MATCH(YEAR(RigheOfferte[[#This Row],[data]])&amp;RigheOfferte[[#This Row],[Quadrimestre]],QuCostiLav,0),MATCH(RigheOfferte[[#This Row],[Lavorazione]],CodLavorazioni,0)),0)</f>
        <v>0</v>
      </c>
      <c r="AK30" s="80">
        <f>RigheOfferte[[#This Row],[totale costi]]+(RigheOfferte[[#This Row],[totale costi]]*RigheOfferte[[#This Row],[Ricarico]])</f>
        <v>0</v>
      </c>
      <c r="AL30" s="71">
        <f>RigheOfferte[[#This Row],[Prezzo Di Vendita]]*RigheOfferte[[#This Row],[Q.ta'']]</f>
        <v>0</v>
      </c>
      <c r="AM30" s="71">
        <f>IFERROR(RigheOfferte[[#This Row],[Prezzo Di Vendita]]/RigheOfferte[[#This Row],[Superf.pz Mq]],0)</f>
        <v>0</v>
      </c>
    </row>
    <row r="31" spans="1:39" ht="14.4">
      <c r="A31" s="69" t="str">
        <f>IF(LEN('riepilogo prezzi'!$D31&amp;'riepilogo prezzi'!$E31)&gt;0,'riepilogo prezzi'!$D31&amp;"-"&amp;'riepilogo prezzi'!$E31,"")</f>
        <v/>
      </c>
      <c r="B31" s="70" t="str">
        <f>IF(LEN(MONTH(RigheOfferte[[#This Row],[data]]))=1,0&amp;MONTH(RigheOfferte[[#This Row],[data]]),MONTH(RigheOfferte[[#This Row],[data]]))</f>
        <v>01</v>
      </c>
      <c r="C31" s="70" t="str">
        <f>IF(MONTH(RigheOfferte[[#This Row],[data]])&gt;8,"03",IF(MONTH(RigheOfferte[[#This Row],[data]])&gt;4,"02","01"))</f>
        <v>01</v>
      </c>
      <c r="D31" s="71"/>
      <c r="E31" s="71"/>
      <c r="F31" s="83"/>
      <c r="G31" s="71"/>
      <c r="H31" s="69"/>
      <c r="I31" s="71"/>
      <c r="J31" s="82"/>
      <c r="K31" s="84"/>
      <c r="L31" s="84"/>
      <c r="M31" s="71"/>
      <c r="N31" s="71" t="str">
        <f>_xlfn.IFNA(VLOOKUP(RigheOfferte[[#This Row],[Lavorazione]],DescLavorazioni[],2,FALSE),"")</f>
        <v/>
      </c>
      <c r="O31" s="71"/>
      <c r="P31" s="73">
        <f>_xlfn.IFNA(VLOOKUP(RigheOfferte[[#This Row],[Cod Vel]],VeloCatena[],3,FALSE),0)</f>
        <v>0</v>
      </c>
      <c r="Q31" s="85"/>
      <c r="R31" s="85"/>
      <c r="S31" s="71"/>
      <c r="T31" s="71"/>
      <c r="U31" s="71"/>
      <c r="V31" s="74">
        <f>IF(RigheOfferte[[#This Row],[Velocità]]&gt;0,60*RigheOfferte[[#This Row],[Velocità]]/RigheOfferte[[#This Row],[passo]]*RigheOfferte[[#This Row],[nr.pezzi Telaio]],0)</f>
        <v>0</v>
      </c>
      <c r="W31" s="74"/>
      <c r="X3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3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31" s="74">
        <f>_xlfn.IFNA(INDEX(RiepilogoCostiOrari[],MATCH(YEAR(RigheOfferte[[#This Row],[data]])&amp;RigheOfferte[[#This Row],[Quadrimestre]],QuCostiLav,0),MATCH(RigheOfferte[[#This Row],[Lavorazione]],CodLavorazioni,0)),0)</f>
        <v>0</v>
      </c>
      <c r="AA31" s="76"/>
      <c r="AB31" s="71"/>
      <c r="AC31" s="74">
        <f>RigheOfferte[[#This Row],[Superf.pz Mq]]*Resa*RigheOfferte[[#This Row],[MP (€kg)]]</f>
        <v>0</v>
      </c>
      <c r="AD31" s="77"/>
      <c r="AE31" s="77"/>
      <c r="AF31" s="55">
        <f>_xlfn.IFNA(VLOOKUP(RigheOfferte[[#This Row],[Tipo Protezione]],Protezioni[],2,FALSE),0)</f>
        <v>0</v>
      </c>
      <c r="AG31" s="79"/>
      <c r="AH3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31" s="71">
        <f>RigheOfferte[[#This Row],[altri costi]]+RigheOfferte[[#This Row],[costo industriale pz]]</f>
        <v>0</v>
      </c>
      <c r="AJ31" s="81">
        <f>_xlfn.IFNA(INDEX(Ricarichi[],MATCH(YEAR(RigheOfferte[[#This Row],[data]])&amp;RigheOfferte[[#This Row],[Quadrimestre]],QuCostiLav,0),MATCH(RigheOfferte[[#This Row],[Lavorazione]],CodLavorazioni,0)),0)</f>
        <v>0</v>
      </c>
      <c r="AK31" s="80">
        <f>RigheOfferte[[#This Row],[totale costi]]+(RigheOfferte[[#This Row],[totale costi]]*RigheOfferte[[#This Row],[Ricarico]])</f>
        <v>0</v>
      </c>
      <c r="AL31" s="71">
        <f>RigheOfferte[[#This Row],[Prezzo Di Vendita]]*RigheOfferte[[#This Row],[Q.ta'']]</f>
        <v>0</v>
      </c>
      <c r="AM31" s="71">
        <f>IFERROR(RigheOfferte[[#This Row],[Prezzo Di Vendita]]/RigheOfferte[[#This Row],[Superf.pz Mq]],0)</f>
        <v>0</v>
      </c>
    </row>
    <row r="32" spans="1:39" ht="14.4">
      <c r="A32" s="69" t="str">
        <f>IF(LEN('riepilogo prezzi'!$D32&amp;'riepilogo prezzi'!$E32)&gt;0,'riepilogo prezzi'!$D32&amp;"-"&amp;'riepilogo prezzi'!$E32,"")</f>
        <v/>
      </c>
      <c r="B32" s="70" t="str">
        <f>IF(LEN(MONTH(RigheOfferte[[#This Row],[data]]))=1,0&amp;MONTH(RigheOfferte[[#This Row],[data]]),MONTH(RigheOfferte[[#This Row],[data]]))</f>
        <v>01</v>
      </c>
      <c r="C32" s="70" t="str">
        <f>IF(MONTH(RigheOfferte[[#This Row],[data]])&gt;8,"03",IF(MONTH(RigheOfferte[[#This Row],[data]])&gt;4,"02","01"))</f>
        <v>01</v>
      </c>
      <c r="D32" s="71"/>
      <c r="E32" s="71"/>
      <c r="F32" s="83"/>
      <c r="G32" s="71"/>
      <c r="H32" s="69"/>
      <c r="I32" s="71"/>
      <c r="J32" s="82"/>
      <c r="K32" s="84"/>
      <c r="L32" s="84"/>
      <c r="M32" s="71"/>
      <c r="N32" s="71" t="str">
        <f>_xlfn.IFNA(VLOOKUP(RigheOfferte[[#This Row],[Lavorazione]],DescLavorazioni[],2,FALSE),"")</f>
        <v/>
      </c>
      <c r="O32" s="71"/>
      <c r="P32" s="73">
        <f>_xlfn.IFNA(VLOOKUP(RigheOfferte[[#This Row],[Cod Vel]],VeloCatena[],3,FALSE),0)</f>
        <v>0</v>
      </c>
      <c r="Q32" s="85"/>
      <c r="R32" s="85"/>
      <c r="S32" s="71"/>
      <c r="T32" s="71"/>
      <c r="U32" s="71"/>
      <c r="V32" s="74">
        <f>IF(RigheOfferte[[#This Row],[Velocità]]&gt;0,60*RigheOfferte[[#This Row],[Velocità]]/RigheOfferte[[#This Row],[passo]]*RigheOfferte[[#This Row],[nr.pezzi Telaio]],0)</f>
        <v>0</v>
      </c>
      <c r="W32" s="74"/>
      <c r="X3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3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32" s="74">
        <f>_xlfn.IFNA(INDEX(RiepilogoCostiOrari[],MATCH(YEAR(RigheOfferte[[#This Row],[data]])&amp;RigheOfferte[[#This Row],[Quadrimestre]],QuCostiLav,0),MATCH(RigheOfferte[[#This Row],[Lavorazione]],CodLavorazioni,0)),0)</f>
        <v>0</v>
      </c>
      <c r="AA32" s="76"/>
      <c r="AB32" s="71"/>
      <c r="AC32" s="74">
        <f>RigheOfferte[[#This Row],[Superf.pz Mq]]*Resa*RigheOfferte[[#This Row],[MP (€kg)]]</f>
        <v>0</v>
      </c>
      <c r="AD32" s="77"/>
      <c r="AE32" s="77"/>
      <c r="AF32" s="55">
        <f>_xlfn.IFNA(VLOOKUP(RigheOfferte[[#This Row],[Tipo Protezione]],Protezioni[],2,FALSE),0)</f>
        <v>0</v>
      </c>
      <c r="AG32" s="79"/>
      <c r="AH3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32" s="71">
        <f>RigheOfferte[[#This Row],[altri costi]]+RigheOfferte[[#This Row],[costo industriale pz]]</f>
        <v>0</v>
      </c>
      <c r="AJ32" s="81">
        <f>_xlfn.IFNA(INDEX(Ricarichi[],MATCH(YEAR(RigheOfferte[[#This Row],[data]])&amp;RigheOfferte[[#This Row],[Quadrimestre]],QuCostiLav,0),MATCH(RigheOfferte[[#This Row],[Lavorazione]],CodLavorazioni,0)),0)</f>
        <v>0</v>
      </c>
      <c r="AK32" s="80">
        <f>RigheOfferte[[#This Row],[totale costi]]+(RigheOfferte[[#This Row],[totale costi]]*RigheOfferte[[#This Row],[Ricarico]])</f>
        <v>0</v>
      </c>
      <c r="AL32" s="71">
        <f>RigheOfferte[[#This Row],[Prezzo Di Vendita]]*RigheOfferte[[#This Row],[Q.ta'']]</f>
        <v>0</v>
      </c>
      <c r="AM32" s="71">
        <f>IFERROR(RigheOfferte[[#This Row],[Prezzo Di Vendita]]/RigheOfferte[[#This Row],[Superf.pz Mq]],0)</f>
        <v>0</v>
      </c>
    </row>
    <row r="33" spans="1:39" ht="14.4">
      <c r="A33" s="69" t="str">
        <f>IF(LEN('riepilogo prezzi'!$D33&amp;'riepilogo prezzi'!$E33)&gt;0,'riepilogo prezzi'!$D33&amp;"-"&amp;'riepilogo prezzi'!$E33,"")</f>
        <v/>
      </c>
      <c r="B33" s="70" t="str">
        <f>IF(LEN(MONTH(RigheOfferte[[#This Row],[data]]))=1,0&amp;MONTH(RigheOfferte[[#This Row],[data]]),MONTH(RigheOfferte[[#This Row],[data]]))</f>
        <v>01</v>
      </c>
      <c r="C33" s="70" t="str">
        <f>IF(MONTH(RigheOfferte[[#This Row],[data]])&gt;8,"03",IF(MONTH(RigheOfferte[[#This Row],[data]])&gt;4,"02","01"))</f>
        <v>01</v>
      </c>
      <c r="D33" s="71"/>
      <c r="E33" s="71"/>
      <c r="F33" s="83"/>
      <c r="G33" s="71"/>
      <c r="H33" s="69"/>
      <c r="I33" s="71"/>
      <c r="J33" s="82"/>
      <c r="K33" s="84"/>
      <c r="L33" s="84"/>
      <c r="M33" s="71"/>
      <c r="N33" s="71" t="str">
        <f>_xlfn.IFNA(VLOOKUP(RigheOfferte[[#This Row],[Lavorazione]],DescLavorazioni[],2,FALSE),"")</f>
        <v/>
      </c>
      <c r="O33" s="71"/>
      <c r="P33" s="73">
        <f>_xlfn.IFNA(VLOOKUP(RigheOfferte[[#This Row],[Cod Vel]],VeloCatena[],3,FALSE),0)</f>
        <v>0</v>
      </c>
      <c r="Q33" s="85"/>
      <c r="R33" s="85"/>
      <c r="S33" s="71"/>
      <c r="T33" s="71"/>
      <c r="U33" s="71"/>
      <c r="V33" s="74">
        <f>IF(RigheOfferte[[#This Row],[Velocità]]&gt;0,60*RigheOfferte[[#This Row],[Velocità]]/RigheOfferte[[#This Row],[passo]]*RigheOfferte[[#This Row],[nr.pezzi Telaio]],0)</f>
        <v>0</v>
      </c>
      <c r="W33" s="74"/>
      <c r="X3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3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33" s="74">
        <f>_xlfn.IFNA(INDEX(RiepilogoCostiOrari[],MATCH(YEAR(RigheOfferte[[#This Row],[data]])&amp;RigheOfferte[[#This Row],[Quadrimestre]],QuCostiLav,0),MATCH(RigheOfferte[[#This Row],[Lavorazione]],CodLavorazioni,0)),0)</f>
        <v>0</v>
      </c>
      <c r="AA33" s="76"/>
      <c r="AB33" s="71"/>
      <c r="AC33" s="74">
        <f>RigheOfferte[[#This Row],[Superf.pz Mq]]*Resa*RigheOfferte[[#This Row],[MP (€kg)]]</f>
        <v>0</v>
      </c>
      <c r="AD33" s="77"/>
      <c r="AE33" s="77"/>
      <c r="AF33" s="55">
        <f>_xlfn.IFNA(VLOOKUP(RigheOfferte[[#This Row],[Tipo Protezione]],Protezioni[],2,FALSE),0)</f>
        <v>0</v>
      </c>
      <c r="AG33" s="79"/>
      <c r="AH3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33" s="71">
        <f>RigheOfferte[[#This Row],[altri costi]]+RigheOfferte[[#This Row],[costo industriale pz]]</f>
        <v>0</v>
      </c>
      <c r="AJ33" s="81">
        <f>_xlfn.IFNA(INDEX(Ricarichi[],MATCH(YEAR(RigheOfferte[[#This Row],[data]])&amp;RigheOfferte[[#This Row],[Quadrimestre]],QuCostiLav,0),MATCH(RigheOfferte[[#This Row],[Lavorazione]],CodLavorazioni,0)),0)</f>
        <v>0</v>
      </c>
      <c r="AK33" s="80">
        <f>RigheOfferte[[#This Row],[totale costi]]+(RigheOfferte[[#This Row],[totale costi]]*RigheOfferte[[#This Row],[Ricarico]])</f>
        <v>0</v>
      </c>
      <c r="AL33" s="71">
        <f>RigheOfferte[[#This Row],[Prezzo Di Vendita]]*RigheOfferte[[#This Row],[Q.ta'']]</f>
        <v>0</v>
      </c>
      <c r="AM33" s="71">
        <f>IFERROR(RigheOfferte[[#This Row],[Prezzo Di Vendita]]/RigheOfferte[[#This Row],[Superf.pz Mq]],0)</f>
        <v>0</v>
      </c>
    </row>
    <row r="34" spans="1:39" ht="14.4">
      <c r="A34" s="69" t="str">
        <f>IF(LEN('riepilogo prezzi'!$D34&amp;'riepilogo prezzi'!$E34)&gt;0,'riepilogo prezzi'!$D34&amp;"-"&amp;'riepilogo prezzi'!$E34,"")</f>
        <v/>
      </c>
      <c r="B34" s="70" t="str">
        <f>IF(LEN(MONTH(RigheOfferte[[#This Row],[data]]))=1,0&amp;MONTH(RigheOfferte[[#This Row],[data]]),MONTH(RigheOfferte[[#This Row],[data]]))</f>
        <v>01</v>
      </c>
      <c r="C34" s="70" t="str">
        <f>IF(MONTH(RigheOfferte[[#This Row],[data]])&gt;8,"03",IF(MONTH(RigheOfferte[[#This Row],[data]])&gt;4,"02","01"))</f>
        <v>01</v>
      </c>
      <c r="D34" s="71"/>
      <c r="E34" s="71"/>
      <c r="F34" s="83"/>
      <c r="G34" s="71"/>
      <c r="H34" s="69"/>
      <c r="I34" s="71"/>
      <c r="J34" s="82"/>
      <c r="K34" s="84"/>
      <c r="L34" s="84"/>
      <c r="M34" s="71"/>
      <c r="N34" s="71" t="str">
        <f>_xlfn.IFNA(VLOOKUP(RigheOfferte[[#This Row],[Lavorazione]],DescLavorazioni[],2,FALSE),"")</f>
        <v/>
      </c>
      <c r="O34" s="71"/>
      <c r="P34" s="73">
        <f>_xlfn.IFNA(VLOOKUP(RigheOfferte[[#This Row],[Cod Vel]],VeloCatena[],3,FALSE),0)</f>
        <v>0</v>
      </c>
      <c r="Q34" s="85"/>
      <c r="R34" s="85"/>
      <c r="S34" s="71"/>
      <c r="T34" s="71"/>
      <c r="U34" s="71"/>
      <c r="V34" s="74">
        <f>IF(RigheOfferte[[#This Row],[Velocità]]&gt;0,60*RigheOfferte[[#This Row],[Velocità]]/RigheOfferte[[#This Row],[passo]]*RigheOfferte[[#This Row],[nr.pezzi Telaio]],0)</f>
        <v>0</v>
      </c>
      <c r="W34" s="74"/>
      <c r="X3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3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34" s="74">
        <f>_xlfn.IFNA(INDEX(RiepilogoCostiOrari[],MATCH(YEAR(RigheOfferte[[#This Row],[data]])&amp;RigheOfferte[[#This Row],[Quadrimestre]],QuCostiLav,0),MATCH(RigheOfferte[[#This Row],[Lavorazione]],CodLavorazioni,0)),0)</f>
        <v>0</v>
      </c>
      <c r="AA34" s="76"/>
      <c r="AB34" s="71"/>
      <c r="AC34" s="74">
        <f>RigheOfferte[[#This Row],[Superf.pz Mq]]*Resa*RigheOfferte[[#This Row],[MP (€kg)]]</f>
        <v>0</v>
      </c>
      <c r="AD34" s="77"/>
      <c r="AE34" s="77"/>
      <c r="AF34" s="55">
        <f>_xlfn.IFNA(VLOOKUP(RigheOfferte[[#This Row],[Tipo Protezione]],Protezioni[],2,FALSE),0)</f>
        <v>0</v>
      </c>
      <c r="AG34" s="79"/>
      <c r="AH3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34" s="71">
        <f>RigheOfferte[[#This Row],[altri costi]]+RigheOfferte[[#This Row],[costo industriale pz]]</f>
        <v>0</v>
      </c>
      <c r="AJ34" s="81">
        <f>_xlfn.IFNA(INDEX(Ricarichi[],MATCH(YEAR(RigheOfferte[[#This Row],[data]])&amp;RigheOfferte[[#This Row],[Quadrimestre]],QuCostiLav,0),MATCH(RigheOfferte[[#This Row],[Lavorazione]],CodLavorazioni,0)),0)</f>
        <v>0</v>
      </c>
      <c r="AK34" s="80">
        <f>RigheOfferte[[#This Row],[totale costi]]+(RigheOfferte[[#This Row],[totale costi]]*RigheOfferte[[#This Row],[Ricarico]])</f>
        <v>0</v>
      </c>
      <c r="AL34" s="71">
        <f>RigheOfferte[[#This Row],[Prezzo Di Vendita]]*RigheOfferte[[#This Row],[Q.ta'']]</f>
        <v>0</v>
      </c>
      <c r="AM34" s="71">
        <f>IFERROR(RigheOfferte[[#This Row],[Prezzo Di Vendita]]/RigheOfferte[[#This Row],[Superf.pz Mq]],0)</f>
        <v>0</v>
      </c>
    </row>
    <row r="35" spans="1:39" ht="14.4">
      <c r="A35" s="69" t="str">
        <f>IF(LEN('riepilogo prezzi'!$D35&amp;'riepilogo prezzi'!$E35)&gt;0,'riepilogo prezzi'!$D35&amp;"-"&amp;'riepilogo prezzi'!$E35,"")</f>
        <v/>
      </c>
      <c r="B35" s="70" t="str">
        <f>IF(LEN(MONTH(RigheOfferte[[#This Row],[data]]))=1,0&amp;MONTH(RigheOfferte[[#This Row],[data]]),MONTH(RigheOfferte[[#This Row],[data]]))</f>
        <v>01</v>
      </c>
      <c r="C35" s="70" t="str">
        <f>IF(MONTH(RigheOfferte[[#This Row],[data]])&gt;8,"03",IF(MONTH(RigheOfferte[[#This Row],[data]])&gt;4,"02","01"))</f>
        <v>01</v>
      </c>
      <c r="D35" s="71"/>
      <c r="E35" s="71"/>
      <c r="F35" s="83"/>
      <c r="G35" s="71"/>
      <c r="H35" s="69"/>
      <c r="I35" s="71"/>
      <c r="J35" s="82"/>
      <c r="K35" s="84"/>
      <c r="L35" s="84"/>
      <c r="M35" s="71"/>
      <c r="N35" s="71" t="str">
        <f>_xlfn.IFNA(VLOOKUP(RigheOfferte[[#This Row],[Lavorazione]],DescLavorazioni[],2,FALSE),"")</f>
        <v/>
      </c>
      <c r="O35" s="71"/>
      <c r="P35" s="73">
        <f>_xlfn.IFNA(VLOOKUP(RigheOfferte[[#This Row],[Cod Vel]],VeloCatena[],3,FALSE),0)</f>
        <v>0</v>
      </c>
      <c r="Q35" s="85"/>
      <c r="R35" s="85"/>
      <c r="S35" s="71"/>
      <c r="T35" s="71"/>
      <c r="U35" s="71"/>
      <c r="V35" s="74">
        <f>IF(RigheOfferte[[#This Row],[Velocità]]&gt;0,60*RigheOfferte[[#This Row],[Velocità]]/RigheOfferte[[#This Row],[passo]]*RigheOfferte[[#This Row],[nr.pezzi Telaio]],0)</f>
        <v>0</v>
      </c>
      <c r="W35" s="74"/>
      <c r="X3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3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35" s="74">
        <f>_xlfn.IFNA(INDEX(RiepilogoCostiOrari[],MATCH(YEAR(RigheOfferte[[#This Row],[data]])&amp;RigheOfferte[[#This Row],[Quadrimestre]],QuCostiLav,0),MATCH(RigheOfferte[[#This Row],[Lavorazione]],CodLavorazioni,0)),0)</f>
        <v>0</v>
      </c>
      <c r="AA35" s="76"/>
      <c r="AB35" s="71"/>
      <c r="AC35" s="74">
        <f>RigheOfferte[[#This Row],[Superf.pz Mq]]*Resa*RigheOfferte[[#This Row],[MP (€kg)]]</f>
        <v>0</v>
      </c>
      <c r="AD35" s="77"/>
      <c r="AE35" s="77"/>
      <c r="AF35" s="55">
        <f>_xlfn.IFNA(VLOOKUP(RigheOfferte[[#This Row],[Tipo Protezione]],Protezioni[],2,FALSE),0)</f>
        <v>0</v>
      </c>
      <c r="AG35" s="79"/>
      <c r="AH3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35" s="71">
        <f>RigheOfferte[[#This Row],[altri costi]]+RigheOfferte[[#This Row],[costo industriale pz]]</f>
        <v>0</v>
      </c>
      <c r="AJ35" s="81">
        <f>_xlfn.IFNA(INDEX(Ricarichi[],MATCH(YEAR(RigheOfferte[[#This Row],[data]])&amp;RigheOfferte[[#This Row],[Quadrimestre]],QuCostiLav,0),MATCH(RigheOfferte[[#This Row],[Lavorazione]],CodLavorazioni,0)),0)</f>
        <v>0</v>
      </c>
      <c r="AK35" s="80">
        <f>RigheOfferte[[#This Row],[totale costi]]+(RigheOfferte[[#This Row],[totale costi]]*RigheOfferte[[#This Row],[Ricarico]])</f>
        <v>0</v>
      </c>
      <c r="AL35" s="71">
        <f>RigheOfferte[[#This Row],[Prezzo Di Vendita]]*RigheOfferte[[#This Row],[Q.ta'']]</f>
        <v>0</v>
      </c>
      <c r="AM35" s="71">
        <f>IFERROR(RigheOfferte[[#This Row],[Prezzo Di Vendita]]/RigheOfferte[[#This Row],[Superf.pz Mq]],0)</f>
        <v>0</v>
      </c>
    </row>
    <row r="36" spans="1:39" ht="14.4">
      <c r="A36" s="69" t="str">
        <f>IF(LEN('riepilogo prezzi'!$D36&amp;'riepilogo prezzi'!$E36)&gt;0,'riepilogo prezzi'!$D36&amp;"-"&amp;'riepilogo prezzi'!$E36,"")</f>
        <v/>
      </c>
      <c r="B36" s="70" t="str">
        <f>IF(LEN(MONTH(RigheOfferte[[#This Row],[data]]))=1,0&amp;MONTH(RigheOfferte[[#This Row],[data]]),MONTH(RigheOfferte[[#This Row],[data]]))</f>
        <v>01</v>
      </c>
      <c r="C36" s="70" t="str">
        <f>IF(MONTH(RigheOfferte[[#This Row],[data]])&gt;8,"03",IF(MONTH(RigheOfferte[[#This Row],[data]])&gt;4,"02","01"))</f>
        <v>01</v>
      </c>
      <c r="D36" s="71"/>
      <c r="E36" s="71"/>
      <c r="F36" s="83"/>
      <c r="G36" s="71"/>
      <c r="H36" s="69"/>
      <c r="I36" s="71"/>
      <c r="J36" s="82"/>
      <c r="K36" s="84"/>
      <c r="L36" s="84"/>
      <c r="M36" s="71"/>
      <c r="N36" s="71" t="str">
        <f>_xlfn.IFNA(VLOOKUP(RigheOfferte[[#This Row],[Lavorazione]],DescLavorazioni[],2,FALSE),"")</f>
        <v/>
      </c>
      <c r="O36" s="71"/>
      <c r="P36" s="73">
        <f>_xlfn.IFNA(VLOOKUP(RigheOfferte[[#This Row],[Cod Vel]],VeloCatena[],3,FALSE),0)</f>
        <v>0</v>
      </c>
      <c r="Q36" s="85"/>
      <c r="R36" s="85"/>
      <c r="S36" s="71"/>
      <c r="T36" s="71"/>
      <c r="U36" s="71"/>
      <c r="V36" s="74">
        <f>IF(RigheOfferte[[#This Row],[Velocità]]&gt;0,60*RigheOfferte[[#This Row],[Velocità]]/RigheOfferte[[#This Row],[passo]]*RigheOfferte[[#This Row],[nr.pezzi Telaio]],0)</f>
        <v>0</v>
      </c>
      <c r="W36" s="74"/>
      <c r="X3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3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36" s="74">
        <f>_xlfn.IFNA(INDEX(RiepilogoCostiOrari[],MATCH(YEAR(RigheOfferte[[#This Row],[data]])&amp;RigheOfferte[[#This Row],[Quadrimestre]],QuCostiLav,0),MATCH(RigheOfferte[[#This Row],[Lavorazione]],CodLavorazioni,0)),0)</f>
        <v>0</v>
      </c>
      <c r="AA36" s="76"/>
      <c r="AB36" s="71"/>
      <c r="AC36" s="74">
        <f>RigheOfferte[[#This Row],[Superf.pz Mq]]*Resa*RigheOfferte[[#This Row],[MP (€kg)]]</f>
        <v>0</v>
      </c>
      <c r="AD36" s="77"/>
      <c r="AE36" s="77"/>
      <c r="AF36" s="55">
        <f>_xlfn.IFNA(VLOOKUP(RigheOfferte[[#This Row],[Tipo Protezione]],Protezioni[],2,FALSE),0)</f>
        <v>0</v>
      </c>
      <c r="AG36" s="79"/>
      <c r="AH3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36" s="71">
        <f>RigheOfferte[[#This Row],[altri costi]]+RigheOfferte[[#This Row],[costo industriale pz]]</f>
        <v>0</v>
      </c>
      <c r="AJ36" s="81">
        <f>_xlfn.IFNA(INDEX(Ricarichi[],MATCH(YEAR(RigheOfferte[[#This Row],[data]])&amp;RigheOfferte[[#This Row],[Quadrimestre]],QuCostiLav,0),MATCH(RigheOfferte[[#This Row],[Lavorazione]],CodLavorazioni,0)),0)</f>
        <v>0</v>
      </c>
      <c r="AK36" s="80">
        <f>RigheOfferte[[#This Row],[totale costi]]+(RigheOfferte[[#This Row],[totale costi]]*RigheOfferte[[#This Row],[Ricarico]])</f>
        <v>0</v>
      </c>
      <c r="AL36" s="71">
        <f>RigheOfferte[[#This Row],[Prezzo Di Vendita]]*RigheOfferte[[#This Row],[Q.ta'']]</f>
        <v>0</v>
      </c>
      <c r="AM36" s="71">
        <f>IFERROR(RigheOfferte[[#This Row],[Prezzo Di Vendita]]/RigheOfferte[[#This Row],[Superf.pz Mq]],0)</f>
        <v>0</v>
      </c>
    </row>
    <row r="37" spans="1:39" ht="14.4">
      <c r="A37" s="69" t="str">
        <f>IF(LEN('riepilogo prezzi'!$D37&amp;'riepilogo prezzi'!$E37)&gt;0,'riepilogo prezzi'!$D37&amp;"-"&amp;'riepilogo prezzi'!$E37,"")</f>
        <v/>
      </c>
      <c r="B37" s="70" t="str">
        <f>IF(LEN(MONTH(RigheOfferte[[#This Row],[data]]))=1,0&amp;MONTH(RigheOfferte[[#This Row],[data]]),MONTH(RigheOfferte[[#This Row],[data]]))</f>
        <v>01</v>
      </c>
      <c r="C37" s="70" t="str">
        <f>IF(MONTH(RigheOfferte[[#This Row],[data]])&gt;8,"03",IF(MONTH(RigheOfferte[[#This Row],[data]])&gt;4,"02","01"))</f>
        <v>01</v>
      </c>
      <c r="D37" s="71"/>
      <c r="E37" s="71"/>
      <c r="F37" s="83"/>
      <c r="G37" s="71"/>
      <c r="H37" s="69"/>
      <c r="I37" s="71"/>
      <c r="J37" s="82"/>
      <c r="K37" s="84"/>
      <c r="L37" s="84"/>
      <c r="M37" s="71"/>
      <c r="N37" s="71" t="str">
        <f>_xlfn.IFNA(VLOOKUP(RigheOfferte[[#This Row],[Lavorazione]],DescLavorazioni[],2,FALSE),"")</f>
        <v/>
      </c>
      <c r="O37" s="71"/>
      <c r="P37" s="73">
        <f>_xlfn.IFNA(VLOOKUP(RigheOfferte[[#This Row],[Cod Vel]],VeloCatena[],3,FALSE),0)</f>
        <v>0</v>
      </c>
      <c r="Q37" s="85"/>
      <c r="R37" s="85"/>
      <c r="S37" s="71"/>
      <c r="T37" s="71"/>
      <c r="U37" s="71"/>
      <c r="V37" s="74">
        <f>IF(RigheOfferte[[#This Row],[Velocità]]&gt;0,60*RigheOfferte[[#This Row],[Velocità]]/RigheOfferte[[#This Row],[passo]]*RigheOfferte[[#This Row],[nr.pezzi Telaio]],0)</f>
        <v>0</v>
      </c>
      <c r="W37" s="74"/>
      <c r="X3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3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37" s="74">
        <f>_xlfn.IFNA(INDEX(RiepilogoCostiOrari[],MATCH(YEAR(RigheOfferte[[#This Row],[data]])&amp;RigheOfferte[[#This Row],[Quadrimestre]],QuCostiLav,0),MATCH(RigheOfferte[[#This Row],[Lavorazione]],CodLavorazioni,0)),0)</f>
        <v>0</v>
      </c>
      <c r="AA37" s="76"/>
      <c r="AB37" s="71"/>
      <c r="AC37" s="74">
        <f>RigheOfferte[[#This Row],[Superf.pz Mq]]*Resa*RigheOfferte[[#This Row],[MP (€kg)]]</f>
        <v>0</v>
      </c>
      <c r="AD37" s="77"/>
      <c r="AE37" s="77"/>
      <c r="AF37" s="55">
        <f>_xlfn.IFNA(VLOOKUP(RigheOfferte[[#This Row],[Tipo Protezione]],Protezioni[],2,FALSE),0)</f>
        <v>0</v>
      </c>
      <c r="AG37" s="79"/>
      <c r="AH3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37" s="71">
        <f>RigheOfferte[[#This Row],[altri costi]]+RigheOfferte[[#This Row],[costo industriale pz]]</f>
        <v>0</v>
      </c>
      <c r="AJ37" s="81">
        <f>_xlfn.IFNA(INDEX(Ricarichi[],MATCH(YEAR(RigheOfferte[[#This Row],[data]])&amp;RigheOfferte[[#This Row],[Quadrimestre]],QuCostiLav,0),MATCH(RigheOfferte[[#This Row],[Lavorazione]],CodLavorazioni,0)),0)</f>
        <v>0</v>
      </c>
      <c r="AK37" s="80">
        <f>RigheOfferte[[#This Row],[totale costi]]+(RigheOfferte[[#This Row],[totale costi]]*RigheOfferte[[#This Row],[Ricarico]])</f>
        <v>0</v>
      </c>
      <c r="AL37" s="71">
        <f>RigheOfferte[[#This Row],[Prezzo Di Vendita]]*RigheOfferte[[#This Row],[Q.ta'']]</f>
        <v>0</v>
      </c>
      <c r="AM37" s="71">
        <f>IFERROR(RigheOfferte[[#This Row],[Prezzo Di Vendita]]/RigheOfferte[[#This Row],[Superf.pz Mq]],0)</f>
        <v>0</v>
      </c>
    </row>
    <row r="38" spans="1:39" ht="14.4">
      <c r="A38" s="69" t="str">
        <f>IF(LEN('riepilogo prezzi'!$D38&amp;'riepilogo prezzi'!$E38)&gt;0,'riepilogo prezzi'!$D38&amp;"-"&amp;'riepilogo prezzi'!$E38,"")</f>
        <v/>
      </c>
      <c r="B38" s="70" t="str">
        <f>IF(LEN(MONTH(RigheOfferte[[#This Row],[data]]))=1,0&amp;MONTH(RigheOfferte[[#This Row],[data]]),MONTH(RigheOfferte[[#This Row],[data]]))</f>
        <v>01</v>
      </c>
      <c r="C38" s="70" t="str">
        <f>IF(MONTH(RigheOfferte[[#This Row],[data]])&gt;8,"03",IF(MONTH(RigheOfferte[[#This Row],[data]])&gt;4,"02","01"))</f>
        <v>01</v>
      </c>
      <c r="D38" s="71"/>
      <c r="E38" s="71"/>
      <c r="F38" s="83"/>
      <c r="G38" s="71"/>
      <c r="H38" s="69"/>
      <c r="I38" s="71"/>
      <c r="J38" s="82"/>
      <c r="K38" s="84"/>
      <c r="L38" s="84"/>
      <c r="M38" s="71"/>
      <c r="N38" s="71" t="str">
        <f>_xlfn.IFNA(VLOOKUP(RigheOfferte[[#This Row],[Lavorazione]],DescLavorazioni[],2,FALSE),"")</f>
        <v/>
      </c>
      <c r="O38" s="71"/>
      <c r="P38" s="73">
        <f>_xlfn.IFNA(VLOOKUP(RigheOfferte[[#This Row],[Cod Vel]],VeloCatena[],3,FALSE),0)</f>
        <v>0</v>
      </c>
      <c r="Q38" s="85"/>
      <c r="R38" s="85"/>
      <c r="S38" s="71"/>
      <c r="T38" s="71"/>
      <c r="U38" s="71"/>
      <c r="V38" s="74">
        <f>IF(RigheOfferte[[#This Row],[Velocità]]&gt;0,60*RigheOfferte[[#This Row],[Velocità]]/RigheOfferte[[#This Row],[passo]]*RigheOfferte[[#This Row],[nr.pezzi Telaio]],0)</f>
        <v>0</v>
      </c>
      <c r="W38" s="74"/>
      <c r="X3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3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38" s="74">
        <f>_xlfn.IFNA(INDEX(RiepilogoCostiOrari[],MATCH(YEAR(RigheOfferte[[#This Row],[data]])&amp;RigheOfferte[[#This Row],[Quadrimestre]],QuCostiLav,0),MATCH(RigheOfferte[[#This Row],[Lavorazione]],CodLavorazioni,0)),0)</f>
        <v>0</v>
      </c>
      <c r="AA38" s="76"/>
      <c r="AB38" s="71"/>
      <c r="AC38" s="74">
        <f>RigheOfferte[[#This Row],[Superf.pz Mq]]*Resa*RigheOfferte[[#This Row],[MP (€kg)]]</f>
        <v>0</v>
      </c>
      <c r="AD38" s="77"/>
      <c r="AE38" s="77"/>
      <c r="AF38" s="55">
        <f>_xlfn.IFNA(VLOOKUP(RigheOfferte[[#This Row],[Tipo Protezione]],Protezioni[],2,FALSE),0)</f>
        <v>0</v>
      </c>
      <c r="AG38" s="79"/>
      <c r="AH3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38" s="71">
        <f>RigheOfferte[[#This Row],[altri costi]]+RigheOfferte[[#This Row],[costo industriale pz]]</f>
        <v>0</v>
      </c>
      <c r="AJ38" s="81">
        <f>_xlfn.IFNA(INDEX(Ricarichi[],MATCH(YEAR(RigheOfferte[[#This Row],[data]])&amp;RigheOfferte[[#This Row],[Quadrimestre]],QuCostiLav,0),MATCH(RigheOfferte[[#This Row],[Lavorazione]],CodLavorazioni,0)),0)</f>
        <v>0</v>
      </c>
      <c r="AK38" s="80">
        <f>RigheOfferte[[#This Row],[totale costi]]+(RigheOfferte[[#This Row],[totale costi]]*RigheOfferte[[#This Row],[Ricarico]])</f>
        <v>0</v>
      </c>
      <c r="AL38" s="71">
        <f>RigheOfferte[[#This Row],[Prezzo Di Vendita]]*RigheOfferte[[#This Row],[Q.ta'']]</f>
        <v>0</v>
      </c>
      <c r="AM38" s="71">
        <f>IFERROR(RigheOfferte[[#This Row],[Prezzo Di Vendita]]/RigheOfferte[[#This Row],[Superf.pz Mq]],0)</f>
        <v>0</v>
      </c>
    </row>
    <row r="39" spans="1:39" ht="14.4">
      <c r="A39" s="69" t="str">
        <f>IF(LEN('riepilogo prezzi'!$D39&amp;'riepilogo prezzi'!$E39)&gt;0,'riepilogo prezzi'!$D39&amp;"-"&amp;'riepilogo prezzi'!$E39,"")</f>
        <v/>
      </c>
      <c r="B39" s="70" t="str">
        <f>IF(LEN(MONTH(RigheOfferte[[#This Row],[data]]))=1,0&amp;MONTH(RigheOfferte[[#This Row],[data]]),MONTH(RigheOfferte[[#This Row],[data]]))</f>
        <v>01</v>
      </c>
      <c r="C39" s="70" t="str">
        <f>IF(MONTH(RigheOfferte[[#This Row],[data]])&gt;8,"03",IF(MONTH(RigheOfferte[[#This Row],[data]])&gt;4,"02","01"))</f>
        <v>01</v>
      </c>
      <c r="D39" s="71"/>
      <c r="E39" s="71"/>
      <c r="F39" s="83"/>
      <c r="G39" s="71"/>
      <c r="H39" s="69"/>
      <c r="I39" s="71"/>
      <c r="J39" s="82"/>
      <c r="K39" s="84"/>
      <c r="L39" s="84"/>
      <c r="M39" s="71"/>
      <c r="N39" s="71" t="str">
        <f>_xlfn.IFNA(VLOOKUP(RigheOfferte[[#This Row],[Lavorazione]],DescLavorazioni[],2,FALSE),"")</f>
        <v/>
      </c>
      <c r="O39" s="71"/>
      <c r="P39" s="73">
        <f>_xlfn.IFNA(VLOOKUP(RigheOfferte[[#This Row],[Cod Vel]],VeloCatena[],3,FALSE),0)</f>
        <v>0</v>
      </c>
      <c r="Q39" s="85"/>
      <c r="R39" s="85"/>
      <c r="S39" s="71"/>
      <c r="T39" s="71"/>
      <c r="U39" s="71"/>
      <c r="V39" s="74">
        <f>IF(RigheOfferte[[#This Row],[Velocità]]&gt;0,60*RigheOfferte[[#This Row],[Velocità]]/RigheOfferte[[#This Row],[passo]]*RigheOfferte[[#This Row],[nr.pezzi Telaio]],0)</f>
        <v>0</v>
      </c>
      <c r="W39" s="74"/>
      <c r="X3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3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39" s="74">
        <f>_xlfn.IFNA(INDEX(RiepilogoCostiOrari[],MATCH(YEAR(RigheOfferte[[#This Row],[data]])&amp;RigheOfferte[[#This Row],[Quadrimestre]],QuCostiLav,0),MATCH(RigheOfferte[[#This Row],[Lavorazione]],CodLavorazioni,0)),0)</f>
        <v>0</v>
      </c>
      <c r="AA39" s="76"/>
      <c r="AB39" s="71"/>
      <c r="AC39" s="74">
        <f>RigheOfferte[[#This Row],[Superf.pz Mq]]*Resa*RigheOfferte[[#This Row],[MP (€kg)]]</f>
        <v>0</v>
      </c>
      <c r="AD39" s="77"/>
      <c r="AE39" s="77"/>
      <c r="AF39" s="55">
        <f>_xlfn.IFNA(VLOOKUP(RigheOfferte[[#This Row],[Tipo Protezione]],Protezioni[],2,FALSE),0)</f>
        <v>0</v>
      </c>
      <c r="AG39" s="79"/>
      <c r="AH3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39" s="71">
        <f>RigheOfferte[[#This Row],[altri costi]]+RigheOfferte[[#This Row],[costo industriale pz]]</f>
        <v>0</v>
      </c>
      <c r="AJ39" s="81">
        <f>_xlfn.IFNA(INDEX(Ricarichi[],MATCH(YEAR(RigheOfferte[[#This Row],[data]])&amp;RigheOfferte[[#This Row],[Quadrimestre]],QuCostiLav,0),MATCH(RigheOfferte[[#This Row],[Lavorazione]],CodLavorazioni,0)),0)</f>
        <v>0</v>
      </c>
      <c r="AK39" s="80">
        <f>RigheOfferte[[#This Row],[totale costi]]+(RigheOfferte[[#This Row],[totale costi]]*RigheOfferte[[#This Row],[Ricarico]])</f>
        <v>0</v>
      </c>
      <c r="AL39" s="71">
        <f>RigheOfferte[[#This Row],[Prezzo Di Vendita]]*RigheOfferte[[#This Row],[Q.ta'']]</f>
        <v>0</v>
      </c>
      <c r="AM39" s="71">
        <f>IFERROR(RigheOfferte[[#This Row],[Prezzo Di Vendita]]/RigheOfferte[[#This Row],[Superf.pz Mq]],0)</f>
        <v>0</v>
      </c>
    </row>
    <row r="40" spans="1:39" ht="14.4">
      <c r="A40" s="69" t="str">
        <f>IF(LEN('riepilogo prezzi'!$D40&amp;'riepilogo prezzi'!$E40)&gt;0,'riepilogo prezzi'!$D40&amp;"-"&amp;'riepilogo prezzi'!$E40,"")</f>
        <v/>
      </c>
      <c r="B40" s="70" t="str">
        <f>IF(LEN(MONTH(RigheOfferte[[#This Row],[data]]))=1,0&amp;MONTH(RigheOfferte[[#This Row],[data]]),MONTH(RigheOfferte[[#This Row],[data]]))</f>
        <v>01</v>
      </c>
      <c r="C40" s="70" t="str">
        <f>IF(MONTH(RigheOfferte[[#This Row],[data]])&gt;8,"03",IF(MONTH(RigheOfferte[[#This Row],[data]])&gt;4,"02","01"))</f>
        <v>01</v>
      </c>
      <c r="D40" s="71"/>
      <c r="E40" s="71"/>
      <c r="F40" s="83"/>
      <c r="G40" s="71"/>
      <c r="H40" s="69"/>
      <c r="I40" s="71"/>
      <c r="J40" s="82"/>
      <c r="K40" s="84"/>
      <c r="L40" s="84"/>
      <c r="M40" s="71"/>
      <c r="N40" s="71" t="str">
        <f>_xlfn.IFNA(VLOOKUP(RigheOfferte[[#This Row],[Lavorazione]],DescLavorazioni[],2,FALSE),"")</f>
        <v/>
      </c>
      <c r="O40" s="71"/>
      <c r="P40" s="73">
        <f>_xlfn.IFNA(VLOOKUP(RigheOfferte[[#This Row],[Cod Vel]],VeloCatena[],3,FALSE),0)</f>
        <v>0</v>
      </c>
      <c r="Q40" s="85"/>
      <c r="R40" s="85"/>
      <c r="S40" s="71"/>
      <c r="T40" s="71"/>
      <c r="U40" s="71"/>
      <c r="V40" s="74">
        <f>IF(RigheOfferte[[#This Row],[Velocità]]&gt;0,60*RigheOfferte[[#This Row],[Velocità]]/RigheOfferte[[#This Row],[passo]]*RigheOfferte[[#This Row],[nr.pezzi Telaio]],0)</f>
        <v>0</v>
      </c>
      <c r="W40" s="74"/>
      <c r="X4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4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0" s="74">
        <f>_xlfn.IFNA(INDEX(RiepilogoCostiOrari[],MATCH(YEAR(RigheOfferte[[#This Row],[data]])&amp;RigheOfferte[[#This Row],[Quadrimestre]],QuCostiLav,0),MATCH(RigheOfferte[[#This Row],[Lavorazione]],CodLavorazioni,0)),0)</f>
        <v>0</v>
      </c>
      <c r="AA40" s="76"/>
      <c r="AB40" s="71"/>
      <c r="AC40" s="74">
        <f>RigheOfferte[[#This Row],[Superf.pz Mq]]*Resa*RigheOfferte[[#This Row],[MP (€kg)]]</f>
        <v>0</v>
      </c>
      <c r="AD40" s="77"/>
      <c r="AE40" s="77"/>
      <c r="AF40" s="55">
        <f>_xlfn.IFNA(VLOOKUP(RigheOfferte[[#This Row],[Tipo Protezione]],Protezioni[],2,FALSE),0)</f>
        <v>0</v>
      </c>
      <c r="AG40" s="79"/>
      <c r="AH4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40" s="71">
        <f>RigheOfferte[[#This Row],[altri costi]]+RigheOfferte[[#This Row],[costo industriale pz]]</f>
        <v>0</v>
      </c>
      <c r="AJ40" s="81">
        <f>_xlfn.IFNA(INDEX(Ricarichi[],MATCH(YEAR(RigheOfferte[[#This Row],[data]])&amp;RigheOfferte[[#This Row],[Quadrimestre]],QuCostiLav,0),MATCH(RigheOfferte[[#This Row],[Lavorazione]],CodLavorazioni,0)),0)</f>
        <v>0</v>
      </c>
      <c r="AK40" s="80">
        <f>RigheOfferte[[#This Row],[totale costi]]+(RigheOfferte[[#This Row],[totale costi]]*RigheOfferte[[#This Row],[Ricarico]])</f>
        <v>0</v>
      </c>
      <c r="AL40" s="71">
        <f>RigheOfferte[[#This Row],[Prezzo Di Vendita]]*RigheOfferte[[#This Row],[Q.ta'']]</f>
        <v>0</v>
      </c>
      <c r="AM40" s="71">
        <f>IFERROR(RigheOfferte[[#This Row],[Prezzo Di Vendita]]/RigheOfferte[[#This Row],[Superf.pz Mq]],0)</f>
        <v>0</v>
      </c>
    </row>
    <row r="41" spans="1:39" ht="14.4">
      <c r="A41" s="69" t="str">
        <f>IF(LEN('riepilogo prezzi'!$D41&amp;'riepilogo prezzi'!$E41)&gt;0,'riepilogo prezzi'!$D41&amp;"-"&amp;'riepilogo prezzi'!$E41,"")</f>
        <v/>
      </c>
      <c r="B41" s="70" t="str">
        <f>IF(LEN(MONTH(RigheOfferte[[#This Row],[data]]))=1,0&amp;MONTH(RigheOfferte[[#This Row],[data]]),MONTH(RigheOfferte[[#This Row],[data]]))</f>
        <v>01</v>
      </c>
      <c r="C41" s="70" t="str">
        <f>IF(MONTH(RigheOfferte[[#This Row],[data]])&gt;8,"03",IF(MONTH(RigheOfferte[[#This Row],[data]])&gt;4,"02","01"))</f>
        <v>01</v>
      </c>
      <c r="D41" s="71"/>
      <c r="E41" s="71"/>
      <c r="F41" s="83"/>
      <c r="G41" s="71"/>
      <c r="H41" s="69"/>
      <c r="I41" s="71"/>
      <c r="J41" s="82"/>
      <c r="K41" s="84"/>
      <c r="L41" s="84"/>
      <c r="M41" s="71"/>
      <c r="N41" s="71" t="str">
        <f>_xlfn.IFNA(VLOOKUP(RigheOfferte[[#This Row],[Lavorazione]],DescLavorazioni[],2,FALSE),"")</f>
        <v/>
      </c>
      <c r="O41" s="71"/>
      <c r="P41" s="73">
        <f>_xlfn.IFNA(VLOOKUP(RigheOfferte[[#This Row],[Cod Vel]],VeloCatena[],3,FALSE),0)</f>
        <v>0</v>
      </c>
      <c r="Q41" s="85"/>
      <c r="R41" s="85"/>
      <c r="S41" s="71"/>
      <c r="T41" s="71"/>
      <c r="U41" s="71"/>
      <c r="V41" s="74">
        <f>IF(RigheOfferte[[#This Row],[Velocità]]&gt;0,60*RigheOfferte[[#This Row],[Velocità]]/RigheOfferte[[#This Row],[passo]]*RigheOfferte[[#This Row],[nr.pezzi Telaio]],0)</f>
        <v>0</v>
      </c>
      <c r="W41" s="74"/>
      <c r="X4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4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1" s="74">
        <f>_xlfn.IFNA(INDEX(RiepilogoCostiOrari[],MATCH(YEAR(RigheOfferte[[#This Row],[data]])&amp;RigheOfferte[[#This Row],[Quadrimestre]],QuCostiLav,0),MATCH(RigheOfferte[[#This Row],[Lavorazione]],CodLavorazioni,0)),0)</f>
        <v>0</v>
      </c>
      <c r="AA41" s="76"/>
      <c r="AB41" s="71"/>
      <c r="AC41" s="74">
        <f>RigheOfferte[[#This Row],[Superf.pz Mq]]*Resa*RigheOfferte[[#This Row],[MP (€kg)]]</f>
        <v>0</v>
      </c>
      <c r="AD41" s="77"/>
      <c r="AE41" s="77"/>
      <c r="AF41" s="55">
        <f>_xlfn.IFNA(VLOOKUP(RigheOfferte[[#This Row],[Tipo Protezione]],Protezioni[],2,FALSE),0)</f>
        <v>0</v>
      </c>
      <c r="AG41" s="79"/>
      <c r="AH4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41" s="71">
        <f>RigheOfferte[[#This Row],[altri costi]]+RigheOfferte[[#This Row],[costo industriale pz]]</f>
        <v>0</v>
      </c>
      <c r="AJ41" s="81">
        <f>_xlfn.IFNA(INDEX(Ricarichi[],MATCH(YEAR(RigheOfferte[[#This Row],[data]])&amp;RigheOfferte[[#This Row],[Quadrimestre]],QuCostiLav,0),MATCH(RigheOfferte[[#This Row],[Lavorazione]],CodLavorazioni,0)),0)</f>
        <v>0</v>
      </c>
      <c r="AK41" s="80">
        <f>RigheOfferte[[#This Row],[totale costi]]+(RigheOfferte[[#This Row],[totale costi]]*RigheOfferte[[#This Row],[Ricarico]])</f>
        <v>0</v>
      </c>
      <c r="AL41" s="71">
        <f>RigheOfferte[[#This Row],[Prezzo Di Vendita]]*RigheOfferte[[#This Row],[Q.ta'']]</f>
        <v>0</v>
      </c>
      <c r="AM41" s="71">
        <f>IFERROR(RigheOfferte[[#This Row],[Prezzo Di Vendita]]/RigheOfferte[[#This Row],[Superf.pz Mq]],0)</f>
        <v>0</v>
      </c>
    </row>
    <row r="42" spans="1:39" ht="14.4">
      <c r="A42" s="69" t="str">
        <f>IF(LEN('riepilogo prezzi'!$D42&amp;'riepilogo prezzi'!$E42)&gt;0,'riepilogo prezzi'!$D42&amp;"-"&amp;'riepilogo prezzi'!$E42,"")</f>
        <v/>
      </c>
      <c r="B42" s="70" t="str">
        <f>IF(LEN(MONTH(RigheOfferte[[#This Row],[data]]))=1,0&amp;MONTH(RigheOfferte[[#This Row],[data]]),MONTH(RigheOfferte[[#This Row],[data]]))</f>
        <v>01</v>
      </c>
      <c r="C42" s="70" t="str">
        <f>IF(MONTH(RigheOfferte[[#This Row],[data]])&gt;8,"03",IF(MONTH(RigheOfferte[[#This Row],[data]])&gt;4,"02","01"))</f>
        <v>01</v>
      </c>
      <c r="D42" s="71"/>
      <c r="E42" s="71"/>
      <c r="F42" s="83"/>
      <c r="G42" s="71"/>
      <c r="H42" s="69"/>
      <c r="I42" s="71"/>
      <c r="J42" s="82"/>
      <c r="K42" s="84"/>
      <c r="L42" s="84"/>
      <c r="M42" s="71"/>
      <c r="N42" s="71" t="str">
        <f>_xlfn.IFNA(VLOOKUP(RigheOfferte[[#This Row],[Lavorazione]],DescLavorazioni[],2,FALSE),"")</f>
        <v/>
      </c>
      <c r="O42" s="71"/>
      <c r="P42" s="73">
        <f>_xlfn.IFNA(VLOOKUP(RigheOfferte[[#This Row],[Cod Vel]],VeloCatena[],3,FALSE),0)</f>
        <v>0</v>
      </c>
      <c r="Q42" s="85"/>
      <c r="R42" s="85"/>
      <c r="S42" s="71"/>
      <c r="T42" s="71"/>
      <c r="U42" s="71"/>
      <c r="V42" s="74">
        <f>IF(RigheOfferte[[#This Row],[Velocità]]&gt;0,60*RigheOfferte[[#This Row],[Velocità]]/RigheOfferte[[#This Row],[passo]]*RigheOfferte[[#This Row],[nr.pezzi Telaio]],0)</f>
        <v>0</v>
      </c>
      <c r="W42" s="74"/>
      <c r="X4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4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2" s="74">
        <f>_xlfn.IFNA(INDEX(RiepilogoCostiOrari[],MATCH(YEAR(RigheOfferte[[#This Row],[data]])&amp;RigheOfferte[[#This Row],[Quadrimestre]],QuCostiLav,0),MATCH(RigheOfferte[[#This Row],[Lavorazione]],CodLavorazioni,0)),0)</f>
        <v>0</v>
      </c>
      <c r="AA42" s="76"/>
      <c r="AB42" s="71"/>
      <c r="AC42" s="74">
        <f>RigheOfferte[[#This Row],[Superf.pz Mq]]*Resa*RigheOfferte[[#This Row],[MP (€kg)]]</f>
        <v>0</v>
      </c>
      <c r="AD42" s="77"/>
      <c r="AE42" s="77"/>
      <c r="AF42" s="55">
        <f>_xlfn.IFNA(VLOOKUP(RigheOfferte[[#This Row],[Tipo Protezione]],Protezioni[],2,FALSE),0)</f>
        <v>0</v>
      </c>
      <c r="AG42" s="79"/>
      <c r="AH4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42" s="71">
        <f>RigheOfferte[[#This Row],[altri costi]]+RigheOfferte[[#This Row],[costo industriale pz]]</f>
        <v>0</v>
      </c>
      <c r="AJ42" s="81">
        <f>_xlfn.IFNA(INDEX(Ricarichi[],MATCH(YEAR(RigheOfferte[[#This Row],[data]])&amp;RigheOfferte[[#This Row],[Quadrimestre]],QuCostiLav,0),MATCH(RigheOfferte[[#This Row],[Lavorazione]],CodLavorazioni,0)),0)</f>
        <v>0</v>
      </c>
      <c r="AK42" s="80">
        <f>RigheOfferte[[#This Row],[totale costi]]+(RigheOfferte[[#This Row],[totale costi]]*RigheOfferte[[#This Row],[Ricarico]])</f>
        <v>0</v>
      </c>
      <c r="AL42" s="71">
        <f>RigheOfferte[[#This Row],[Prezzo Di Vendita]]*RigheOfferte[[#This Row],[Q.ta'']]</f>
        <v>0</v>
      </c>
      <c r="AM42" s="71">
        <f>IFERROR(RigheOfferte[[#This Row],[Prezzo Di Vendita]]/RigheOfferte[[#This Row],[Superf.pz Mq]],0)</f>
        <v>0</v>
      </c>
    </row>
    <row r="43" spans="1:39" ht="14.4">
      <c r="A43" s="69" t="str">
        <f>IF(LEN('riepilogo prezzi'!$D43&amp;'riepilogo prezzi'!$E43)&gt;0,'riepilogo prezzi'!$D43&amp;"-"&amp;'riepilogo prezzi'!$E43,"")</f>
        <v/>
      </c>
      <c r="B43" s="70" t="str">
        <f>IF(LEN(MONTH(RigheOfferte[[#This Row],[data]]))=1,0&amp;MONTH(RigheOfferte[[#This Row],[data]]),MONTH(RigheOfferte[[#This Row],[data]]))</f>
        <v>01</v>
      </c>
      <c r="C43" s="70" t="str">
        <f>IF(MONTH(RigheOfferte[[#This Row],[data]])&gt;8,"03",IF(MONTH(RigheOfferte[[#This Row],[data]])&gt;4,"02","01"))</f>
        <v>01</v>
      </c>
      <c r="D43" s="71"/>
      <c r="E43" s="71"/>
      <c r="F43" s="83"/>
      <c r="G43" s="71"/>
      <c r="H43" s="69"/>
      <c r="I43" s="71"/>
      <c r="J43" s="82"/>
      <c r="K43" s="84"/>
      <c r="L43" s="84"/>
      <c r="M43" s="71"/>
      <c r="N43" s="71" t="str">
        <f>_xlfn.IFNA(VLOOKUP(RigheOfferte[[#This Row],[Lavorazione]],DescLavorazioni[],2,FALSE),"")</f>
        <v/>
      </c>
      <c r="O43" s="71"/>
      <c r="P43" s="73">
        <f>_xlfn.IFNA(VLOOKUP(RigheOfferte[[#This Row],[Cod Vel]],VeloCatena[],3,FALSE),0)</f>
        <v>0</v>
      </c>
      <c r="Q43" s="85"/>
      <c r="R43" s="85"/>
      <c r="S43" s="71"/>
      <c r="T43" s="71"/>
      <c r="U43" s="71"/>
      <c r="V43" s="74">
        <f>IF(RigheOfferte[[#This Row],[Velocità]]&gt;0,60*RigheOfferte[[#This Row],[Velocità]]/RigheOfferte[[#This Row],[passo]]*RigheOfferte[[#This Row],[nr.pezzi Telaio]],0)</f>
        <v>0</v>
      </c>
      <c r="W43" s="74"/>
      <c r="X4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4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3" s="74">
        <f>_xlfn.IFNA(INDEX(RiepilogoCostiOrari[],MATCH(YEAR(RigheOfferte[[#This Row],[data]])&amp;RigheOfferte[[#This Row],[Quadrimestre]],QuCostiLav,0),MATCH(RigheOfferte[[#This Row],[Lavorazione]],CodLavorazioni,0)),0)</f>
        <v>0</v>
      </c>
      <c r="AA43" s="76"/>
      <c r="AB43" s="71"/>
      <c r="AC43" s="74">
        <f>RigheOfferte[[#This Row],[Superf.pz Mq]]*Resa*RigheOfferte[[#This Row],[MP (€kg)]]</f>
        <v>0</v>
      </c>
      <c r="AD43" s="77"/>
      <c r="AE43" s="77"/>
      <c r="AF43" s="55">
        <f>_xlfn.IFNA(VLOOKUP(RigheOfferte[[#This Row],[Tipo Protezione]],Protezioni[],2,FALSE),0)</f>
        <v>0</v>
      </c>
      <c r="AG43" s="79"/>
      <c r="AH4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43" s="71">
        <f>RigheOfferte[[#This Row],[altri costi]]+RigheOfferte[[#This Row],[costo industriale pz]]</f>
        <v>0</v>
      </c>
      <c r="AJ43" s="81">
        <f>_xlfn.IFNA(INDEX(Ricarichi[],MATCH(YEAR(RigheOfferte[[#This Row],[data]])&amp;RigheOfferte[[#This Row],[Quadrimestre]],QuCostiLav,0),MATCH(RigheOfferte[[#This Row],[Lavorazione]],CodLavorazioni,0)),0)</f>
        <v>0</v>
      </c>
      <c r="AK43" s="80">
        <f>RigheOfferte[[#This Row],[totale costi]]+(RigheOfferte[[#This Row],[totale costi]]*RigheOfferte[[#This Row],[Ricarico]])</f>
        <v>0</v>
      </c>
      <c r="AL43" s="71">
        <f>RigheOfferte[[#This Row],[Prezzo Di Vendita]]*RigheOfferte[[#This Row],[Q.ta'']]</f>
        <v>0</v>
      </c>
      <c r="AM43" s="71">
        <f>IFERROR(RigheOfferte[[#This Row],[Prezzo Di Vendita]]/RigheOfferte[[#This Row],[Superf.pz Mq]],0)</f>
        <v>0</v>
      </c>
    </row>
    <row r="44" spans="1:39" ht="14.4">
      <c r="A44" s="69" t="str">
        <f>IF(LEN('riepilogo prezzi'!$D44&amp;'riepilogo prezzi'!$E44)&gt;0,'riepilogo prezzi'!$D44&amp;"-"&amp;'riepilogo prezzi'!$E44,"")</f>
        <v/>
      </c>
      <c r="B44" s="70" t="str">
        <f>IF(LEN(MONTH(RigheOfferte[[#This Row],[data]]))=1,0&amp;MONTH(RigheOfferte[[#This Row],[data]]),MONTH(RigheOfferte[[#This Row],[data]]))</f>
        <v>01</v>
      </c>
      <c r="C44" s="70" t="str">
        <f>IF(MONTH(RigheOfferte[[#This Row],[data]])&gt;8,"03",IF(MONTH(RigheOfferte[[#This Row],[data]])&gt;4,"02","01"))</f>
        <v>01</v>
      </c>
      <c r="D44" s="71"/>
      <c r="E44" s="71"/>
      <c r="F44" s="83"/>
      <c r="G44" s="71"/>
      <c r="H44" s="69"/>
      <c r="I44" s="71"/>
      <c r="J44" s="82"/>
      <c r="K44" s="84"/>
      <c r="L44" s="84"/>
      <c r="M44" s="71"/>
      <c r="N44" s="71" t="str">
        <f>_xlfn.IFNA(VLOOKUP(RigheOfferte[[#This Row],[Lavorazione]],DescLavorazioni[],2,FALSE),"")</f>
        <v/>
      </c>
      <c r="O44" s="71"/>
      <c r="P44" s="73">
        <f>_xlfn.IFNA(VLOOKUP(RigheOfferte[[#This Row],[Cod Vel]],VeloCatena[],3,FALSE),0)</f>
        <v>0</v>
      </c>
      <c r="Q44" s="85"/>
      <c r="R44" s="85"/>
      <c r="S44" s="71"/>
      <c r="T44" s="71"/>
      <c r="U44" s="71"/>
      <c r="V44" s="74">
        <f>IF(RigheOfferte[[#This Row],[Velocità]]&gt;0,60*RigheOfferte[[#This Row],[Velocità]]/RigheOfferte[[#This Row],[passo]]*RigheOfferte[[#This Row],[nr.pezzi Telaio]],0)</f>
        <v>0</v>
      </c>
      <c r="W44" s="74"/>
      <c r="X4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4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4" s="74">
        <f>_xlfn.IFNA(INDEX(RiepilogoCostiOrari[],MATCH(YEAR(RigheOfferte[[#This Row],[data]])&amp;RigheOfferte[[#This Row],[Quadrimestre]],QuCostiLav,0),MATCH(RigheOfferte[[#This Row],[Lavorazione]],CodLavorazioni,0)),0)</f>
        <v>0</v>
      </c>
      <c r="AA44" s="76"/>
      <c r="AB44" s="71"/>
      <c r="AC44" s="74">
        <f>RigheOfferte[[#This Row],[Superf.pz Mq]]*Resa*RigheOfferte[[#This Row],[MP (€kg)]]</f>
        <v>0</v>
      </c>
      <c r="AD44" s="77"/>
      <c r="AE44" s="77"/>
      <c r="AF44" s="55">
        <f>_xlfn.IFNA(VLOOKUP(RigheOfferte[[#This Row],[Tipo Protezione]],Protezioni[],2,FALSE),0)</f>
        <v>0</v>
      </c>
      <c r="AG44" s="79"/>
      <c r="AH4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44" s="71">
        <f>RigheOfferte[[#This Row],[altri costi]]+RigheOfferte[[#This Row],[costo industriale pz]]</f>
        <v>0</v>
      </c>
      <c r="AJ44" s="81">
        <f>_xlfn.IFNA(INDEX(Ricarichi[],MATCH(YEAR(RigheOfferte[[#This Row],[data]])&amp;RigheOfferte[[#This Row],[Quadrimestre]],QuCostiLav,0),MATCH(RigheOfferte[[#This Row],[Lavorazione]],CodLavorazioni,0)),0)</f>
        <v>0</v>
      </c>
      <c r="AK44" s="80">
        <f>RigheOfferte[[#This Row],[totale costi]]+(RigheOfferte[[#This Row],[totale costi]]*RigheOfferte[[#This Row],[Ricarico]])</f>
        <v>0</v>
      </c>
      <c r="AL44" s="71">
        <f>RigheOfferte[[#This Row],[Prezzo Di Vendita]]*RigheOfferte[[#This Row],[Q.ta'']]</f>
        <v>0</v>
      </c>
      <c r="AM44" s="71">
        <f>IFERROR(RigheOfferte[[#This Row],[Prezzo Di Vendita]]/RigheOfferte[[#This Row],[Superf.pz Mq]],0)</f>
        <v>0</v>
      </c>
    </row>
    <row r="45" spans="1:39" ht="14.4">
      <c r="A45" s="69" t="str">
        <f>IF(LEN('riepilogo prezzi'!$D45&amp;'riepilogo prezzi'!$E45)&gt;0,'riepilogo prezzi'!$D45&amp;"-"&amp;'riepilogo prezzi'!$E45,"")</f>
        <v/>
      </c>
      <c r="B45" s="70" t="str">
        <f>IF(LEN(MONTH(RigheOfferte[[#This Row],[data]]))=1,0&amp;MONTH(RigheOfferte[[#This Row],[data]]),MONTH(RigheOfferte[[#This Row],[data]]))</f>
        <v>01</v>
      </c>
      <c r="C45" s="70" t="str">
        <f>IF(MONTH(RigheOfferte[[#This Row],[data]])&gt;8,"03",IF(MONTH(RigheOfferte[[#This Row],[data]])&gt;4,"02","01"))</f>
        <v>01</v>
      </c>
      <c r="D45" s="71"/>
      <c r="E45" s="71"/>
      <c r="F45" s="83"/>
      <c r="G45" s="71"/>
      <c r="H45" s="69"/>
      <c r="I45" s="71"/>
      <c r="J45" s="82"/>
      <c r="K45" s="84"/>
      <c r="L45" s="84"/>
      <c r="M45" s="71"/>
      <c r="N45" s="71" t="str">
        <f>_xlfn.IFNA(VLOOKUP(RigheOfferte[[#This Row],[Lavorazione]],DescLavorazioni[],2,FALSE),"")</f>
        <v/>
      </c>
      <c r="O45" s="71"/>
      <c r="P45" s="73">
        <f>_xlfn.IFNA(VLOOKUP(RigheOfferte[[#This Row],[Cod Vel]],VeloCatena[],3,FALSE),0)</f>
        <v>0</v>
      </c>
      <c r="Q45" s="85"/>
      <c r="R45" s="85"/>
      <c r="S45" s="71"/>
      <c r="T45" s="71"/>
      <c r="U45" s="71"/>
      <c r="V45" s="74">
        <f>IF(RigheOfferte[[#This Row],[Velocità]]&gt;0,60*RigheOfferte[[#This Row],[Velocità]]/RigheOfferte[[#This Row],[passo]]*RigheOfferte[[#This Row],[nr.pezzi Telaio]],0)</f>
        <v>0</v>
      </c>
      <c r="W45" s="74"/>
      <c r="X4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4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5" s="74">
        <f>_xlfn.IFNA(INDEX(RiepilogoCostiOrari[],MATCH(YEAR(RigheOfferte[[#This Row],[data]])&amp;RigheOfferte[[#This Row],[Quadrimestre]],QuCostiLav,0),MATCH(RigheOfferte[[#This Row],[Lavorazione]],CodLavorazioni,0)),0)</f>
        <v>0</v>
      </c>
      <c r="AA45" s="76"/>
      <c r="AB45" s="71"/>
      <c r="AC45" s="74">
        <f>RigheOfferte[[#This Row],[Superf.pz Mq]]*Resa*RigheOfferte[[#This Row],[MP (€kg)]]</f>
        <v>0</v>
      </c>
      <c r="AD45" s="77"/>
      <c r="AE45" s="77"/>
      <c r="AF45" s="55">
        <f>_xlfn.IFNA(VLOOKUP(RigheOfferte[[#This Row],[Tipo Protezione]],Protezioni[],2,FALSE),0)</f>
        <v>0</v>
      </c>
      <c r="AG45" s="79"/>
      <c r="AH4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45" s="71">
        <f>RigheOfferte[[#This Row],[altri costi]]+RigheOfferte[[#This Row],[costo industriale pz]]</f>
        <v>0</v>
      </c>
      <c r="AJ45" s="81">
        <f>_xlfn.IFNA(INDEX(Ricarichi[],MATCH(YEAR(RigheOfferte[[#This Row],[data]])&amp;RigheOfferte[[#This Row],[Quadrimestre]],QuCostiLav,0),MATCH(RigheOfferte[[#This Row],[Lavorazione]],CodLavorazioni,0)),0)</f>
        <v>0</v>
      </c>
      <c r="AK45" s="80">
        <f>RigheOfferte[[#This Row],[totale costi]]+(RigheOfferte[[#This Row],[totale costi]]*RigheOfferte[[#This Row],[Ricarico]])</f>
        <v>0</v>
      </c>
      <c r="AL45" s="71">
        <f>RigheOfferte[[#This Row],[Prezzo Di Vendita]]*RigheOfferte[[#This Row],[Q.ta'']]</f>
        <v>0</v>
      </c>
      <c r="AM45" s="71">
        <f>IFERROR(RigheOfferte[[#This Row],[Prezzo Di Vendita]]/RigheOfferte[[#This Row],[Superf.pz Mq]],0)</f>
        <v>0</v>
      </c>
    </row>
    <row r="46" spans="1:39" ht="14.4">
      <c r="A46" s="69" t="str">
        <f>IF(LEN('riepilogo prezzi'!$D46&amp;'riepilogo prezzi'!$E46)&gt;0,'riepilogo prezzi'!$D46&amp;"-"&amp;'riepilogo prezzi'!$E46,"")</f>
        <v/>
      </c>
      <c r="B46" s="70" t="str">
        <f>IF(LEN(MONTH(RigheOfferte[[#This Row],[data]]))=1,0&amp;MONTH(RigheOfferte[[#This Row],[data]]),MONTH(RigheOfferte[[#This Row],[data]]))</f>
        <v>01</v>
      </c>
      <c r="C46" s="70" t="str">
        <f>IF(MONTH(RigheOfferte[[#This Row],[data]])&gt;8,"03",IF(MONTH(RigheOfferte[[#This Row],[data]])&gt;4,"02","01"))</f>
        <v>01</v>
      </c>
      <c r="D46" s="71"/>
      <c r="E46" s="71"/>
      <c r="F46" s="83"/>
      <c r="G46" s="71"/>
      <c r="H46" s="69"/>
      <c r="I46" s="71"/>
      <c r="J46" s="82"/>
      <c r="K46" s="84"/>
      <c r="L46" s="84"/>
      <c r="M46" s="71"/>
      <c r="N46" s="71" t="str">
        <f>_xlfn.IFNA(VLOOKUP(RigheOfferte[[#This Row],[Lavorazione]],DescLavorazioni[],2,FALSE),"")</f>
        <v/>
      </c>
      <c r="O46" s="71"/>
      <c r="P46" s="73">
        <f>_xlfn.IFNA(VLOOKUP(RigheOfferte[[#This Row],[Cod Vel]],VeloCatena[],3,FALSE),0)</f>
        <v>0</v>
      </c>
      <c r="Q46" s="85"/>
      <c r="R46" s="85"/>
      <c r="S46" s="71"/>
      <c r="T46" s="71"/>
      <c r="U46" s="71"/>
      <c r="V46" s="74">
        <f>IF(RigheOfferte[[#This Row],[Velocità]]&gt;0,60*RigheOfferte[[#This Row],[Velocità]]/RigheOfferte[[#This Row],[passo]]*RigheOfferte[[#This Row],[nr.pezzi Telaio]],0)</f>
        <v>0</v>
      </c>
      <c r="W46" s="74"/>
      <c r="X4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4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6" s="74">
        <f>_xlfn.IFNA(INDEX(RiepilogoCostiOrari[],MATCH(YEAR(RigheOfferte[[#This Row],[data]])&amp;RigheOfferte[[#This Row],[Quadrimestre]],QuCostiLav,0),MATCH(RigheOfferte[[#This Row],[Lavorazione]],CodLavorazioni,0)),0)</f>
        <v>0</v>
      </c>
      <c r="AA46" s="87"/>
      <c r="AB46" s="71"/>
      <c r="AC46" s="74">
        <f>RigheOfferte[[#This Row],[Superf.pz Mq]]*Resa*RigheOfferte[[#This Row],[MP (€kg)]]</f>
        <v>0</v>
      </c>
      <c r="AD46" s="77"/>
      <c r="AE46" s="77"/>
      <c r="AF46" s="55">
        <f>_xlfn.IFNA(VLOOKUP(RigheOfferte[[#This Row],[Tipo Protezione]],Protezioni[],2,FALSE),0)</f>
        <v>0</v>
      </c>
      <c r="AG46" s="79"/>
      <c r="AH4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46" s="71">
        <f>RigheOfferte[[#This Row],[altri costi]]+RigheOfferte[[#This Row],[costo industriale pz]]</f>
        <v>0</v>
      </c>
      <c r="AJ46" s="81">
        <f>_xlfn.IFNA(INDEX(Ricarichi[],MATCH(YEAR(RigheOfferte[[#This Row],[data]])&amp;RigheOfferte[[#This Row],[Quadrimestre]],QuCostiLav,0),MATCH(RigheOfferte[[#This Row],[Lavorazione]],CodLavorazioni,0)),0)</f>
        <v>0</v>
      </c>
      <c r="AK46" s="80">
        <f>RigheOfferte[[#This Row],[totale costi]]+(RigheOfferte[[#This Row],[totale costi]]*RigheOfferte[[#This Row],[Ricarico]])</f>
        <v>0</v>
      </c>
      <c r="AL46" s="71">
        <f>RigheOfferte[[#This Row],[Prezzo Di Vendita]]*RigheOfferte[[#This Row],[Q.ta'']]</f>
        <v>0</v>
      </c>
      <c r="AM46" s="71">
        <f>IFERROR(RigheOfferte[[#This Row],[Prezzo Di Vendita]]/RigheOfferte[[#This Row],[Superf.pz Mq]],0)</f>
        <v>0</v>
      </c>
    </row>
    <row r="47" spans="1:39" ht="14.4">
      <c r="A47" s="69" t="str">
        <f>IF(LEN('riepilogo prezzi'!$D47&amp;'riepilogo prezzi'!$E47)&gt;0,'riepilogo prezzi'!$D47&amp;"-"&amp;'riepilogo prezzi'!$E47,"")</f>
        <v/>
      </c>
      <c r="B47" s="70" t="str">
        <f>IF(LEN(MONTH(RigheOfferte[[#This Row],[data]]))=1,0&amp;MONTH(RigheOfferte[[#This Row],[data]]),MONTH(RigheOfferte[[#This Row],[data]]))</f>
        <v>01</v>
      </c>
      <c r="C47" s="70" t="str">
        <f>IF(MONTH(RigheOfferte[[#This Row],[data]])&gt;8,"03",IF(MONTH(RigheOfferte[[#This Row],[data]])&gt;4,"02","01"))</f>
        <v>01</v>
      </c>
      <c r="D47" s="71"/>
      <c r="E47" s="71"/>
      <c r="F47" s="83"/>
      <c r="G47" s="71"/>
      <c r="H47" s="69"/>
      <c r="I47" s="71"/>
      <c r="J47" s="82"/>
      <c r="K47" s="84"/>
      <c r="L47" s="84"/>
      <c r="M47" s="71"/>
      <c r="N47" s="71" t="str">
        <f>_xlfn.IFNA(VLOOKUP(RigheOfferte[[#This Row],[Lavorazione]],DescLavorazioni[],2,FALSE),"")</f>
        <v/>
      </c>
      <c r="O47" s="71"/>
      <c r="P47" s="73">
        <f>_xlfn.IFNA(VLOOKUP(RigheOfferte[[#This Row],[Cod Vel]],VeloCatena[],3,FALSE),0)</f>
        <v>0</v>
      </c>
      <c r="Q47" s="85"/>
      <c r="R47" s="85"/>
      <c r="S47" s="71"/>
      <c r="T47" s="71"/>
      <c r="U47" s="71"/>
      <c r="V47" s="74">
        <f>IF(RigheOfferte[[#This Row],[Velocità]]&gt;0,60*RigheOfferte[[#This Row],[Velocità]]/RigheOfferte[[#This Row],[passo]]*RigheOfferte[[#This Row],[nr.pezzi Telaio]],0)</f>
        <v>0</v>
      </c>
      <c r="W47" s="74"/>
      <c r="X4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4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7" s="74">
        <f>_xlfn.IFNA(INDEX(RiepilogoCostiOrari[],MATCH(YEAR(RigheOfferte[[#This Row],[data]])&amp;RigheOfferte[[#This Row],[Quadrimestre]],QuCostiLav,0),MATCH(RigheOfferte[[#This Row],[Lavorazione]],CodLavorazioni,0)),0)</f>
        <v>0</v>
      </c>
      <c r="AA47" s="87"/>
      <c r="AB47" s="71"/>
      <c r="AC47" s="74">
        <f>RigheOfferte[[#This Row],[Superf.pz Mq]]*Resa*RigheOfferte[[#This Row],[MP (€kg)]]</f>
        <v>0</v>
      </c>
      <c r="AD47" s="77"/>
      <c r="AE47" s="77"/>
      <c r="AF47" s="55">
        <f>_xlfn.IFNA(VLOOKUP(RigheOfferte[[#This Row],[Tipo Protezione]],Protezioni[],2,FALSE),0)</f>
        <v>0</v>
      </c>
      <c r="AG47" s="79"/>
      <c r="AH4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47" s="71">
        <f>RigheOfferte[[#This Row],[altri costi]]+RigheOfferte[[#This Row],[costo industriale pz]]</f>
        <v>0</v>
      </c>
      <c r="AJ47" s="81">
        <f>_xlfn.IFNA(INDEX(Ricarichi[],MATCH(YEAR(RigheOfferte[[#This Row],[data]])&amp;RigheOfferte[[#This Row],[Quadrimestre]],QuCostiLav,0),MATCH(RigheOfferte[[#This Row],[Lavorazione]],CodLavorazioni,0)),0)</f>
        <v>0</v>
      </c>
      <c r="AK47" s="80">
        <f>RigheOfferte[[#This Row],[totale costi]]+(RigheOfferte[[#This Row],[totale costi]]*RigheOfferte[[#This Row],[Ricarico]])</f>
        <v>0</v>
      </c>
      <c r="AL47" s="71">
        <f>RigheOfferte[[#This Row],[Prezzo Di Vendita]]*RigheOfferte[[#This Row],[Q.ta'']]</f>
        <v>0</v>
      </c>
      <c r="AM47" s="71">
        <f>IFERROR(RigheOfferte[[#This Row],[Prezzo Di Vendita]]/RigheOfferte[[#This Row],[Superf.pz Mq]],0)</f>
        <v>0</v>
      </c>
    </row>
    <row r="48" spans="1:39" ht="14.4">
      <c r="A48" s="69" t="str">
        <f>IF(LEN('riepilogo prezzi'!$D48&amp;'riepilogo prezzi'!$E48)&gt;0,'riepilogo prezzi'!$D48&amp;"-"&amp;'riepilogo prezzi'!$E48,"")</f>
        <v/>
      </c>
      <c r="B48" s="70" t="str">
        <f>IF(LEN(MONTH(RigheOfferte[[#This Row],[data]]))=1,0&amp;MONTH(RigheOfferte[[#This Row],[data]]),MONTH(RigheOfferte[[#This Row],[data]]))</f>
        <v>01</v>
      </c>
      <c r="C48" s="70" t="str">
        <f>IF(MONTH(RigheOfferte[[#This Row],[data]])&gt;8,"03",IF(MONTH(RigheOfferte[[#This Row],[data]])&gt;4,"02","01"))</f>
        <v>01</v>
      </c>
      <c r="D48" s="71"/>
      <c r="E48" s="71"/>
      <c r="F48" s="83"/>
      <c r="G48" s="71"/>
      <c r="H48" s="69"/>
      <c r="I48" s="71"/>
      <c r="J48" s="82"/>
      <c r="K48" s="84"/>
      <c r="L48" s="84"/>
      <c r="M48" s="71"/>
      <c r="N48" s="71" t="str">
        <f>_xlfn.IFNA(VLOOKUP(RigheOfferte[[#This Row],[Lavorazione]],DescLavorazioni[],2,FALSE),"")</f>
        <v/>
      </c>
      <c r="O48" s="71"/>
      <c r="P48" s="73">
        <f>_xlfn.IFNA(VLOOKUP(RigheOfferte[[#This Row],[Cod Vel]],VeloCatena[],3,FALSE),0)</f>
        <v>0</v>
      </c>
      <c r="Q48" s="85"/>
      <c r="R48" s="85"/>
      <c r="S48" s="71"/>
      <c r="T48" s="71"/>
      <c r="U48" s="71"/>
      <c r="V48" s="74">
        <f>IF(RigheOfferte[[#This Row],[Velocità]]&gt;0,60*RigheOfferte[[#This Row],[Velocità]]/RigheOfferte[[#This Row],[passo]]*RigheOfferte[[#This Row],[nr.pezzi Telaio]],0)</f>
        <v>0</v>
      </c>
      <c r="W48" s="74"/>
      <c r="X4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4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8" s="74">
        <f>_xlfn.IFNA(INDEX(RiepilogoCostiOrari[],MATCH(YEAR(RigheOfferte[[#This Row],[data]])&amp;RigheOfferte[[#This Row],[Quadrimestre]],QuCostiLav,0),MATCH(RigheOfferte[[#This Row],[Lavorazione]],CodLavorazioni,0)),0)</f>
        <v>0</v>
      </c>
      <c r="AA48" s="76"/>
      <c r="AB48" s="71"/>
      <c r="AC48" s="74">
        <f>RigheOfferte[[#This Row],[Superf.pz Mq]]*Resa*RigheOfferte[[#This Row],[MP (€kg)]]</f>
        <v>0</v>
      </c>
      <c r="AD48" s="77"/>
      <c r="AE48" s="77"/>
      <c r="AF48" s="55">
        <f>_xlfn.IFNA(VLOOKUP(RigheOfferte[[#This Row],[Tipo Protezione]],Protezioni[],2,FALSE),0)</f>
        <v>0</v>
      </c>
      <c r="AG48" s="79"/>
      <c r="AH4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48" s="71">
        <f>RigheOfferte[[#This Row],[altri costi]]+RigheOfferte[[#This Row],[costo industriale pz]]</f>
        <v>0</v>
      </c>
      <c r="AJ48" s="81">
        <f>_xlfn.IFNA(INDEX(Ricarichi[],MATCH(YEAR(RigheOfferte[[#This Row],[data]])&amp;RigheOfferte[[#This Row],[Quadrimestre]],QuCostiLav,0),MATCH(RigheOfferte[[#This Row],[Lavorazione]],CodLavorazioni,0)),0)</f>
        <v>0</v>
      </c>
      <c r="AK48" s="80">
        <f>RigheOfferte[[#This Row],[totale costi]]+(RigheOfferte[[#This Row],[totale costi]]*RigheOfferte[[#This Row],[Ricarico]])</f>
        <v>0</v>
      </c>
      <c r="AL48" s="71">
        <f>RigheOfferte[[#This Row],[Prezzo Di Vendita]]*RigheOfferte[[#This Row],[Q.ta'']]</f>
        <v>0</v>
      </c>
      <c r="AM48" s="71">
        <f>IFERROR(RigheOfferte[[#This Row],[Prezzo Di Vendita]]/RigheOfferte[[#This Row],[Superf.pz Mq]],0)</f>
        <v>0</v>
      </c>
    </row>
    <row r="49" spans="1:39" ht="14.4">
      <c r="A49" s="69" t="str">
        <f>IF(LEN('riepilogo prezzi'!$D49&amp;'riepilogo prezzi'!$E49)&gt;0,'riepilogo prezzi'!$D49&amp;"-"&amp;'riepilogo prezzi'!$E49,"")</f>
        <v/>
      </c>
      <c r="B49" s="70" t="str">
        <f>IF(LEN(MONTH(RigheOfferte[[#This Row],[data]]))=1,0&amp;MONTH(RigheOfferte[[#This Row],[data]]),MONTH(RigheOfferte[[#This Row],[data]]))</f>
        <v>01</v>
      </c>
      <c r="C49" s="70" t="str">
        <f>IF(MONTH(RigheOfferte[[#This Row],[data]])&gt;8,"03",IF(MONTH(RigheOfferte[[#This Row],[data]])&gt;4,"02","01"))</f>
        <v>01</v>
      </c>
      <c r="D49" s="71"/>
      <c r="E49" s="71"/>
      <c r="F49" s="83"/>
      <c r="G49" s="71"/>
      <c r="H49" s="69"/>
      <c r="I49" s="71"/>
      <c r="J49" s="82"/>
      <c r="K49" s="84"/>
      <c r="L49" s="84"/>
      <c r="M49" s="71"/>
      <c r="N49" s="71" t="str">
        <f>_xlfn.IFNA(VLOOKUP(RigheOfferte[[#This Row],[Lavorazione]],DescLavorazioni[],2,FALSE),"")</f>
        <v/>
      </c>
      <c r="O49" s="71"/>
      <c r="P49" s="73">
        <f>_xlfn.IFNA(VLOOKUP(RigheOfferte[[#This Row],[Cod Vel]],VeloCatena[],3,FALSE),0)</f>
        <v>0</v>
      </c>
      <c r="Q49" s="85"/>
      <c r="R49" s="85"/>
      <c r="S49" s="71"/>
      <c r="T49" s="71"/>
      <c r="U49" s="71"/>
      <c r="V49" s="74">
        <f>IF(RigheOfferte[[#This Row],[Velocità]]&gt;0,60*RigheOfferte[[#This Row],[Velocità]]/RigheOfferte[[#This Row],[passo]]*RigheOfferte[[#This Row],[nr.pezzi Telaio]],0)</f>
        <v>0</v>
      </c>
      <c r="W49" s="74"/>
      <c r="X4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4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49" s="74">
        <f>_xlfn.IFNA(INDEX(RiepilogoCostiOrari[],MATCH(YEAR(RigheOfferte[[#This Row],[data]])&amp;RigheOfferte[[#This Row],[Quadrimestre]],QuCostiLav,0),MATCH(RigheOfferte[[#This Row],[Lavorazione]],CodLavorazioni,0)),0)</f>
        <v>0</v>
      </c>
      <c r="AA49" s="76"/>
      <c r="AB49" s="71"/>
      <c r="AC49" s="74">
        <f>RigheOfferte[[#This Row],[Superf.pz Mq]]*Resa*RigheOfferte[[#This Row],[MP (€kg)]]</f>
        <v>0</v>
      </c>
      <c r="AD49" s="77"/>
      <c r="AE49" s="77"/>
      <c r="AF49" s="55">
        <f>_xlfn.IFNA(VLOOKUP(RigheOfferte[[#This Row],[Tipo Protezione]],Protezioni[],2,FALSE),0)</f>
        <v>0</v>
      </c>
      <c r="AG49" s="79"/>
      <c r="AH4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49" s="71">
        <f>RigheOfferte[[#This Row],[altri costi]]+RigheOfferte[[#This Row],[costo industriale pz]]</f>
        <v>0</v>
      </c>
      <c r="AJ49" s="81">
        <f>_xlfn.IFNA(INDEX(Ricarichi[],MATCH(YEAR(RigheOfferte[[#This Row],[data]])&amp;RigheOfferte[[#This Row],[Quadrimestre]],QuCostiLav,0),MATCH(RigheOfferte[[#This Row],[Lavorazione]],CodLavorazioni,0)),0)</f>
        <v>0</v>
      </c>
      <c r="AK49" s="80">
        <f>RigheOfferte[[#This Row],[totale costi]]+(RigheOfferte[[#This Row],[totale costi]]*RigheOfferte[[#This Row],[Ricarico]])</f>
        <v>0</v>
      </c>
      <c r="AL49" s="71">
        <f>RigheOfferte[[#This Row],[Prezzo Di Vendita]]*RigheOfferte[[#This Row],[Q.ta'']]</f>
        <v>0</v>
      </c>
      <c r="AM49" s="71">
        <f>IFERROR(RigheOfferte[[#This Row],[Prezzo Di Vendita]]/RigheOfferte[[#This Row],[Superf.pz Mq]],0)</f>
        <v>0</v>
      </c>
    </row>
    <row r="50" spans="1:39" ht="14.4">
      <c r="A50" s="69" t="str">
        <f>IF(LEN('riepilogo prezzi'!$D50&amp;'riepilogo prezzi'!$E50)&gt;0,'riepilogo prezzi'!$D50&amp;"-"&amp;'riepilogo prezzi'!$E50,"")</f>
        <v/>
      </c>
      <c r="B50" s="70" t="str">
        <f>IF(LEN(MONTH(RigheOfferte[[#This Row],[data]]))=1,0&amp;MONTH(RigheOfferte[[#This Row],[data]]),MONTH(RigheOfferte[[#This Row],[data]]))</f>
        <v>01</v>
      </c>
      <c r="C50" s="70" t="str">
        <f>IF(MONTH(RigheOfferte[[#This Row],[data]])&gt;8,"03",IF(MONTH(RigheOfferte[[#This Row],[data]])&gt;4,"02","01"))</f>
        <v>01</v>
      </c>
      <c r="D50" s="71"/>
      <c r="E50" s="71"/>
      <c r="F50" s="83"/>
      <c r="G50" s="71"/>
      <c r="H50" s="69"/>
      <c r="I50" s="71"/>
      <c r="J50" s="82"/>
      <c r="K50" s="84"/>
      <c r="L50" s="84"/>
      <c r="M50" s="71"/>
      <c r="N50" s="71" t="str">
        <f>_xlfn.IFNA(VLOOKUP(RigheOfferte[[#This Row],[Lavorazione]],DescLavorazioni[],2,FALSE),"")</f>
        <v/>
      </c>
      <c r="O50" s="71"/>
      <c r="P50" s="73">
        <f>_xlfn.IFNA(VLOOKUP(RigheOfferte[[#This Row],[Cod Vel]],VeloCatena[],3,FALSE),0)</f>
        <v>0</v>
      </c>
      <c r="Q50" s="85"/>
      <c r="R50" s="85"/>
      <c r="S50" s="71"/>
      <c r="T50" s="71"/>
      <c r="U50" s="71"/>
      <c r="V50" s="74">
        <f>IF(RigheOfferte[[#This Row],[Velocità]]&gt;0,60*RigheOfferte[[#This Row],[Velocità]]/RigheOfferte[[#This Row],[passo]]*RigheOfferte[[#This Row],[nr.pezzi Telaio]],0)</f>
        <v>0</v>
      </c>
      <c r="W50" s="74"/>
      <c r="X5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5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0" s="74">
        <f>_xlfn.IFNA(INDEX(RiepilogoCostiOrari[],MATCH(YEAR(RigheOfferte[[#This Row],[data]])&amp;RigheOfferte[[#This Row],[Quadrimestre]],QuCostiLav,0),MATCH(RigheOfferte[[#This Row],[Lavorazione]],CodLavorazioni,0)),0)</f>
        <v>0</v>
      </c>
      <c r="AA50" s="76"/>
      <c r="AB50" s="71"/>
      <c r="AC50" s="74">
        <f>RigheOfferte[[#This Row],[Superf.pz Mq]]*Resa*RigheOfferte[[#This Row],[MP (€kg)]]</f>
        <v>0</v>
      </c>
      <c r="AD50" s="77"/>
      <c r="AE50" s="77"/>
      <c r="AF50" s="55">
        <f>_xlfn.IFNA(VLOOKUP(RigheOfferte[[#This Row],[Tipo Protezione]],Protezioni[],2,FALSE),0)</f>
        <v>0</v>
      </c>
      <c r="AG50" s="79"/>
      <c r="AH5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50" s="71">
        <f>RigheOfferte[[#This Row],[altri costi]]+RigheOfferte[[#This Row],[costo industriale pz]]</f>
        <v>0</v>
      </c>
      <c r="AJ50" s="81">
        <f>_xlfn.IFNA(INDEX(Ricarichi[],MATCH(YEAR(RigheOfferte[[#This Row],[data]])&amp;RigheOfferte[[#This Row],[Quadrimestre]],QuCostiLav,0),MATCH(RigheOfferte[[#This Row],[Lavorazione]],CodLavorazioni,0)),0)</f>
        <v>0</v>
      </c>
      <c r="AK50" s="80">
        <f>RigheOfferte[[#This Row],[totale costi]]+(RigheOfferte[[#This Row],[totale costi]]*RigheOfferte[[#This Row],[Ricarico]])</f>
        <v>0</v>
      </c>
      <c r="AL50" s="71">
        <f>RigheOfferte[[#This Row],[Prezzo Di Vendita]]*RigheOfferte[[#This Row],[Q.ta'']]</f>
        <v>0</v>
      </c>
      <c r="AM50" s="71">
        <f>IFERROR(RigheOfferte[[#This Row],[Prezzo Di Vendita]]/RigheOfferte[[#This Row],[Superf.pz Mq]],0)</f>
        <v>0</v>
      </c>
    </row>
    <row r="51" spans="1:39" ht="14.4">
      <c r="A51" s="69" t="str">
        <f>IF(LEN('riepilogo prezzi'!$D51&amp;'riepilogo prezzi'!$E51)&gt;0,'riepilogo prezzi'!$D51&amp;"-"&amp;'riepilogo prezzi'!$E51,"")</f>
        <v/>
      </c>
      <c r="B51" s="70" t="str">
        <f>IF(LEN(MONTH(RigheOfferte[[#This Row],[data]]))=1,0&amp;MONTH(RigheOfferte[[#This Row],[data]]),MONTH(RigheOfferte[[#This Row],[data]]))</f>
        <v>01</v>
      </c>
      <c r="C51" s="70" t="str">
        <f>IF(MONTH(RigheOfferte[[#This Row],[data]])&gt;8,"03",IF(MONTH(RigheOfferte[[#This Row],[data]])&gt;4,"02","01"))</f>
        <v>01</v>
      </c>
      <c r="D51" s="71"/>
      <c r="E51" s="71"/>
      <c r="F51" s="83"/>
      <c r="G51" s="71"/>
      <c r="H51" s="69"/>
      <c r="I51" s="71"/>
      <c r="J51" s="82"/>
      <c r="K51" s="84"/>
      <c r="L51" s="84"/>
      <c r="M51" s="71"/>
      <c r="N51" s="71" t="str">
        <f>_xlfn.IFNA(VLOOKUP(RigheOfferte[[#This Row],[Lavorazione]],DescLavorazioni[],2,FALSE),"")</f>
        <v/>
      </c>
      <c r="O51" s="71"/>
      <c r="P51" s="73">
        <f>_xlfn.IFNA(VLOOKUP(RigheOfferte[[#This Row],[Cod Vel]],VeloCatena[],3,FALSE),0)</f>
        <v>0</v>
      </c>
      <c r="Q51" s="85"/>
      <c r="R51" s="85"/>
      <c r="S51" s="71"/>
      <c r="T51" s="71"/>
      <c r="U51" s="71"/>
      <c r="V51" s="74">
        <f>IF(RigheOfferte[[#This Row],[Velocità]]&gt;0,60*RigheOfferte[[#This Row],[Velocità]]/RigheOfferte[[#This Row],[passo]]*RigheOfferte[[#This Row],[nr.pezzi Telaio]],0)</f>
        <v>0</v>
      </c>
      <c r="W51" s="74"/>
      <c r="X5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5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1" s="74">
        <f>_xlfn.IFNA(INDEX(RiepilogoCostiOrari[],MATCH(YEAR(RigheOfferte[[#This Row],[data]])&amp;RigheOfferte[[#This Row],[Quadrimestre]],QuCostiLav,0),MATCH(RigheOfferte[[#This Row],[Lavorazione]],CodLavorazioni,0)),0)</f>
        <v>0</v>
      </c>
      <c r="AA51" s="76"/>
      <c r="AB51" s="71"/>
      <c r="AC51" s="74">
        <f>RigheOfferte[[#This Row],[Superf.pz Mq]]*Resa*RigheOfferte[[#This Row],[MP (€kg)]]</f>
        <v>0</v>
      </c>
      <c r="AD51" s="77"/>
      <c r="AE51" s="77"/>
      <c r="AF51" s="55">
        <f>_xlfn.IFNA(VLOOKUP(RigheOfferte[[#This Row],[Tipo Protezione]],Protezioni[],2,FALSE),0)</f>
        <v>0</v>
      </c>
      <c r="AG51" s="79"/>
      <c r="AH5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51" s="71">
        <f>RigheOfferte[[#This Row],[altri costi]]+RigheOfferte[[#This Row],[costo industriale pz]]</f>
        <v>0</v>
      </c>
      <c r="AJ51" s="81">
        <f>_xlfn.IFNA(INDEX(Ricarichi[],MATCH(YEAR(RigheOfferte[[#This Row],[data]])&amp;RigheOfferte[[#This Row],[Quadrimestre]],QuCostiLav,0),MATCH(RigheOfferte[[#This Row],[Lavorazione]],CodLavorazioni,0)),0)</f>
        <v>0</v>
      </c>
      <c r="AK51" s="80">
        <f>RigheOfferte[[#This Row],[totale costi]]+(RigheOfferte[[#This Row],[totale costi]]*RigheOfferte[[#This Row],[Ricarico]])</f>
        <v>0</v>
      </c>
      <c r="AL51" s="71">
        <f>RigheOfferte[[#This Row],[Prezzo Di Vendita]]*RigheOfferte[[#This Row],[Q.ta'']]</f>
        <v>0</v>
      </c>
      <c r="AM51" s="71">
        <f>IFERROR(RigheOfferte[[#This Row],[Prezzo Di Vendita]]/RigheOfferte[[#This Row],[Superf.pz Mq]],0)</f>
        <v>0</v>
      </c>
    </row>
    <row r="52" spans="1:39" ht="14.4">
      <c r="A52" s="69" t="str">
        <f>IF(LEN('riepilogo prezzi'!$D52&amp;'riepilogo prezzi'!$E52)&gt;0,'riepilogo prezzi'!$D52&amp;"-"&amp;'riepilogo prezzi'!$E52,"")</f>
        <v/>
      </c>
      <c r="B52" s="70" t="str">
        <f>IF(LEN(MONTH(RigheOfferte[[#This Row],[data]]))=1,0&amp;MONTH(RigheOfferte[[#This Row],[data]]),MONTH(RigheOfferte[[#This Row],[data]]))</f>
        <v>01</v>
      </c>
      <c r="C52" s="70" t="str">
        <f>IF(MONTH(RigheOfferte[[#This Row],[data]])&gt;8,"03",IF(MONTH(RigheOfferte[[#This Row],[data]])&gt;4,"02","01"))</f>
        <v>01</v>
      </c>
      <c r="D52" s="71"/>
      <c r="E52" s="71"/>
      <c r="F52" s="83"/>
      <c r="G52" s="71"/>
      <c r="H52" s="69"/>
      <c r="I52" s="71"/>
      <c r="J52" s="82"/>
      <c r="K52" s="84"/>
      <c r="L52" s="84"/>
      <c r="M52" s="71"/>
      <c r="N52" s="71" t="str">
        <f>_xlfn.IFNA(VLOOKUP(RigheOfferte[[#This Row],[Lavorazione]],DescLavorazioni[],2,FALSE),"")</f>
        <v/>
      </c>
      <c r="O52" s="71"/>
      <c r="P52" s="73">
        <f>_xlfn.IFNA(VLOOKUP(RigheOfferte[[#This Row],[Cod Vel]],VeloCatena[],3,FALSE),0)</f>
        <v>0</v>
      </c>
      <c r="Q52" s="85"/>
      <c r="R52" s="85"/>
      <c r="S52" s="71"/>
      <c r="T52" s="71"/>
      <c r="U52" s="71"/>
      <c r="V52" s="74">
        <f>IF(RigheOfferte[[#This Row],[Velocità]]&gt;0,60*RigheOfferte[[#This Row],[Velocità]]/RigheOfferte[[#This Row],[passo]]*RigheOfferte[[#This Row],[nr.pezzi Telaio]],0)</f>
        <v>0</v>
      </c>
      <c r="W52" s="74"/>
      <c r="X5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5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2" s="74">
        <f>_xlfn.IFNA(INDEX(RiepilogoCostiOrari[],MATCH(YEAR(RigheOfferte[[#This Row],[data]])&amp;RigheOfferte[[#This Row],[Quadrimestre]],QuCostiLav,0),MATCH(RigheOfferte[[#This Row],[Lavorazione]],CodLavorazioni,0)),0)</f>
        <v>0</v>
      </c>
      <c r="AA52" s="76"/>
      <c r="AB52" s="71"/>
      <c r="AC52" s="74">
        <f>RigheOfferte[[#This Row],[Superf.pz Mq]]*Resa*RigheOfferte[[#This Row],[MP (€kg)]]</f>
        <v>0</v>
      </c>
      <c r="AD52" s="77"/>
      <c r="AE52" s="77"/>
      <c r="AF52" s="55">
        <f>_xlfn.IFNA(VLOOKUP(RigheOfferte[[#This Row],[Tipo Protezione]],Protezioni[],2,FALSE),0)</f>
        <v>0</v>
      </c>
      <c r="AG52" s="79"/>
      <c r="AH5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52" s="71">
        <f>RigheOfferte[[#This Row],[altri costi]]+RigheOfferte[[#This Row],[costo industriale pz]]</f>
        <v>0</v>
      </c>
      <c r="AJ52" s="81">
        <f>_xlfn.IFNA(INDEX(Ricarichi[],MATCH(YEAR(RigheOfferte[[#This Row],[data]])&amp;RigheOfferte[[#This Row],[Quadrimestre]],QuCostiLav,0),MATCH(RigheOfferte[[#This Row],[Lavorazione]],CodLavorazioni,0)),0)</f>
        <v>0</v>
      </c>
      <c r="AK52" s="80">
        <f>RigheOfferte[[#This Row],[totale costi]]+(RigheOfferte[[#This Row],[totale costi]]*RigheOfferte[[#This Row],[Ricarico]])</f>
        <v>0</v>
      </c>
      <c r="AL52" s="71">
        <f>RigheOfferte[[#This Row],[Prezzo Di Vendita]]*RigheOfferte[[#This Row],[Q.ta'']]</f>
        <v>0</v>
      </c>
      <c r="AM52" s="71">
        <f>IFERROR(RigheOfferte[[#This Row],[Prezzo Di Vendita]]/RigheOfferte[[#This Row],[Superf.pz Mq]],0)</f>
        <v>0</v>
      </c>
    </row>
    <row r="53" spans="1:39" ht="14.4">
      <c r="A53" s="69" t="str">
        <f>IF(LEN('riepilogo prezzi'!$D53&amp;'riepilogo prezzi'!$E53)&gt;0,'riepilogo prezzi'!$D53&amp;"-"&amp;'riepilogo prezzi'!$E53,"")</f>
        <v/>
      </c>
      <c r="B53" s="70" t="str">
        <f>IF(LEN(MONTH(RigheOfferte[[#This Row],[data]]))=1,0&amp;MONTH(RigheOfferte[[#This Row],[data]]),MONTH(RigheOfferte[[#This Row],[data]]))</f>
        <v>01</v>
      </c>
      <c r="C53" s="70" t="str">
        <f>IF(MONTH(RigheOfferte[[#This Row],[data]])&gt;8,"03",IF(MONTH(RigheOfferte[[#This Row],[data]])&gt;4,"02","01"))</f>
        <v>01</v>
      </c>
      <c r="D53" s="71"/>
      <c r="E53" s="71"/>
      <c r="F53" s="83"/>
      <c r="G53" s="71"/>
      <c r="H53" s="69"/>
      <c r="I53" s="71"/>
      <c r="J53" s="82"/>
      <c r="K53" s="84"/>
      <c r="L53" s="84"/>
      <c r="M53" s="71"/>
      <c r="N53" s="71" t="str">
        <f>_xlfn.IFNA(VLOOKUP(RigheOfferte[[#This Row],[Lavorazione]],DescLavorazioni[],2,FALSE),"")</f>
        <v/>
      </c>
      <c r="O53" s="71"/>
      <c r="P53" s="73">
        <f>_xlfn.IFNA(VLOOKUP(RigheOfferte[[#This Row],[Cod Vel]],VeloCatena[],3,FALSE),0)</f>
        <v>0</v>
      </c>
      <c r="Q53" s="85"/>
      <c r="R53" s="85"/>
      <c r="S53" s="71"/>
      <c r="T53" s="71"/>
      <c r="U53" s="71"/>
      <c r="V53" s="74">
        <f>IF(RigheOfferte[[#This Row],[Velocità]]&gt;0,60*RigheOfferte[[#This Row],[Velocità]]/RigheOfferte[[#This Row],[passo]]*RigheOfferte[[#This Row],[nr.pezzi Telaio]],0)</f>
        <v>0</v>
      </c>
      <c r="W53" s="74"/>
      <c r="X5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5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3" s="74">
        <f>_xlfn.IFNA(INDEX(RiepilogoCostiOrari[],MATCH(YEAR(RigheOfferte[[#This Row],[data]])&amp;RigheOfferte[[#This Row],[Quadrimestre]],QuCostiLav,0),MATCH(RigheOfferte[[#This Row],[Lavorazione]],CodLavorazioni,0)),0)</f>
        <v>0</v>
      </c>
      <c r="AA53" s="76"/>
      <c r="AB53" s="71"/>
      <c r="AC53" s="74">
        <f>RigheOfferte[[#This Row],[Superf.pz Mq]]*Resa*RigheOfferte[[#This Row],[MP (€kg)]]</f>
        <v>0</v>
      </c>
      <c r="AD53" s="77"/>
      <c r="AE53" s="77"/>
      <c r="AF53" s="55">
        <f>_xlfn.IFNA(VLOOKUP(RigheOfferte[[#This Row],[Tipo Protezione]],Protezioni[],2,FALSE),0)</f>
        <v>0</v>
      </c>
      <c r="AG53" s="79"/>
      <c r="AH5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53" s="71">
        <f>RigheOfferte[[#This Row],[altri costi]]+RigheOfferte[[#This Row],[costo industriale pz]]</f>
        <v>0</v>
      </c>
      <c r="AJ53" s="81">
        <f>_xlfn.IFNA(INDEX(Ricarichi[],MATCH(YEAR(RigheOfferte[[#This Row],[data]])&amp;RigheOfferte[[#This Row],[Quadrimestre]],QuCostiLav,0),MATCH(RigheOfferte[[#This Row],[Lavorazione]],CodLavorazioni,0)),0)</f>
        <v>0</v>
      </c>
      <c r="AK53" s="80">
        <f>RigheOfferte[[#This Row],[totale costi]]+(RigheOfferte[[#This Row],[totale costi]]*RigheOfferte[[#This Row],[Ricarico]])</f>
        <v>0</v>
      </c>
      <c r="AL53" s="71">
        <f>RigheOfferte[[#This Row],[Prezzo Di Vendita]]*RigheOfferte[[#This Row],[Q.ta'']]</f>
        <v>0</v>
      </c>
      <c r="AM53" s="71">
        <f>IFERROR(RigheOfferte[[#This Row],[Prezzo Di Vendita]]/RigheOfferte[[#This Row],[Superf.pz Mq]],0)</f>
        <v>0</v>
      </c>
    </row>
    <row r="54" spans="1:39" ht="14.4">
      <c r="A54" s="69" t="str">
        <f>IF(LEN('riepilogo prezzi'!$D54&amp;'riepilogo prezzi'!$E54)&gt;0,'riepilogo prezzi'!$D54&amp;"-"&amp;'riepilogo prezzi'!$E54,"")</f>
        <v/>
      </c>
      <c r="B54" s="70" t="str">
        <f>IF(LEN(MONTH(RigheOfferte[[#This Row],[data]]))=1,0&amp;MONTH(RigheOfferte[[#This Row],[data]]),MONTH(RigheOfferte[[#This Row],[data]]))</f>
        <v>01</v>
      </c>
      <c r="C54" s="70" t="str">
        <f>IF(MONTH(RigheOfferte[[#This Row],[data]])&gt;8,"03",IF(MONTH(RigheOfferte[[#This Row],[data]])&gt;4,"02","01"))</f>
        <v>01</v>
      </c>
      <c r="D54" s="71"/>
      <c r="E54" s="71"/>
      <c r="F54" s="83"/>
      <c r="G54" s="71"/>
      <c r="H54" s="69"/>
      <c r="I54" s="71"/>
      <c r="J54" s="82"/>
      <c r="K54" s="84"/>
      <c r="L54" s="84"/>
      <c r="M54" s="71"/>
      <c r="N54" s="71" t="str">
        <f>_xlfn.IFNA(VLOOKUP(RigheOfferte[[#This Row],[Lavorazione]],DescLavorazioni[],2,FALSE),"")</f>
        <v/>
      </c>
      <c r="O54" s="71"/>
      <c r="P54" s="73">
        <f>_xlfn.IFNA(VLOOKUP(RigheOfferte[[#This Row],[Cod Vel]],VeloCatena[],3,FALSE),0)</f>
        <v>0</v>
      </c>
      <c r="Q54" s="85"/>
      <c r="R54" s="85"/>
      <c r="S54" s="71"/>
      <c r="T54" s="71"/>
      <c r="U54" s="71"/>
      <c r="V54" s="74">
        <f>IF(RigheOfferte[[#This Row],[Velocità]]&gt;0,60*RigheOfferte[[#This Row],[Velocità]]/RigheOfferte[[#This Row],[passo]]*RigheOfferte[[#This Row],[nr.pezzi Telaio]],0)</f>
        <v>0</v>
      </c>
      <c r="W54" s="74"/>
      <c r="X5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5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4" s="74">
        <f>_xlfn.IFNA(INDEX(RiepilogoCostiOrari[],MATCH(YEAR(RigheOfferte[[#This Row],[data]])&amp;RigheOfferte[[#This Row],[Quadrimestre]],QuCostiLav,0),MATCH(RigheOfferte[[#This Row],[Lavorazione]],CodLavorazioni,0)),0)</f>
        <v>0</v>
      </c>
      <c r="AA54" s="76"/>
      <c r="AB54" s="71"/>
      <c r="AC54" s="74">
        <f>RigheOfferte[[#This Row],[Superf.pz Mq]]*Resa*RigheOfferte[[#This Row],[MP (€kg)]]</f>
        <v>0</v>
      </c>
      <c r="AD54" s="77"/>
      <c r="AE54" s="77"/>
      <c r="AF54" s="55">
        <f>_xlfn.IFNA(VLOOKUP(RigheOfferte[[#This Row],[Tipo Protezione]],Protezioni[],2,FALSE),0)</f>
        <v>0</v>
      </c>
      <c r="AG54" s="79"/>
      <c r="AH5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54" s="71">
        <f>RigheOfferte[[#This Row],[altri costi]]+RigheOfferte[[#This Row],[costo industriale pz]]</f>
        <v>0</v>
      </c>
      <c r="AJ54" s="81">
        <f>_xlfn.IFNA(INDEX(Ricarichi[],MATCH(YEAR(RigheOfferte[[#This Row],[data]])&amp;RigheOfferte[[#This Row],[Quadrimestre]],QuCostiLav,0),MATCH(RigheOfferte[[#This Row],[Lavorazione]],CodLavorazioni,0)),0)</f>
        <v>0</v>
      </c>
      <c r="AK54" s="80">
        <f>RigheOfferte[[#This Row],[totale costi]]+(RigheOfferte[[#This Row],[totale costi]]*RigheOfferte[[#This Row],[Ricarico]])</f>
        <v>0</v>
      </c>
      <c r="AL54" s="71">
        <f>RigheOfferte[[#This Row],[Prezzo Di Vendita]]*RigheOfferte[[#This Row],[Q.ta'']]</f>
        <v>0</v>
      </c>
      <c r="AM54" s="71">
        <f>IFERROR(RigheOfferte[[#This Row],[Prezzo Di Vendita]]/RigheOfferte[[#This Row],[Superf.pz Mq]],0)</f>
        <v>0</v>
      </c>
    </row>
    <row r="55" spans="1:39" ht="14.4">
      <c r="A55" s="69" t="str">
        <f>IF(LEN('riepilogo prezzi'!$D55&amp;'riepilogo prezzi'!$E55)&gt;0,'riepilogo prezzi'!$D55&amp;"-"&amp;'riepilogo prezzi'!$E55,"")</f>
        <v/>
      </c>
      <c r="B55" s="70" t="str">
        <f>IF(LEN(MONTH(RigheOfferte[[#This Row],[data]]))=1,0&amp;MONTH(RigheOfferte[[#This Row],[data]]),MONTH(RigheOfferte[[#This Row],[data]]))</f>
        <v>01</v>
      </c>
      <c r="C55" s="70" t="str">
        <f>IF(MONTH(RigheOfferte[[#This Row],[data]])&gt;8,"03",IF(MONTH(RigheOfferte[[#This Row],[data]])&gt;4,"02","01"))</f>
        <v>01</v>
      </c>
      <c r="D55" s="71"/>
      <c r="E55" s="71"/>
      <c r="F55" s="83"/>
      <c r="G55" s="71"/>
      <c r="H55" s="69"/>
      <c r="I55" s="71"/>
      <c r="J55" s="82"/>
      <c r="K55" s="84"/>
      <c r="L55" s="84"/>
      <c r="M55" s="71"/>
      <c r="N55" s="71" t="str">
        <f>_xlfn.IFNA(VLOOKUP(RigheOfferte[[#This Row],[Lavorazione]],DescLavorazioni[],2,FALSE),"")</f>
        <v/>
      </c>
      <c r="O55" s="71"/>
      <c r="P55" s="73">
        <f>_xlfn.IFNA(VLOOKUP(RigheOfferte[[#This Row],[Cod Vel]],VeloCatena[],3,FALSE),0)</f>
        <v>0</v>
      </c>
      <c r="Q55" s="85"/>
      <c r="R55" s="85"/>
      <c r="S55" s="71"/>
      <c r="T55" s="71"/>
      <c r="U55" s="71"/>
      <c r="V55" s="74">
        <f>IF(RigheOfferte[[#This Row],[Velocità]]&gt;0,60*RigheOfferte[[#This Row],[Velocità]]/RigheOfferte[[#This Row],[passo]]*RigheOfferte[[#This Row],[nr.pezzi Telaio]],0)</f>
        <v>0</v>
      </c>
      <c r="W55" s="74"/>
      <c r="X5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5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5" s="74">
        <f>_xlfn.IFNA(INDEX(RiepilogoCostiOrari[],MATCH(YEAR(RigheOfferte[[#This Row],[data]])&amp;RigheOfferte[[#This Row],[Quadrimestre]],QuCostiLav,0),MATCH(RigheOfferte[[#This Row],[Lavorazione]],CodLavorazioni,0)),0)</f>
        <v>0</v>
      </c>
      <c r="AA55" s="76"/>
      <c r="AB55" s="71"/>
      <c r="AC55" s="74">
        <f>RigheOfferte[[#This Row],[Superf.pz Mq]]*Resa*RigheOfferte[[#This Row],[MP (€kg)]]</f>
        <v>0</v>
      </c>
      <c r="AD55" s="77"/>
      <c r="AE55" s="77"/>
      <c r="AF55" s="55">
        <f>_xlfn.IFNA(VLOOKUP(RigheOfferte[[#This Row],[Tipo Protezione]],Protezioni[],2,FALSE),0)</f>
        <v>0</v>
      </c>
      <c r="AG55" s="79"/>
      <c r="AH5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55" s="71">
        <f>RigheOfferte[[#This Row],[altri costi]]+RigheOfferte[[#This Row],[costo industriale pz]]</f>
        <v>0</v>
      </c>
      <c r="AJ55" s="81">
        <f>_xlfn.IFNA(INDEX(Ricarichi[],MATCH(YEAR(RigheOfferte[[#This Row],[data]])&amp;RigheOfferte[[#This Row],[Quadrimestre]],QuCostiLav,0),MATCH(RigheOfferte[[#This Row],[Lavorazione]],CodLavorazioni,0)),0)</f>
        <v>0</v>
      </c>
      <c r="AK55" s="80">
        <f>RigheOfferte[[#This Row],[totale costi]]+(RigheOfferte[[#This Row],[totale costi]]*RigheOfferte[[#This Row],[Ricarico]])</f>
        <v>0</v>
      </c>
      <c r="AL55" s="71">
        <f>RigheOfferte[[#This Row],[Prezzo Di Vendita]]*RigheOfferte[[#This Row],[Q.ta'']]</f>
        <v>0</v>
      </c>
      <c r="AM55" s="71">
        <f>IFERROR(RigheOfferte[[#This Row],[Prezzo Di Vendita]]/RigheOfferte[[#This Row],[Superf.pz Mq]],0)</f>
        <v>0</v>
      </c>
    </row>
    <row r="56" spans="1:39" ht="14.4">
      <c r="A56" s="69" t="str">
        <f>IF(LEN('riepilogo prezzi'!$D56&amp;'riepilogo prezzi'!$E56)&gt;0,'riepilogo prezzi'!$D56&amp;"-"&amp;'riepilogo prezzi'!$E56,"")</f>
        <v/>
      </c>
      <c r="B56" s="70" t="str">
        <f>IF(LEN(MONTH(RigheOfferte[[#This Row],[data]]))=1,0&amp;MONTH(RigheOfferte[[#This Row],[data]]),MONTH(RigheOfferte[[#This Row],[data]]))</f>
        <v>01</v>
      </c>
      <c r="C56" s="70" t="str">
        <f>IF(MONTH(RigheOfferte[[#This Row],[data]])&gt;8,"03",IF(MONTH(RigheOfferte[[#This Row],[data]])&gt;4,"02","01"))</f>
        <v>01</v>
      </c>
      <c r="D56" s="71"/>
      <c r="E56" s="71"/>
      <c r="F56" s="83"/>
      <c r="G56" s="71"/>
      <c r="H56" s="69"/>
      <c r="I56" s="71"/>
      <c r="J56" s="82"/>
      <c r="K56" s="84"/>
      <c r="L56" s="84"/>
      <c r="M56" s="71"/>
      <c r="N56" s="71" t="str">
        <f>_xlfn.IFNA(VLOOKUP(RigheOfferte[[#This Row],[Lavorazione]],DescLavorazioni[],2,FALSE),"")</f>
        <v/>
      </c>
      <c r="O56" s="71"/>
      <c r="P56" s="73">
        <f>_xlfn.IFNA(VLOOKUP(RigheOfferte[[#This Row],[Cod Vel]],VeloCatena[],3,FALSE),0)</f>
        <v>0</v>
      </c>
      <c r="Q56" s="85"/>
      <c r="R56" s="85"/>
      <c r="S56" s="71"/>
      <c r="T56" s="71"/>
      <c r="U56" s="71"/>
      <c r="V56" s="74">
        <f>IF(RigheOfferte[[#This Row],[Velocità]]&gt;0,60*RigheOfferte[[#This Row],[Velocità]]/RigheOfferte[[#This Row],[passo]]*RigheOfferte[[#This Row],[nr.pezzi Telaio]],0)</f>
        <v>0</v>
      </c>
      <c r="W56" s="74"/>
      <c r="X5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5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6" s="74">
        <f>_xlfn.IFNA(INDEX(RiepilogoCostiOrari[],MATCH(YEAR(RigheOfferte[[#This Row],[data]])&amp;RigheOfferte[[#This Row],[Quadrimestre]],QuCostiLav,0),MATCH(RigheOfferte[[#This Row],[Lavorazione]],CodLavorazioni,0)),0)</f>
        <v>0</v>
      </c>
      <c r="AA56" s="76"/>
      <c r="AB56" s="71"/>
      <c r="AC56" s="74">
        <f>RigheOfferte[[#This Row],[Superf.pz Mq]]*Resa*RigheOfferte[[#This Row],[MP (€kg)]]</f>
        <v>0</v>
      </c>
      <c r="AD56" s="77"/>
      <c r="AE56" s="77"/>
      <c r="AF56" s="55">
        <f>_xlfn.IFNA(VLOOKUP(RigheOfferte[[#This Row],[Tipo Protezione]],Protezioni[],2,FALSE),0)</f>
        <v>0</v>
      </c>
      <c r="AG56" s="79"/>
      <c r="AH5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56" s="71">
        <f>RigheOfferte[[#This Row],[altri costi]]+RigheOfferte[[#This Row],[costo industriale pz]]</f>
        <v>0</v>
      </c>
      <c r="AJ56" s="81">
        <f>_xlfn.IFNA(INDEX(Ricarichi[],MATCH(YEAR(RigheOfferte[[#This Row],[data]])&amp;RigheOfferte[[#This Row],[Quadrimestre]],QuCostiLav,0),MATCH(RigheOfferte[[#This Row],[Lavorazione]],CodLavorazioni,0)),0)</f>
        <v>0</v>
      </c>
      <c r="AK56" s="80">
        <f>RigheOfferte[[#This Row],[totale costi]]+(RigheOfferte[[#This Row],[totale costi]]*RigheOfferte[[#This Row],[Ricarico]])</f>
        <v>0</v>
      </c>
      <c r="AL56" s="71">
        <f>RigheOfferte[[#This Row],[Prezzo Di Vendita]]*RigheOfferte[[#This Row],[Q.ta'']]</f>
        <v>0</v>
      </c>
      <c r="AM56" s="71">
        <f>IFERROR(RigheOfferte[[#This Row],[Prezzo Di Vendita]]/RigheOfferte[[#This Row],[Superf.pz Mq]],0)</f>
        <v>0</v>
      </c>
    </row>
    <row r="57" spans="1:39" ht="14.4">
      <c r="A57" s="69" t="str">
        <f>IF(LEN('riepilogo prezzi'!$D57&amp;'riepilogo prezzi'!$E57)&gt;0,'riepilogo prezzi'!$D57&amp;"-"&amp;'riepilogo prezzi'!$E57,"")</f>
        <v/>
      </c>
      <c r="B57" s="70" t="str">
        <f>IF(LEN(MONTH(RigheOfferte[[#This Row],[data]]))=1,0&amp;MONTH(RigheOfferte[[#This Row],[data]]),MONTH(RigheOfferte[[#This Row],[data]]))</f>
        <v>01</v>
      </c>
      <c r="C57" s="70" t="str">
        <f>IF(MONTH(RigheOfferte[[#This Row],[data]])&gt;8,"03",IF(MONTH(RigheOfferte[[#This Row],[data]])&gt;4,"02","01"))</f>
        <v>01</v>
      </c>
      <c r="D57" s="71"/>
      <c r="E57" s="71"/>
      <c r="F57" s="83"/>
      <c r="G57" s="71"/>
      <c r="H57" s="69"/>
      <c r="I57" s="71"/>
      <c r="J57" s="82"/>
      <c r="K57" s="84"/>
      <c r="L57" s="84"/>
      <c r="M57" s="71"/>
      <c r="N57" s="71" t="str">
        <f>_xlfn.IFNA(VLOOKUP(RigheOfferte[[#This Row],[Lavorazione]],DescLavorazioni[],2,FALSE),"")</f>
        <v/>
      </c>
      <c r="O57" s="71"/>
      <c r="P57" s="73">
        <f>_xlfn.IFNA(VLOOKUP(RigheOfferte[[#This Row],[Cod Vel]],VeloCatena[],3,FALSE),0)</f>
        <v>0</v>
      </c>
      <c r="Q57" s="85"/>
      <c r="R57" s="85"/>
      <c r="S57" s="71"/>
      <c r="T57" s="71"/>
      <c r="U57" s="71"/>
      <c r="V57" s="74">
        <f>IF(RigheOfferte[[#This Row],[Velocità]]&gt;0,60*RigheOfferte[[#This Row],[Velocità]]/RigheOfferte[[#This Row],[passo]]*RigheOfferte[[#This Row],[nr.pezzi Telaio]],0)</f>
        <v>0</v>
      </c>
      <c r="W57" s="74"/>
      <c r="X5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5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7" s="74">
        <f>_xlfn.IFNA(INDEX(RiepilogoCostiOrari[],MATCH(YEAR(RigheOfferte[[#This Row],[data]])&amp;RigheOfferte[[#This Row],[Quadrimestre]],QuCostiLav,0),MATCH(RigheOfferte[[#This Row],[Lavorazione]],CodLavorazioni,0)),0)</f>
        <v>0</v>
      </c>
      <c r="AA57" s="76"/>
      <c r="AB57" s="71"/>
      <c r="AC57" s="74">
        <f>RigheOfferte[[#This Row],[Superf.pz Mq]]*Resa*RigheOfferte[[#This Row],[MP (€kg)]]</f>
        <v>0</v>
      </c>
      <c r="AD57" s="77"/>
      <c r="AE57" s="77"/>
      <c r="AF57" s="55">
        <f>_xlfn.IFNA(VLOOKUP(RigheOfferte[[#This Row],[Tipo Protezione]],Protezioni[],2,FALSE),0)</f>
        <v>0</v>
      </c>
      <c r="AG57" s="79"/>
      <c r="AH5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57" s="71">
        <f>RigheOfferte[[#This Row],[altri costi]]+RigheOfferte[[#This Row],[costo industriale pz]]</f>
        <v>0</v>
      </c>
      <c r="AJ57" s="81">
        <f>_xlfn.IFNA(INDEX(Ricarichi[],MATCH(YEAR(RigheOfferte[[#This Row],[data]])&amp;RigheOfferte[[#This Row],[Quadrimestre]],QuCostiLav,0),MATCH(RigheOfferte[[#This Row],[Lavorazione]],CodLavorazioni,0)),0)</f>
        <v>0</v>
      </c>
      <c r="AK57" s="80">
        <f>RigheOfferte[[#This Row],[totale costi]]+(RigheOfferte[[#This Row],[totale costi]]*RigheOfferte[[#This Row],[Ricarico]])</f>
        <v>0</v>
      </c>
      <c r="AL57" s="71">
        <f>RigheOfferte[[#This Row],[Prezzo Di Vendita]]*RigheOfferte[[#This Row],[Q.ta'']]</f>
        <v>0</v>
      </c>
      <c r="AM57" s="71">
        <f>IFERROR(RigheOfferte[[#This Row],[Prezzo Di Vendita]]/RigheOfferte[[#This Row],[Superf.pz Mq]],0)</f>
        <v>0</v>
      </c>
    </row>
    <row r="58" spans="1:39" ht="14.4">
      <c r="A58" s="69" t="str">
        <f>IF(LEN('riepilogo prezzi'!$D58&amp;'riepilogo prezzi'!$E58)&gt;0,'riepilogo prezzi'!$D58&amp;"-"&amp;'riepilogo prezzi'!$E58,"")</f>
        <v/>
      </c>
      <c r="B58" s="70" t="str">
        <f>IF(LEN(MONTH(RigheOfferte[[#This Row],[data]]))=1,0&amp;MONTH(RigheOfferte[[#This Row],[data]]),MONTH(RigheOfferte[[#This Row],[data]]))</f>
        <v>01</v>
      </c>
      <c r="C58" s="70" t="str">
        <f>IF(MONTH(RigheOfferte[[#This Row],[data]])&gt;8,"03",IF(MONTH(RigheOfferte[[#This Row],[data]])&gt;4,"02","01"))</f>
        <v>01</v>
      </c>
      <c r="D58" s="71"/>
      <c r="E58" s="71"/>
      <c r="F58" s="83"/>
      <c r="G58" s="71"/>
      <c r="H58" s="69"/>
      <c r="I58" s="71"/>
      <c r="J58" s="82"/>
      <c r="K58" s="84"/>
      <c r="L58" s="84"/>
      <c r="M58" s="71"/>
      <c r="N58" s="71" t="str">
        <f>_xlfn.IFNA(VLOOKUP(RigheOfferte[[#This Row],[Lavorazione]],DescLavorazioni[],2,FALSE),"")</f>
        <v/>
      </c>
      <c r="O58" s="71"/>
      <c r="P58" s="73">
        <f>_xlfn.IFNA(VLOOKUP(RigheOfferte[[#This Row],[Cod Vel]],VeloCatena[],3,FALSE),0)</f>
        <v>0</v>
      </c>
      <c r="Q58" s="85"/>
      <c r="R58" s="85"/>
      <c r="S58" s="71"/>
      <c r="T58" s="71"/>
      <c r="U58" s="71"/>
      <c r="V58" s="74">
        <f>IF(RigheOfferte[[#This Row],[Velocità]]&gt;0,60*RigheOfferte[[#This Row],[Velocità]]/RigheOfferte[[#This Row],[passo]]*RigheOfferte[[#This Row],[nr.pezzi Telaio]],0)</f>
        <v>0</v>
      </c>
      <c r="W58" s="74"/>
      <c r="X5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5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8" s="74">
        <f>_xlfn.IFNA(INDEX(RiepilogoCostiOrari[],MATCH(YEAR(RigheOfferte[[#This Row],[data]])&amp;RigheOfferte[[#This Row],[Quadrimestre]],QuCostiLav,0),MATCH(RigheOfferte[[#This Row],[Lavorazione]],CodLavorazioni,0)),0)</f>
        <v>0</v>
      </c>
      <c r="AA58" s="76"/>
      <c r="AB58" s="71"/>
      <c r="AC58" s="74">
        <f>RigheOfferte[[#This Row],[Superf.pz Mq]]*Resa*RigheOfferte[[#This Row],[MP (€kg)]]</f>
        <v>0</v>
      </c>
      <c r="AD58" s="77"/>
      <c r="AE58" s="77"/>
      <c r="AF58" s="55">
        <f>_xlfn.IFNA(VLOOKUP(RigheOfferte[[#This Row],[Tipo Protezione]],Protezioni[],2,FALSE),0)</f>
        <v>0</v>
      </c>
      <c r="AG58" s="79"/>
      <c r="AH5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58" s="71">
        <f>RigheOfferte[[#This Row],[altri costi]]+RigheOfferte[[#This Row],[costo industriale pz]]</f>
        <v>0</v>
      </c>
      <c r="AJ58" s="81">
        <f>_xlfn.IFNA(INDEX(Ricarichi[],MATCH(YEAR(RigheOfferte[[#This Row],[data]])&amp;RigheOfferte[[#This Row],[Quadrimestre]],QuCostiLav,0),MATCH(RigheOfferte[[#This Row],[Lavorazione]],CodLavorazioni,0)),0)</f>
        <v>0</v>
      </c>
      <c r="AK58" s="80">
        <f>RigheOfferte[[#This Row],[totale costi]]+(RigheOfferte[[#This Row],[totale costi]]*RigheOfferte[[#This Row],[Ricarico]])</f>
        <v>0</v>
      </c>
      <c r="AL58" s="71">
        <f>RigheOfferte[[#This Row],[Prezzo Di Vendita]]*RigheOfferte[[#This Row],[Q.ta'']]</f>
        <v>0</v>
      </c>
      <c r="AM58" s="71">
        <f>IFERROR(RigheOfferte[[#This Row],[Prezzo Di Vendita]]/RigheOfferte[[#This Row],[Superf.pz Mq]],0)</f>
        <v>0</v>
      </c>
    </row>
    <row r="59" spans="1:39" ht="14.4">
      <c r="A59" s="69" t="str">
        <f>IF(LEN('riepilogo prezzi'!$D59&amp;'riepilogo prezzi'!$E59)&gt;0,'riepilogo prezzi'!$D59&amp;"-"&amp;'riepilogo prezzi'!$E59,"")</f>
        <v/>
      </c>
      <c r="B59" s="70" t="str">
        <f>IF(LEN(MONTH(RigheOfferte[[#This Row],[data]]))=1,0&amp;MONTH(RigheOfferte[[#This Row],[data]]),MONTH(RigheOfferte[[#This Row],[data]]))</f>
        <v>01</v>
      </c>
      <c r="C59" s="70" t="str">
        <f>IF(MONTH(RigheOfferte[[#This Row],[data]])&gt;8,"03",IF(MONTH(RigheOfferte[[#This Row],[data]])&gt;4,"02","01"))</f>
        <v>01</v>
      </c>
      <c r="D59" s="71"/>
      <c r="E59" s="71"/>
      <c r="F59" s="83"/>
      <c r="G59" s="71"/>
      <c r="H59" s="69"/>
      <c r="I59" s="71"/>
      <c r="J59" s="82"/>
      <c r="K59" s="84"/>
      <c r="L59" s="84"/>
      <c r="M59" s="71"/>
      <c r="N59" s="71" t="str">
        <f>_xlfn.IFNA(VLOOKUP(RigheOfferte[[#This Row],[Lavorazione]],DescLavorazioni[],2,FALSE),"")</f>
        <v/>
      </c>
      <c r="O59" s="71"/>
      <c r="P59" s="73">
        <f>_xlfn.IFNA(VLOOKUP(RigheOfferte[[#This Row],[Cod Vel]],VeloCatena[],3,FALSE),0)</f>
        <v>0</v>
      </c>
      <c r="Q59" s="85"/>
      <c r="R59" s="85"/>
      <c r="S59" s="71"/>
      <c r="T59" s="71"/>
      <c r="U59" s="71"/>
      <c r="V59" s="74">
        <f>IF(RigheOfferte[[#This Row],[Velocità]]&gt;0,60*RigheOfferte[[#This Row],[Velocità]]/RigheOfferte[[#This Row],[passo]]*RigheOfferte[[#This Row],[nr.pezzi Telaio]],0)</f>
        <v>0</v>
      </c>
      <c r="W59" s="74"/>
      <c r="X5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5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59" s="74">
        <f>_xlfn.IFNA(INDEX(RiepilogoCostiOrari[],MATCH(YEAR(RigheOfferte[[#This Row],[data]])&amp;RigheOfferte[[#This Row],[Quadrimestre]],QuCostiLav,0),MATCH(RigheOfferte[[#This Row],[Lavorazione]],CodLavorazioni,0)),0)</f>
        <v>0</v>
      </c>
      <c r="AA59" s="76"/>
      <c r="AB59" s="71"/>
      <c r="AC59" s="74">
        <f>RigheOfferte[[#This Row],[Superf.pz Mq]]*Resa*RigheOfferte[[#This Row],[MP (€kg)]]</f>
        <v>0</v>
      </c>
      <c r="AD59" s="77"/>
      <c r="AE59" s="77"/>
      <c r="AF59" s="55">
        <f>_xlfn.IFNA(VLOOKUP(RigheOfferte[[#This Row],[Tipo Protezione]],Protezioni[],2,FALSE),0)</f>
        <v>0</v>
      </c>
      <c r="AG59" s="79"/>
      <c r="AH5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59" s="71">
        <f>RigheOfferte[[#This Row],[altri costi]]+RigheOfferte[[#This Row],[costo industriale pz]]</f>
        <v>0</v>
      </c>
      <c r="AJ59" s="81">
        <f>_xlfn.IFNA(INDEX(Ricarichi[],MATCH(YEAR(RigheOfferte[[#This Row],[data]])&amp;RigheOfferte[[#This Row],[Quadrimestre]],QuCostiLav,0),MATCH(RigheOfferte[[#This Row],[Lavorazione]],CodLavorazioni,0)),0)</f>
        <v>0</v>
      </c>
      <c r="AK59" s="80">
        <f>RigheOfferte[[#This Row],[totale costi]]+(RigheOfferte[[#This Row],[totale costi]]*RigheOfferte[[#This Row],[Ricarico]])</f>
        <v>0</v>
      </c>
      <c r="AL59" s="71">
        <f>RigheOfferte[[#This Row],[Prezzo Di Vendita]]*RigheOfferte[[#This Row],[Q.ta'']]</f>
        <v>0</v>
      </c>
      <c r="AM59" s="71">
        <f>IFERROR(RigheOfferte[[#This Row],[Prezzo Di Vendita]]/RigheOfferte[[#This Row],[Superf.pz Mq]],0)</f>
        <v>0</v>
      </c>
    </row>
    <row r="60" spans="1:39" ht="14.4">
      <c r="A60" s="69" t="str">
        <f>IF(LEN('riepilogo prezzi'!$D60&amp;'riepilogo prezzi'!$E60)&gt;0,'riepilogo prezzi'!$D60&amp;"-"&amp;'riepilogo prezzi'!$E60,"")</f>
        <v/>
      </c>
      <c r="B60" s="70" t="str">
        <f>IF(LEN(MONTH(RigheOfferte[[#This Row],[data]]))=1,0&amp;MONTH(RigheOfferte[[#This Row],[data]]),MONTH(RigheOfferte[[#This Row],[data]]))</f>
        <v>01</v>
      </c>
      <c r="C60" s="70" t="str">
        <f>IF(MONTH(RigheOfferte[[#This Row],[data]])&gt;8,"03",IF(MONTH(RigheOfferte[[#This Row],[data]])&gt;4,"02","01"))</f>
        <v>01</v>
      </c>
      <c r="D60" s="71"/>
      <c r="E60" s="71"/>
      <c r="F60" s="83"/>
      <c r="G60" s="71"/>
      <c r="H60" s="69"/>
      <c r="I60" s="71"/>
      <c r="J60" s="82"/>
      <c r="K60" s="84"/>
      <c r="L60" s="84"/>
      <c r="M60" s="71"/>
      <c r="N60" s="71" t="str">
        <f>_xlfn.IFNA(VLOOKUP(RigheOfferte[[#This Row],[Lavorazione]],DescLavorazioni[],2,FALSE),"")</f>
        <v/>
      </c>
      <c r="O60" s="71"/>
      <c r="P60" s="73">
        <f>_xlfn.IFNA(VLOOKUP(RigheOfferte[[#This Row],[Cod Vel]],VeloCatena[],3,FALSE),0)</f>
        <v>0</v>
      </c>
      <c r="Q60" s="85"/>
      <c r="R60" s="85"/>
      <c r="S60" s="71"/>
      <c r="T60" s="71"/>
      <c r="U60" s="71"/>
      <c r="V60" s="74">
        <f>IF(RigheOfferte[[#This Row],[Velocità]]&gt;0,60*RigheOfferte[[#This Row],[Velocità]]/RigheOfferte[[#This Row],[passo]]*RigheOfferte[[#This Row],[nr.pezzi Telaio]],0)</f>
        <v>0</v>
      </c>
      <c r="W60" s="74"/>
      <c r="X6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0" s="74">
        <f>_xlfn.IFNA(INDEX(RiepilogoCostiOrari[],MATCH(YEAR(RigheOfferte[[#This Row],[data]])&amp;RigheOfferte[[#This Row],[Quadrimestre]],QuCostiLav,0),MATCH(RigheOfferte[[#This Row],[Lavorazione]],CodLavorazioni,0)),0)</f>
        <v>0</v>
      </c>
      <c r="AA60" s="76"/>
      <c r="AB60" s="71"/>
      <c r="AC60" s="74">
        <f>RigheOfferte[[#This Row],[Superf.pz Mq]]*Resa*RigheOfferte[[#This Row],[MP (€kg)]]</f>
        <v>0</v>
      </c>
      <c r="AD60" s="77"/>
      <c r="AE60" s="77"/>
      <c r="AF60" s="55">
        <f>_xlfn.IFNA(VLOOKUP(RigheOfferte[[#This Row],[Tipo Protezione]],Protezioni[],2,FALSE),0)</f>
        <v>0</v>
      </c>
      <c r="AG60" s="79"/>
      <c r="AH6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0" s="71">
        <f>RigheOfferte[[#This Row],[altri costi]]+RigheOfferte[[#This Row],[costo industriale pz]]</f>
        <v>0</v>
      </c>
      <c r="AJ60" s="81">
        <f>_xlfn.IFNA(INDEX(Ricarichi[],MATCH(YEAR(RigheOfferte[[#This Row],[data]])&amp;RigheOfferte[[#This Row],[Quadrimestre]],QuCostiLav,0),MATCH(RigheOfferte[[#This Row],[Lavorazione]],CodLavorazioni,0)),0)</f>
        <v>0</v>
      </c>
      <c r="AK60" s="80">
        <f>RigheOfferte[[#This Row],[totale costi]]+(RigheOfferte[[#This Row],[totale costi]]*RigheOfferte[[#This Row],[Ricarico]])</f>
        <v>0</v>
      </c>
      <c r="AL60" s="71">
        <f>RigheOfferte[[#This Row],[Prezzo Di Vendita]]*RigheOfferte[[#This Row],[Q.ta'']]</f>
        <v>0</v>
      </c>
      <c r="AM60" s="71">
        <f>IFERROR(RigheOfferte[[#This Row],[Prezzo Di Vendita]]/RigheOfferte[[#This Row],[Superf.pz Mq]],0)</f>
        <v>0</v>
      </c>
    </row>
    <row r="61" spans="1:39" ht="14.4">
      <c r="A61" s="69" t="str">
        <f>IF(LEN('riepilogo prezzi'!$D61&amp;'riepilogo prezzi'!$E61)&gt;0,'riepilogo prezzi'!$D61&amp;"-"&amp;'riepilogo prezzi'!$E61,"")</f>
        <v/>
      </c>
      <c r="B61" s="70" t="str">
        <f>IF(LEN(MONTH(RigheOfferte[[#This Row],[data]]))=1,0&amp;MONTH(RigheOfferte[[#This Row],[data]]),MONTH(RigheOfferte[[#This Row],[data]]))</f>
        <v>01</v>
      </c>
      <c r="C61" s="70" t="str">
        <f>IF(MONTH(RigheOfferte[[#This Row],[data]])&gt;8,"03",IF(MONTH(RigheOfferte[[#This Row],[data]])&gt;4,"02","01"))</f>
        <v>01</v>
      </c>
      <c r="D61" s="71"/>
      <c r="E61" s="71"/>
      <c r="F61" s="83"/>
      <c r="G61" s="71"/>
      <c r="H61" s="69"/>
      <c r="I61" s="71"/>
      <c r="J61" s="82"/>
      <c r="K61" s="84"/>
      <c r="L61" s="84"/>
      <c r="M61" s="71"/>
      <c r="N61" s="71" t="str">
        <f>_xlfn.IFNA(VLOOKUP(RigheOfferte[[#This Row],[Lavorazione]],DescLavorazioni[],2,FALSE),"")</f>
        <v/>
      </c>
      <c r="O61" s="71"/>
      <c r="P61" s="73">
        <f>_xlfn.IFNA(VLOOKUP(RigheOfferte[[#This Row],[Cod Vel]],VeloCatena[],3,FALSE),0)</f>
        <v>0</v>
      </c>
      <c r="Q61" s="85"/>
      <c r="R61" s="85"/>
      <c r="S61" s="71"/>
      <c r="T61" s="71"/>
      <c r="U61" s="71"/>
      <c r="V61" s="74">
        <f>IF(RigheOfferte[[#This Row],[Velocità]]&gt;0,60*RigheOfferte[[#This Row],[Velocità]]/RigheOfferte[[#This Row],[passo]]*RigheOfferte[[#This Row],[nr.pezzi Telaio]],0)</f>
        <v>0</v>
      </c>
      <c r="W61" s="74"/>
      <c r="X6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1" s="74">
        <f>_xlfn.IFNA(INDEX(RiepilogoCostiOrari[],MATCH(YEAR(RigheOfferte[[#This Row],[data]])&amp;RigheOfferte[[#This Row],[Quadrimestre]],QuCostiLav,0),MATCH(RigheOfferte[[#This Row],[Lavorazione]],CodLavorazioni,0)),0)</f>
        <v>0</v>
      </c>
      <c r="AA61" s="76"/>
      <c r="AB61" s="71"/>
      <c r="AC61" s="74">
        <f>RigheOfferte[[#This Row],[Superf.pz Mq]]*Resa*RigheOfferte[[#This Row],[MP (€kg)]]</f>
        <v>0</v>
      </c>
      <c r="AD61" s="77"/>
      <c r="AE61" s="77"/>
      <c r="AF61" s="55">
        <f>_xlfn.IFNA(VLOOKUP(RigheOfferte[[#This Row],[Tipo Protezione]],Protezioni[],2,FALSE),0)</f>
        <v>0</v>
      </c>
      <c r="AG61" s="79"/>
      <c r="AH6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1" s="71">
        <f>RigheOfferte[[#This Row],[altri costi]]+RigheOfferte[[#This Row],[costo industriale pz]]</f>
        <v>0</v>
      </c>
      <c r="AJ61" s="81">
        <f>_xlfn.IFNA(INDEX(Ricarichi[],MATCH(YEAR(RigheOfferte[[#This Row],[data]])&amp;RigheOfferte[[#This Row],[Quadrimestre]],QuCostiLav,0),MATCH(RigheOfferte[[#This Row],[Lavorazione]],CodLavorazioni,0)),0)</f>
        <v>0</v>
      </c>
      <c r="AK61" s="80">
        <f>RigheOfferte[[#This Row],[totale costi]]+(RigheOfferte[[#This Row],[totale costi]]*RigheOfferte[[#This Row],[Ricarico]])</f>
        <v>0</v>
      </c>
      <c r="AL61" s="71">
        <f>RigheOfferte[[#This Row],[Prezzo Di Vendita]]*RigheOfferte[[#This Row],[Q.ta'']]</f>
        <v>0</v>
      </c>
      <c r="AM61" s="71">
        <f>IFERROR(RigheOfferte[[#This Row],[Prezzo Di Vendita]]/RigheOfferte[[#This Row],[Superf.pz Mq]],0)</f>
        <v>0</v>
      </c>
    </row>
    <row r="62" spans="1:39" ht="14.4">
      <c r="A62" s="69" t="str">
        <f>IF(LEN('riepilogo prezzi'!$D62&amp;'riepilogo prezzi'!$E62)&gt;0,'riepilogo prezzi'!$D62&amp;"-"&amp;'riepilogo prezzi'!$E62,"")</f>
        <v/>
      </c>
      <c r="B62" s="70" t="str">
        <f>IF(LEN(MONTH(RigheOfferte[[#This Row],[data]]))=1,0&amp;MONTH(RigheOfferte[[#This Row],[data]]),MONTH(RigheOfferte[[#This Row],[data]]))</f>
        <v>01</v>
      </c>
      <c r="C62" s="70" t="str">
        <f>IF(MONTH(RigheOfferte[[#This Row],[data]])&gt;8,"03",IF(MONTH(RigheOfferte[[#This Row],[data]])&gt;4,"02","01"))</f>
        <v>01</v>
      </c>
      <c r="D62" s="71"/>
      <c r="E62" s="71"/>
      <c r="F62" s="83"/>
      <c r="G62" s="71"/>
      <c r="H62" s="69"/>
      <c r="I62" s="71"/>
      <c r="J62" s="82"/>
      <c r="K62" s="84"/>
      <c r="L62" s="84"/>
      <c r="M62" s="71"/>
      <c r="N62" s="71" t="str">
        <f>_xlfn.IFNA(VLOOKUP(RigheOfferte[[#This Row],[Lavorazione]],DescLavorazioni[],2,FALSE),"")</f>
        <v/>
      </c>
      <c r="O62" s="71"/>
      <c r="P62" s="73">
        <f>_xlfn.IFNA(VLOOKUP(RigheOfferte[[#This Row],[Cod Vel]],VeloCatena[],3,FALSE),0)</f>
        <v>0</v>
      </c>
      <c r="Q62" s="85"/>
      <c r="R62" s="85"/>
      <c r="S62" s="71"/>
      <c r="T62" s="71"/>
      <c r="U62" s="71"/>
      <c r="V62" s="74">
        <f>IF(RigheOfferte[[#This Row],[Velocità]]&gt;0,60*RigheOfferte[[#This Row],[Velocità]]/RigheOfferte[[#This Row],[passo]]*RigheOfferte[[#This Row],[nr.pezzi Telaio]],0)</f>
        <v>0</v>
      </c>
      <c r="W62" s="74"/>
      <c r="X6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2" s="74">
        <f>_xlfn.IFNA(INDEX(RiepilogoCostiOrari[],MATCH(YEAR(RigheOfferte[[#This Row],[data]])&amp;RigheOfferte[[#This Row],[Quadrimestre]],QuCostiLav,0),MATCH(RigheOfferte[[#This Row],[Lavorazione]],CodLavorazioni,0)),0)</f>
        <v>0</v>
      </c>
      <c r="AA62" s="76"/>
      <c r="AB62" s="71"/>
      <c r="AC62" s="74">
        <f>RigheOfferte[[#This Row],[Superf.pz Mq]]*Resa*RigheOfferte[[#This Row],[MP (€kg)]]</f>
        <v>0</v>
      </c>
      <c r="AD62" s="77"/>
      <c r="AE62" s="77"/>
      <c r="AF62" s="55">
        <f>_xlfn.IFNA(VLOOKUP(RigheOfferte[[#This Row],[Tipo Protezione]],Protezioni[],2,FALSE),0)</f>
        <v>0</v>
      </c>
      <c r="AG62" s="79"/>
      <c r="AH6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2" s="71">
        <f>RigheOfferte[[#This Row],[altri costi]]+RigheOfferte[[#This Row],[costo industriale pz]]</f>
        <v>0</v>
      </c>
      <c r="AJ62" s="81">
        <f>_xlfn.IFNA(INDEX(Ricarichi[],MATCH(YEAR(RigheOfferte[[#This Row],[data]])&amp;RigheOfferte[[#This Row],[Quadrimestre]],QuCostiLav,0),MATCH(RigheOfferte[[#This Row],[Lavorazione]],CodLavorazioni,0)),0)</f>
        <v>0</v>
      </c>
      <c r="AK62" s="80">
        <f>RigheOfferte[[#This Row],[totale costi]]+(RigheOfferte[[#This Row],[totale costi]]*RigheOfferte[[#This Row],[Ricarico]])</f>
        <v>0</v>
      </c>
      <c r="AL62" s="71">
        <f>RigheOfferte[[#This Row],[Prezzo Di Vendita]]*RigheOfferte[[#This Row],[Q.ta'']]</f>
        <v>0</v>
      </c>
      <c r="AM62" s="71">
        <f>IFERROR(RigheOfferte[[#This Row],[Prezzo Di Vendita]]/RigheOfferte[[#This Row],[Superf.pz Mq]],0)</f>
        <v>0</v>
      </c>
    </row>
    <row r="63" spans="1:39" ht="14.4">
      <c r="A63" s="69" t="str">
        <f>IF(LEN('riepilogo prezzi'!$D63&amp;'riepilogo prezzi'!$E63)&gt;0,'riepilogo prezzi'!$D63&amp;"-"&amp;'riepilogo prezzi'!$E63,"")</f>
        <v/>
      </c>
      <c r="B63" s="70" t="str">
        <f>IF(LEN(MONTH(RigheOfferte[[#This Row],[data]]))=1,0&amp;MONTH(RigheOfferte[[#This Row],[data]]),MONTH(RigheOfferte[[#This Row],[data]]))</f>
        <v>01</v>
      </c>
      <c r="C63" s="70" t="str">
        <f>IF(MONTH(RigheOfferte[[#This Row],[data]])&gt;8,"03",IF(MONTH(RigheOfferte[[#This Row],[data]])&gt;4,"02","01"))</f>
        <v>01</v>
      </c>
      <c r="D63" s="71"/>
      <c r="E63" s="71"/>
      <c r="F63" s="83"/>
      <c r="G63" s="71"/>
      <c r="H63" s="69"/>
      <c r="I63" s="71"/>
      <c r="J63" s="82"/>
      <c r="K63" s="84"/>
      <c r="L63" s="84"/>
      <c r="M63" s="71"/>
      <c r="N63" s="71" t="str">
        <f>_xlfn.IFNA(VLOOKUP(RigheOfferte[[#This Row],[Lavorazione]],DescLavorazioni[],2,FALSE),"")</f>
        <v/>
      </c>
      <c r="O63" s="71"/>
      <c r="P63" s="73">
        <f>_xlfn.IFNA(VLOOKUP(RigheOfferte[[#This Row],[Cod Vel]],VeloCatena[],3,FALSE),0)</f>
        <v>0</v>
      </c>
      <c r="Q63" s="85"/>
      <c r="R63" s="85"/>
      <c r="S63" s="71"/>
      <c r="T63" s="71"/>
      <c r="U63" s="71"/>
      <c r="V63" s="74">
        <f>IF(RigheOfferte[[#This Row],[Velocità]]&gt;0,60*RigheOfferte[[#This Row],[Velocità]]/RigheOfferte[[#This Row],[passo]]*RigheOfferte[[#This Row],[nr.pezzi Telaio]],0)</f>
        <v>0</v>
      </c>
      <c r="W63" s="74"/>
      <c r="X6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3" s="74">
        <f>_xlfn.IFNA(INDEX(RiepilogoCostiOrari[],MATCH(YEAR(RigheOfferte[[#This Row],[data]])&amp;RigheOfferte[[#This Row],[Quadrimestre]],QuCostiLav,0),MATCH(RigheOfferte[[#This Row],[Lavorazione]],CodLavorazioni,0)),0)</f>
        <v>0</v>
      </c>
      <c r="AA63" s="76"/>
      <c r="AB63" s="71"/>
      <c r="AC63" s="74">
        <f>RigheOfferte[[#This Row],[Superf.pz Mq]]*Resa*RigheOfferte[[#This Row],[MP (€kg)]]</f>
        <v>0</v>
      </c>
      <c r="AD63" s="77"/>
      <c r="AE63" s="77"/>
      <c r="AF63" s="55">
        <f>_xlfn.IFNA(VLOOKUP(RigheOfferte[[#This Row],[Tipo Protezione]],Protezioni[],2,FALSE),0)</f>
        <v>0</v>
      </c>
      <c r="AG63" s="79"/>
      <c r="AH6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3" s="71">
        <f>RigheOfferte[[#This Row],[altri costi]]+RigheOfferte[[#This Row],[costo industriale pz]]</f>
        <v>0</v>
      </c>
      <c r="AJ63" s="81">
        <f>_xlfn.IFNA(INDEX(Ricarichi[],MATCH(YEAR(RigheOfferte[[#This Row],[data]])&amp;RigheOfferte[[#This Row],[Quadrimestre]],QuCostiLav,0),MATCH(RigheOfferte[[#This Row],[Lavorazione]],CodLavorazioni,0)),0)</f>
        <v>0</v>
      </c>
      <c r="AK63" s="80">
        <f>RigheOfferte[[#This Row],[totale costi]]+(RigheOfferte[[#This Row],[totale costi]]*RigheOfferte[[#This Row],[Ricarico]])</f>
        <v>0</v>
      </c>
      <c r="AL63" s="71">
        <f>RigheOfferte[[#This Row],[Prezzo Di Vendita]]*RigheOfferte[[#This Row],[Q.ta'']]</f>
        <v>0</v>
      </c>
      <c r="AM63" s="71">
        <f>IFERROR(RigheOfferte[[#This Row],[Prezzo Di Vendita]]/RigheOfferte[[#This Row],[Superf.pz Mq]],0)</f>
        <v>0</v>
      </c>
    </row>
    <row r="64" spans="1:39" ht="14.4">
      <c r="A64" s="69" t="str">
        <f>IF(LEN('riepilogo prezzi'!$D64&amp;'riepilogo prezzi'!$E64)&gt;0,'riepilogo prezzi'!$D64&amp;"-"&amp;'riepilogo prezzi'!$E64,"")</f>
        <v/>
      </c>
      <c r="B64" s="70" t="str">
        <f>IF(LEN(MONTH(RigheOfferte[[#This Row],[data]]))=1,0&amp;MONTH(RigheOfferte[[#This Row],[data]]),MONTH(RigheOfferte[[#This Row],[data]]))</f>
        <v>01</v>
      </c>
      <c r="C64" s="70" t="str">
        <f>IF(MONTH(RigheOfferte[[#This Row],[data]])&gt;8,"03",IF(MONTH(RigheOfferte[[#This Row],[data]])&gt;4,"02","01"))</f>
        <v>01</v>
      </c>
      <c r="D64" s="71"/>
      <c r="E64" s="71"/>
      <c r="F64" s="83"/>
      <c r="G64" s="71"/>
      <c r="H64" s="69"/>
      <c r="I64" s="71"/>
      <c r="J64" s="82"/>
      <c r="K64" s="84"/>
      <c r="L64" s="84"/>
      <c r="M64" s="71"/>
      <c r="N64" s="71" t="str">
        <f>_xlfn.IFNA(VLOOKUP(RigheOfferte[[#This Row],[Lavorazione]],DescLavorazioni[],2,FALSE),"")</f>
        <v/>
      </c>
      <c r="O64" s="71"/>
      <c r="P64" s="73">
        <f>_xlfn.IFNA(VLOOKUP(RigheOfferte[[#This Row],[Cod Vel]],VeloCatena[],3,FALSE),0)</f>
        <v>0</v>
      </c>
      <c r="Q64" s="85"/>
      <c r="R64" s="85"/>
      <c r="S64" s="71"/>
      <c r="T64" s="71"/>
      <c r="U64" s="71"/>
      <c r="V64" s="74">
        <f>IF(RigheOfferte[[#This Row],[Velocità]]&gt;0,60*RigheOfferte[[#This Row],[Velocità]]/RigheOfferte[[#This Row],[passo]]*RigheOfferte[[#This Row],[nr.pezzi Telaio]],0)</f>
        <v>0</v>
      </c>
      <c r="W64" s="74"/>
      <c r="X6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4" s="74">
        <f>_xlfn.IFNA(INDEX(RiepilogoCostiOrari[],MATCH(YEAR(RigheOfferte[[#This Row],[data]])&amp;RigheOfferte[[#This Row],[Quadrimestre]],QuCostiLav,0),MATCH(RigheOfferte[[#This Row],[Lavorazione]],CodLavorazioni,0)),0)</f>
        <v>0</v>
      </c>
      <c r="AA64" s="76"/>
      <c r="AB64" s="71"/>
      <c r="AC64" s="74">
        <f>RigheOfferte[[#This Row],[Superf.pz Mq]]*Resa*RigheOfferte[[#This Row],[MP (€kg)]]</f>
        <v>0</v>
      </c>
      <c r="AD64" s="77"/>
      <c r="AE64" s="77"/>
      <c r="AF64" s="55">
        <f>_xlfn.IFNA(VLOOKUP(RigheOfferte[[#This Row],[Tipo Protezione]],Protezioni[],2,FALSE),0)</f>
        <v>0</v>
      </c>
      <c r="AG64" s="79"/>
      <c r="AH6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4" s="71">
        <f>RigheOfferte[[#This Row],[altri costi]]+RigheOfferte[[#This Row],[costo industriale pz]]</f>
        <v>0</v>
      </c>
      <c r="AJ64" s="81">
        <f>_xlfn.IFNA(INDEX(Ricarichi[],MATCH(YEAR(RigheOfferte[[#This Row],[data]])&amp;RigheOfferte[[#This Row],[Quadrimestre]],QuCostiLav,0),MATCH(RigheOfferte[[#This Row],[Lavorazione]],CodLavorazioni,0)),0)</f>
        <v>0</v>
      </c>
      <c r="AK64" s="80">
        <f>RigheOfferte[[#This Row],[totale costi]]+(RigheOfferte[[#This Row],[totale costi]]*RigheOfferte[[#This Row],[Ricarico]])</f>
        <v>0</v>
      </c>
      <c r="AL64" s="71">
        <f>RigheOfferte[[#This Row],[Prezzo Di Vendita]]*RigheOfferte[[#This Row],[Q.ta'']]</f>
        <v>0</v>
      </c>
      <c r="AM64" s="71">
        <f>IFERROR(RigheOfferte[[#This Row],[Prezzo Di Vendita]]/RigheOfferte[[#This Row],[Superf.pz Mq]],0)</f>
        <v>0</v>
      </c>
    </row>
    <row r="65" spans="1:39" ht="14.4">
      <c r="A65" s="69" t="str">
        <f>IF(LEN('riepilogo prezzi'!$D65&amp;'riepilogo prezzi'!$E65)&gt;0,'riepilogo prezzi'!$D65&amp;"-"&amp;'riepilogo prezzi'!$E65,"")</f>
        <v/>
      </c>
      <c r="B65" s="70" t="str">
        <f>IF(LEN(MONTH(RigheOfferte[[#This Row],[data]]))=1,0&amp;MONTH(RigheOfferte[[#This Row],[data]]),MONTH(RigheOfferte[[#This Row],[data]]))</f>
        <v>01</v>
      </c>
      <c r="C65" s="70" t="str">
        <f>IF(MONTH(RigheOfferte[[#This Row],[data]])&gt;8,"03",IF(MONTH(RigheOfferte[[#This Row],[data]])&gt;4,"02","01"))</f>
        <v>01</v>
      </c>
      <c r="D65" s="71"/>
      <c r="E65" s="71"/>
      <c r="F65" s="83"/>
      <c r="G65" s="71"/>
      <c r="H65" s="69"/>
      <c r="I65" s="71"/>
      <c r="J65" s="82"/>
      <c r="K65"/>
      <c r="L65"/>
      <c r="M65" s="71"/>
      <c r="N65" s="71" t="str">
        <f>_xlfn.IFNA(VLOOKUP(RigheOfferte[[#This Row],[Lavorazione]],DescLavorazioni[],2,FALSE),"")</f>
        <v/>
      </c>
      <c r="O65" s="71"/>
      <c r="P65" s="73">
        <f>_xlfn.IFNA(VLOOKUP(RigheOfferte[[#This Row],[Cod Vel]],VeloCatena[],3,FALSE),0)</f>
        <v>0</v>
      </c>
      <c r="Q65" s="85"/>
      <c r="R65" s="85"/>
      <c r="S65" s="71"/>
      <c r="T65" s="71"/>
      <c r="U65" s="71"/>
      <c r="V65" s="74">
        <f>IF(RigheOfferte[[#This Row],[Velocità]]&gt;0,60*RigheOfferte[[#This Row],[Velocità]]/RigheOfferte[[#This Row],[passo]]*RigheOfferte[[#This Row],[nr.pezzi Telaio]],0)</f>
        <v>0</v>
      </c>
      <c r="W65" s="74"/>
      <c r="X6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5" s="74">
        <f>_xlfn.IFNA(INDEX(RiepilogoCostiOrari[],MATCH(YEAR(RigheOfferte[[#This Row],[data]])&amp;RigheOfferte[[#This Row],[Quadrimestre]],QuCostiLav,0),MATCH(RigheOfferte[[#This Row],[Lavorazione]],CodLavorazioni,0)),0)</f>
        <v>0</v>
      </c>
      <c r="AA65" s="76"/>
      <c r="AB65" s="71"/>
      <c r="AC65" s="74">
        <f>RigheOfferte[[#This Row],[Superf.pz Mq]]*Resa*RigheOfferte[[#This Row],[MP (€kg)]]</f>
        <v>0</v>
      </c>
      <c r="AD65" s="77"/>
      <c r="AE65" s="77"/>
      <c r="AF65" s="55">
        <f>_xlfn.IFNA(VLOOKUP(RigheOfferte[[#This Row],[Tipo Protezione]],Protezioni[],2,FALSE),0)</f>
        <v>0</v>
      </c>
      <c r="AG65" s="79"/>
      <c r="AH6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5" s="71">
        <f>RigheOfferte[[#This Row],[altri costi]]+RigheOfferte[[#This Row],[costo industriale pz]]</f>
        <v>0</v>
      </c>
      <c r="AJ65" s="81">
        <f>_xlfn.IFNA(INDEX(Ricarichi[],MATCH(YEAR(RigheOfferte[[#This Row],[data]])&amp;RigheOfferte[[#This Row],[Quadrimestre]],QuCostiLav,0),MATCH(RigheOfferte[[#This Row],[Lavorazione]],CodLavorazioni,0)),0)</f>
        <v>0</v>
      </c>
      <c r="AK65" s="80">
        <f>RigheOfferte[[#This Row],[totale costi]]+(RigheOfferte[[#This Row],[totale costi]]*RigheOfferte[[#This Row],[Ricarico]])</f>
        <v>0</v>
      </c>
      <c r="AL65" s="71">
        <f>RigheOfferte[[#This Row],[Prezzo Di Vendita]]*RigheOfferte[[#This Row],[Q.ta'']]</f>
        <v>0</v>
      </c>
      <c r="AM65" s="71">
        <f>IFERROR(RigheOfferte[[#This Row],[Prezzo Di Vendita]]/RigheOfferte[[#This Row],[Superf.pz Mq]],0)</f>
        <v>0</v>
      </c>
    </row>
    <row r="66" spans="1:39" ht="14.4">
      <c r="A66" s="69" t="str">
        <f>IF(LEN('riepilogo prezzi'!$D66&amp;'riepilogo prezzi'!$E66)&gt;0,'riepilogo prezzi'!$D66&amp;"-"&amp;'riepilogo prezzi'!$E66,"")</f>
        <v/>
      </c>
      <c r="B66" s="70" t="str">
        <f>IF(LEN(MONTH(RigheOfferte[[#This Row],[data]]))=1,0&amp;MONTH(RigheOfferte[[#This Row],[data]]),MONTH(RigheOfferte[[#This Row],[data]]))</f>
        <v>01</v>
      </c>
      <c r="C66" s="70" t="str">
        <f>IF(MONTH(RigheOfferte[[#This Row],[data]])&gt;8,"03",IF(MONTH(RigheOfferte[[#This Row],[data]])&gt;4,"02","01"))</f>
        <v>01</v>
      </c>
      <c r="D66" s="71"/>
      <c r="E66" s="71"/>
      <c r="F66" s="83"/>
      <c r="G66" s="71"/>
      <c r="H66" s="69"/>
      <c r="I66" s="71"/>
      <c r="J66" s="82"/>
      <c r="K66" s="84"/>
      <c r="L66" s="84"/>
      <c r="M66" s="71"/>
      <c r="N66" s="71" t="str">
        <f>_xlfn.IFNA(VLOOKUP(RigheOfferte[[#This Row],[Lavorazione]],DescLavorazioni[],2,FALSE),"")</f>
        <v/>
      </c>
      <c r="O66" s="71"/>
      <c r="P66" s="73">
        <f>_xlfn.IFNA(VLOOKUP(RigheOfferte[[#This Row],[Cod Vel]],VeloCatena[],3,FALSE),0)</f>
        <v>0</v>
      </c>
      <c r="Q66" s="85"/>
      <c r="R66" s="85"/>
      <c r="S66" s="71"/>
      <c r="T66" s="71"/>
      <c r="U66" s="71"/>
      <c r="V66" s="74">
        <f>IF(RigheOfferte[[#This Row],[Velocità]]&gt;0,60*RigheOfferte[[#This Row],[Velocità]]/RigheOfferte[[#This Row],[passo]]*RigheOfferte[[#This Row],[nr.pezzi Telaio]],0)</f>
        <v>0</v>
      </c>
      <c r="W66" s="74"/>
      <c r="X6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6" s="74">
        <f>_xlfn.IFNA(INDEX(RiepilogoCostiOrari[],MATCH(YEAR(RigheOfferte[[#This Row],[data]])&amp;RigheOfferte[[#This Row],[Quadrimestre]],QuCostiLav,0),MATCH(RigheOfferte[[#This Row],[Lavorazione]],CodLavorazioni,0)),0)</f>
        <v>0</v>
      </c>
      <c r="AA66" s="76"/>
      <c r="AB66" s="71"/>
      <c r="AC66" s="74">
        <f>RigheOfferte[[#This Row],[Superf.pz Mq]]*Resa*RigheOfferte[[#This Row],[MP (€kg)]]</f>
        <v>0</v>
      </c>
      <c r="AD66" s="77"/>
      <c r="AE66" s="77"/>
      <c r="AF66" s="55">
        <f>_xlfn.IFNA(VLOOKUP(RigheOfferte[[#This Row],[Tipo Protezione]],Protezioni[],2,FALSE),0)</f>
        <v>0</v>
      </c>
      <c r="AG66" s="79"/>
      <c r="AH6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6" s="71">
        <f>RigheOfferte[[#This Row],[altri costi]]+RigheOfferte[[#This Row],[costo industriale pz]]</f>
        <v>0</v>
      </c>
      <c r="AJ66" s="81">
        <f>_xlfn.IFNA(INDEX(Ricarichi[],MATCH(YEAR(RigheOfferte[[#This Row],[data]])&amp;RigheOfferte[[#This Row],[Quadrimestre]],QuCostiLav,0),MATCH(RigheOfferte[[#This Row],[Lavorazione]],CodLavorazioni,0)),0)</f>
        <v>0</v>
      </c>
      <c r="AK66" s="80">
        <f>RigheOfferte[[#This Row],[totale costi]]+(RigheOfferte[[#This Row],[totale costi]]*RigheOfferte[[#This Row],[Ricarico]])</f>
        <v>0</v>
      </c>
      <c r="AL66" s="71">
        <f>RigheOfferte[[#This Row],[Prezzo Di Vendita]]*RigheOfferte[[#This Row],[Q.ta'']]</f>
        <v>0</v>
      </c>
      <c r="AM66" s="71">
        <f>IFERROR(RigheOfferte[[#This Row],[Prezzo Di Vendita]]/RigheOfferte[[#This Row],[Superf.pz Mq]],0)</f>
        <v>0</v>
      </c>
    </row>
    <row r="67" spans="1:39" ht="14.4">
      <c r="A67" s="69" t="str">
        <f>IF(LEN('riepilogo prezzi'!$D67&amp;'riepilogo prezzi'!$E67)&gt;0,'riepilogo prezzi'!$D67&amp;"-"&amp;'riepilogo prezzi'!$E67,"")</f>
        <v/>
      </c>
      <c r="B67" s="70" t="str">
        <f>IF(LEN(MONTH(RigheOfferte[[#This Row],[data]]))=1,0&amp;MONTH(RigheOfferte[[#This Row],[data]]),MONTH(RigheOfferte[[#This Row],[data]]))</f>
        <v>01</v>
      </c>
      <c r="C67" s="70" t="str">
        <f>IF(MONTH(RigheOfferte[[#This Row],[data]])&gt;8,"03",IF(MONTH(RigheOfferte[[#This Row],[data]])&gt;4,"02","01"))</f>
        <v>01</v>
      </c>
      <c r="D67" s="71"/>
      <c r="E67" s="71"/>
      <c r="F67" s="83"/>
      <c r="G67" s="71"/>
      <c r="H67" s="69"/>
      <c r="I67" s="71"/>
      <c r="J67" s="82"/>
      <c r="K67" s="84"/>
      <c r="L67" s="84"/>
      <c r="M67" s="71"/>
      <c r="N67" s="71" t="str">
        <f>_xlfn.IFNA(VLOOKUP(RigheOfferte[[#This Row],[Lavorazione]],DescLavorazioni[],2,FALSE),"")</f>
        <v/>
      </c>
      <c r="O67" s="71"/>
      <c r="P67" s="73">
        <f>_xlfn.IFNA(VLOOKUP(RigheOfferte[[#This Row],[Cod Vel]],VeloCatena[],3,FALSE),0)</f>
        <v>0</v>
      </c>
      <c r="Q67" s="85"/>
      <c r="R67" s="85"/>
      <c r="S67" s="71"/>
      <c r="T67" s="71"/>
      <c r="U67" s="71"/>
      <c r="V67" s="74">
        <f>IF(RigheOfferte[[#This Row],[Velocità]]&gt;0,60*RigheOfferte[[#This Row],[Velocità]]/RigheOfferte[[#This Row],[passo]]*RigheOfferte[[#This Row],[nr.pezzi Telaio]],0)</f>
        <v>0</v>
      </c>
      <c r="W67" s="74"/>
      <c r="X6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7" s="74">
        <f>_xlfn.IFNA(INDEX(RiepilogoCostiOrari[],MATCH(YEAR(RigheOfferte[[#This Row],[data]])&amp;RigheOfferte[[#This Row],[Quadrimestre]],QuCostiLav,0),MATCH(RigheOfferte[[#This Row],[Lavorazione]],CodLavorazioni,0)),0)</f>
        <v>0</v>
      </c>
      <c r="AA67" s="76"/>
      <c r="AB67" s="71"/>
      <c r="AC67" s="74">
        <f>RigheOfferte[[#This Row],[Superf.pz Mq]]*Resa*RigheOfferte[[#This Row],[MP (€kg)]]</f>
        <v>0</v>
      </c>
      <c r="AD67" s="77"/>
      <c r="AE67" s="77"/>
      <c r="AF67" s="55">
        <f>_xlfn.IFNA(VLOOKUP(RigheOfferte[[#This Row],[Tipo Protezione]],Protezioni[],2,FALSE),0)</f>
        <v>0</v>
      </c>
      <c r="AG67" s="79"/>
      <c r="AH6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7" s="71">
        <f>RigheOfferte[[#This Row],[altri costi]]+RigheOfferte[[#This Row],[costo industriale pz]]</f>
        <v>0</v>
      </c>
      <c r="AJ67" s="81">
        <f>_xlfn.IFNA(INDEX(Ricarichi[],MATCH(YEAR(RigheOfferte[[#This Row],[data]])&amp;RigheOfferte[[#This Row],[Quadrimestre]],QuCostiLav,0),MATCH(RigheOfferte[[#This Row],[Lavorazione]],CodLavorazioni,0)),0)</f>
        <v>0</v>
      </c>
      <c r="AK67" s="80">
        <f>RigheOfferte[[#This Row],[totale costi]]+(RigheOfferte[[#This Row],[totale costi]]*RigheOfferte[[#This Row],[Ricarico]])</f>
        <v>0</v>
      </c>
      <c r="AL67" s="71">
        <f>RigheOfferte[[#This Row],[Prezzo Di Vendita]]*RigheOfferte[[#This Row],[Q.ta'']]</f>
        <v>0</v>
      </c>
      <c r="AM67" s="71">
        <f>IFERROR(RigheOfferte[[#This Row],[Prezzo Di Vendita]]/RigheOfferte[[#This Row],[Superf.pz Mq]],0)</f>
        <v>0</v>
      </c>
    </row>
    <row r="68" spans="1:39" ht="14.4">
      <c r="A68" s="69" t="str">
        <f>IF(LEN('riepilogo prezzi'!$D68&amp;'riepilogo prezzi'!$E68)&gt;0,'riepilogo prezzi'!$D68&amp;"-"&amp;'riepilogo prezzi'!$E68,"")</f>
        <v/>
      </c>
      <c r="B68" s="70" t="str">
        <f>IF(LEN(MONTH(RigheOfferte[[#This Row],[data]]))=1,0&amp;MONTH(RigheOfferte[[#This Row],[data]]),MONTH(RigheOfferte[[#This Row],[data]]))</f>
        <v>01</v>
      </c>
      <c r="C68" s="70" t="str">
        <f>IF(MONTH(RigheOfferte[[#This Row],[data]])&gt;8,"03",IF(MONTH(RigheOfferte[[#This Row],[data]])&gt;4,"02","01"))</f>
        <v>01</v>
      </c>
      <c r="D68" s="71"/>
      <c r="E68" s="71"/>
      <c r="F68" s="83"/>
      <c r="G68" s="71"/>
      <c r="H68" s="69"/>
      <c r="I68" s="71"/>
      <c r="J68" s="82"/>
      <c r="K68" s="84"/>
      <c r="L68" s="84"/>
      <c r="M68" s="71"/>
      <c r="N68" s="71" t="str">
        <f>_xlfn.IFNA(VLOOKUP(RigheOfferte[[#This Row],[Lavorazione]],DescLavorazioni[],2,FALSE),"")</f>
        <v/>
      </c>
      <c r="O68" s="71"/>
      <c r="P68" s="73">
        <f>_xlfn.IFNA(VLOOKUP(RigheOfferte[[#This Row],[Cod Vel]],VeloCatena[],3,FALSE),0)</f>
        <v>0</v>
      </c>
      <c r="Q68" s="85"/>
      <c r="R68" s="85"/>
      <c r="S68" s="71"/>
      <c r="T68" s="71"/>
      <c r="U68" s="71"/>
      <c r="V68" s="74">
        <f>IF(RigheOfferte[[#This Row],[Velocità]]&gt;0,60*RigheOfferte[[#This Row],[Velocità]]/RigheOfferte[[#This Row],[passo]]*RigheOfferte[[#This Row],[nr.pezzi Telaio]],0)</f>
        <v>0</v>
      </c>
      <c r="W68" s="74"/>
      <c r="X6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8" s="74">
        <f>_xlfn.IFNA(INDEX(RiepilogoCostiOrari[],MATCH(YEAR(RigheOfferte[[#This Row],[data]])&amp;RigheOfferte[[#This Row],[Quadrimestre]],QuCostiLav,0),MATCH(RigheOfferte[[#This Row],[Lavorazione]],CodLavorazioni,0)),0)</f>
        <v>0</v>
      </c>
      <c r="AA68" s="76"/>
      <c r="AB68" s="71"/>
      <c r="AC68" s="74">
        <f>RigheOfferte[[#This Row],[Superf.pz Mq]]*Resa*RigheOfferte[[#This Row],[MP (€kg)]]</f>
        <v>0</v>
      </c>
      <c r="AD68" s="77"/>
      <c r="AE68" s="77"/>
      <c r="AF68" s="55">
        <f>_xlfn.IFNA(VLOOKUP(RigheOfferte[[#This Row],[Tipo Protezione]],Protezioni[],2,FALSE),0)</f>
        <v>0</v>
      </c>
      <c r="AG68" s="79"/>
      <c r="AH6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8" s="71">
        <f>RigheOfferte[[#This Row],[altri costi]]+RigheOfferte[[#This Row],[costo industriale pz]]</f>
        <v>0</v>
      </c>
      <c r="AJ68" s="81">
        <f>_xlfn.IFNA(INDEX(Ricarichi[],MATCH(YEAR(RigheOfferte[[#This Row],[data]])&amp;RigheOfferte[[#This Row],[Quadrimestre]],QuCostiLav,0),MATCH(RigheOfferte[[#This Row],[Lavorazione]],CodLavorazioni,0)),0)</f>
        <v>0</v>
      </c>
      <c r="AK68" s="80">
        <f>RigheOfferte[[#This Row],[totale costi]]+(RigheOfferte[[#This Row],[totale costi]]*RigheOfferte[[#This Row],[Ricarico]])</f>
        <v>0</v>
      </c>
      <c r="AL68" s="71">
        <f>RigheOfferte[[#This Row],[Prezzo Di Vendita]]*RigheOfferte[[#This Row],[Q.ta'']]</f>
        <v>0</v>
      </c>
      <c r="AM68" s="71">
        <f>IFERROR(RigheOfferte[[#This Row],[Prezzo Di Vendita]]/RigheOfferte[[#This Row],[Superf.pz Mq]],0)</f>
        <v>0</v>
      </c>
    </row>
    <row r="69" spans="1:39" ht="14.4">
      <c r="A69" s="69" t="str">
        <f>IF(LEN('riepilogo prezzi'!$D69&amp;'riepilogo prezzi'!$E69)&gt;0,'riepilogo prezzi'!$D69&amp;"-"&amp;'riepilogo prezzi'!$E69,"")</f>
        <v/>
      </c>
      <c r="B69" s="70" t="str">
        <f>IF(LEN(MONTH(RigheOfferte[[#This Row],[data]]))=1,0&amp;MONTH(RigheOfferte[[#This Row],[data]]),MONTH(RigheOfferte[[#This Row],[data]]))</f>
        <v>01</v>
      </c>
      <c r="C69" s="70" t="str">
        <f>IF(MONTH(RigheOfferte[[#This Row],[data]])&gt;8,"03",IF(MONTH(RigheOfferte[[#This Row],[data]])&gt;4,"02","01"))</f>
        <v>01</v>
      </c>
      <c r="D69" s="71"/>
      <c r="E69" s="71"/>
      <c r="F69" s="83"/>
      <c r="G69" s="71"/>
      <c r="H69" s="69"/>
      <c r="I69" s="71"/>
      <c r="J69" s="82"/>
      <c r="K69" s="84"/>
      <c r="L69" s="84"/>
      <c r="M69" s="71"/>
      <c r="N69" s="71" t="str">
        <f>_xlfn.IFNA(VLOOKUP(RigheOfferte[[#This Row],[Lavorazione]],DescLavorazioni[],2,FALSE),"")</f>
        <v/>
      </c>
      <c r="O69" s="71"/>
      <c r="P69" s="73">
        <f>_xlfn.IFNA(VLOOKUP(RigheOfferte[[#This Row],[Cod Vel]],VeloCatena[],3,FALSE),0)</f>
        <v>0</v>
      </c>
      <c r="Q69" s="85"/>
      <c r="R69" s="85"/>
      <c r="S69" s="71"/>
      <c r="T69" s="71"/>
      <c r="U69" s="71"/>
      <c r="V69" s="74">
        <f>IF(RigheOfferte[[#This Row],[Velocità]]&gt;0,60*RigheOfferte[[#This Row],[Velocità]]/RigheOfferte[[#This Row],[passo]]*RigheOfferte[[#This Row],[nr.pezzi Telaio]],0)</f>
        <v>0</v>
      </c>
      <c r="W69" s="74"/>
      <c r="X6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6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69" s="74">
        <f>_xlfn.IFNA(INDEX(RiepilogoCostiOrari[],MATCH(YEAR(RigheOfferte[[#This Row],[data]])&amp;RigheOfferte[[#This Row],[Quadrimestre]],QuCostiLav,0),MATCH(RigheOfferte[[#This Row],[Lavorazione]],CodLavorazioni,0)),0)</f>
        <v>0</v>
      </c>
      <c r="AA69" s="76"/>
      <c r="AB69" s="71"/>
      <c r="AC69" s="74">
        <f>RigheOfferte[[#This Row],[Superf.pz Mq]]*Resa*RigheOfferte[[#This Row],[MP (€kg)]]</f>
        <v>0</v>
      </c>
      <c r="AD69" s="77"/>
      <c r="AE69" s="77"/>
      <c r="AF69" s="55">
        <f>_xlfn.IFNA(VLOOKUP(RigheOfferte[[#This Row],[Tipo Protezione]],Protezioni[],2,FALSE),0)</f>
        <v>0</v>
      </c>
      <c r="AG69" s="79"/>
      <c r="AH6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69" s="71">
        <f>RigheOfferte[[#This Row],[altri costi]]+RigheOfferte[[#This Row],[costo industriale pz]]</f>
        <v>0</v>
      </c>
      <c r="AJ69" s="81">
        <f>_xlfn.IFNA(INDEX(Ricarichi[],MATCH(YEAR(RigheOfferte[[#This Row],[data]])&amp;RigheOfferte[[#This Row],[Quadrimestre]],QuCostiLav,0),MATCH(RigheOfferte[[#This Row],[Lavorazione]],CodLavorazioni,0)),0)</f>
        <v>0</v>
      </c>
      <c r="AK69" s="80">
        <f>RigheOfferte[[#This Row],[totale costi]]+(RigheOfferte[[#This Row],[totale costi]]*RigheOfferte[[#This Row],[Ricarico]])</f>
        <v>0</v>
      </c>
      <c r="AL69" s="71">
        <f>RigheOfferte[[#This Row],[Prezzo Di Vendita]]*RigheOfferte[[#This Row],[Q.ta'']]</f>
        <v>0</v>
      </c>
      <c r="AM69" s="71">
        <f>IFERROR(RigheOfferte[[#This Row],[Prezzo Di Vendita]]/RigheOfferte[[#This Row],[Superf.pz Mq]],0)</f>
        <v>0</v>
      </c>
    </row>
    <row r="70" spans="1:39" ht="14.4">
      <c r="A70" s="69" t="str">
        <f>IF(LEN('riepilogo prezzi'!$D70&amp;'riepilogo prezzi'!$E70)&gt;0,'riepilogo prezzi'!$D70&amp;"-"&amp;'riepilogo prezzi'!$E70,"")</f>
        <v/>
      </c>
      <c r="B70" s="70" t="str">
        <f>IF(LEN(MONTH(RigheOfferte[[#This Row],[data]]))=1,0&amp;MONTH(RigheOfferte[[#This Row],[data]]),MONTH(RigheOfferte[[#This Row],[data]]))</f>
        <v>01</v>
      </c>
      <c r="C70" s="70" t="str">
        <f>IF(MONTH(RigheOfferte[[#This Row],[data]])&gt;8,"03",IF(MONTH(RigheOfferte[[#This Row],[data]])&gt;4,"02","01"))</f>
        <v>01</v>
      </c>
      <c r="D70" s="71"/>
      <c r="E70" s="71"/>
      <c r="F70" s="83"/>
      <c r="G70" s="71"/>
      <c r="H70" s="69"/>
      <c r="I70" s="71"/>
      <c r="J70" s="82"/>
      <c r="K70" s="84"/>
      <c r="L70" s="84"/>
      <c r="M70" s="71"/>
      <c r="N70" s="71" t="str">
        <f>_xlfn.IFNA(VLOOKUP(RigheOfferte[[#This Row],[Lavorazione]],DescLavorazioni[],2,FALSE),"")</f>
        <v/>
      </c>
      <c r="O70" s="71"/>
      <c r="P70" s="73">
        <f>_xlfn.IFNA(VLOOKUP(RigheOfferte[[#This Row],[Cod Vel]],VeloCatena[],3,FALSE),0)</f>
        <v>0</v>
      </c>
      <c r="Q70" s="85"/>
      <c r="R70" s="85"/>
      <c r="S70" s="71"/>
      <c r="T70" s="71"/>
      <c r="U70" s="71"/>
      <c r="V70" s="74">
        <f>IF(RigheOfferte[[#This Row],[Velocità]]&gt;0,60*RigheOfferte[[#This Row],[Velocità]]/RigheOfferte[[#This Row],[passo]]*RigheOfferte[[#This Row],[nr.pezzi Telaio]],0)</f>
        <v>0</v>
      </c>
      <c r="W70" s="74"/>
      <c r="X7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0" s="74">
        <f>_xlfn.IFNA(INDEX(RiepilogoCostiOrari[],MATCH(YEAR(RigheOfferte[[#This Row],[data]])&amp;RigheOfferte[[#This Row],[Quadrimestre]],QuCostiLav,0),MATCH(RigheOfferte[[#This Row],[Lavorazione]],CodLavorazioni,0)),0)</f>
        <v>0</v>
      </c>
      <c r="AA70" s="76"/>
      <c r="AB70" s="71"/>
      <c r="AC70" s="74">
        <f>RigheOfferte[[#This Row],[Superf.pz Mq]]*Resa*RigheOfferte[[#This Row],[MP (€kg)]]</f>
        <v>0</v>
      </c>
      <c r="AD70" s="77"/>
      <c r="AE70" s="77"/>
      <c r="AF70" s="55">
        <f>_xlfn.IFNA(VLOOKUP(RigheOfferte[[#This Row],[Tipo Protezione]],Protezioni[],2,FALSE),0)</f>
        <v>0</v>
      </c>
      <c r="AG70" s="79"/>
      <c r="AH7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0" s="71">
        <f>RigheOfferte[[#This Row],[altri costi]]+RigheOfferte[[#This Row],[costo industriale pz]]</f>
        <v>0</v>
      </c>
      <c r="AJ70" s="81">
        <f>_xlfn.IFNA(INDEX(Ricarichi[],MATCH(YEAR(RigheOfferte[[#This Row],[data]])&amp;RigheOfferte[[#This Row],[Quadrimestre]],QuCostiLav,0),MATCH(RigheOfferte[[#This Row],[Lavorazione]],CodLavorazioni,0)),0)</f>
        <v>0</v>
      </c>
      <c r="AK70" s="80">
        <f>RigheOfferte[[#This Row],[totale costi]]+(RigheOfferte[[#This Row],[totale costi]]*RigheOfferte[[#This Row],[Ricarico]])</f>
        <v>0</v>
      </c>
      <c r="AL70" s="71">
        <f>RigheOfferte[[#This Row],[Prezzo Di Vendita]]*RigheOfferte[[#This Row],[Q.ta'']]</f>
        <v>0</v>
      </c>
      <c r="AM70" s="71">
        <f>IFERROR(RigheOfferte[[#This Row],[Prezzo Di Vendita]]/RigheOfferte[[#This Row],[Superf.pz Mq]],0)</f>
        <v>0</v>
      </c>
    </row>
    <row r="71" spans="1:39" ht="14.4">
      <c r="A71" s="69" t="str">
        <f>IF(LEN('riepilogo prezzi'!$D71&amp;'riepilogo prezzi'!$E71)&gt;0,'riepilogo prezzi'!$D71&amp;"-"&amp;'riepilogo prezzi'!$E71,"")</f>
        <v/>
      </c>
      <c r="B71" s="70" t="str">
        <f>IF(LEN(MONTH(RigheOfferte[[#This Row],[data]]))=1,0&amp;MONTH(RigheOfferte[[#This Row],[data]]),MONTH(RigheOfferte[[#This Row],[data]]))</f>
        <v>01</v>
      </c>
      <c r="C71" s="70" t="str">
        <f>IF(MONTH(RigheOfferte[[#This Row],[data]])&gt;8,"03",IF(MONTH(RigheOfferte[[#This Row],[data]])&gt;4,"02","01"))</f>
        <v>01</v>
      </c>
      <c r="D71" s="71"/>
      <c r="E71" s="71"/>
      <c r="F71" s="83"/>
      <c r="G71" s="71"/>
      <c r="H71" s="69"/>
      <c r="I71" s="71"/>
      <c r="J71" s="82"/>
      <c r="K71" s="84"/>
      <c r="L71" s="84"/>
      <c r="M71" s="71"/>
      <c r="N71" s="71" t="str">
        <f>_xlfn.IFNA(VLOOKUP(RigheOfferte[[#This Row],[Lavorazione]],DescLavorazioni[],2,FALSE),"")</f>
        <v/>
      </c>
      <c r="O71" s="71"/>
      <c r="P71" s="73">
        <f>_xlfn.IFNA(VLOOKUP(RigheOfferte[[#This Row],[Cod Vel]],VeloCatena[],3,FALSE),0)</f>
        <v>0</v>
      </c>
      <c r="Q71" s="85"/>
      <c r="R71" s="85"/>
      <c r="S71" s="71"/>
      <c r="T71" s="71"/>
      <c r="U71" s="71"/>
      <c r="V71" s="74">
        <f>IF(RigheOfferte[[#This Row],[Velocità]]&gt;0,60*RigheOfferte[[#This Row],[Velocità]]/RigheOfferte[[#This Row],[passo]]*RigheOfferte[[#This Row],[nr.pezzi Telaio]],0)</f>
        <v>0</v>
      </c>
      <c r="W71" s="74"/>
      <c r="X7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1" s="74">
        <f>_xlfn.IFNA(INDEX(RiepilogoCostiOrari[],MATCH(YEAR(RigheOfferte[[#This Row],[data]])&amp;RigheOfferte[[#This Row],[Quadrimestre]],QuCostiLav,0),MATCH(RigheOfferte[[#This Row],[Lavorazione]],CodLavorazioni,0)),0)</f>
        <v>0</v>
      </c>
      <c r="AA71" s="76"/>
      <c r="AB71" s="71"/>
      <c r="AC71" s="74">
        <f>RigheOfferte[[#This Row],[Superf.pz Mq]]*Resa*RigheOfferte[[#This Row],[MP (€kg)]]</f>
        <v>0</v>
      </c>
      <c r="AD71" s="77"/>
      <c r="AE71" s="77"/>
      <c r="AF71" s="55">
        <f>_xlfn.IFNA(VLOOKUP(RigheOfferte[[#This Row],[Tipo Protezione]],Protezioni[],2,FALSE),0)</f>
        <v>0</v>
      </c>
      <c r="AG71" s="79"/>
      <c r="AH7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1" s="71">
        <f>RigheOfferte[[#This Row],[altri costi]]+RigheOfferte[[#This Row],[costo industriale pz]]</f>
        <v>0</v>
      </c>
      <c r="AJ71" s="81">
        <f>_xlfn.IFNA(INDEX(Ricarichi[],MATCH(YEAR(RigheOfferte[[#This Row],[data]])&amp;RigheOfferte[[#This Row],[Quadrimestre]],QuCostiLav,0),MATCH(RigheOfferte[[#This Row],[Lavorazione]],CodLavorazioni,0)),0)</f>
        <v>0</v>
      </c>
      <c r="AK71" s="80">
        <f>RigheOfferte[[#This Row],[totale costi]]+(RigheOfferte[[#This Row],[totale costi]]*RigheOfferte[[#This Row],[Ricarico]])</f>
        <v>0</v>
      </c>
      <c r="AL71" s="71">
        <f>RigheOfferte[[#This Row],[Prezzo Di Vendita]]*RigheOfferte[[#This Row],[Q.ta'']]</f>
        <v>0</v>
      </c>
      <c r="AM71" s="71">
        <f>IFERROR(RigheOfferte[[#This Row],[Prezzo Di Vendita]]/RigheOfferte[[#This Row],[Superf.pz Mq]],0)</f>
        <v>0</v>
      </c>
    </row>
    <row r="72" spans="1:39" ht="14.4">
      <c r="A72" s="69" t="str">
        <f>IF(LEN('riepilogo prezzi'!$D72&amp;'riepilogo prezzi'!$E72)&gt;0,'riepilogo prezzi'!$D72&amp;"-"&amp;'riepilogo prezzi'!$E72,"")</f>
        <v/>
      </c>
      <c r="B72" s="70" t="str">
        <f>IF(LEN(MONTH(RigheOfferte[[#This Row],[data]]))=1,0&amp;MONTH(RigheOfferte[[#This Row],[data]]),MONTH(RigheOfferte[[#This Row],[data]]))</f>
        <v>01</v>
      </c>
      <c r="C72" s="70" t="str">
        <f>IF(MONTH(RigheOfferte[[#This Row],[data]])&gt;8,"03",IF(MONTH(RigheOfferte[[#This Row],[data]])&gt;4,"02","01"))</f>
        <v>01</v>
      </c>
      <c r="D72" s="71"/>
      <c r="E72" s="71"/>
      <c r="F72" s="83"/>
      <c r="G72" s="71"/>
      <c r="H72" s="69"/>
      <c r="I72" s="71"/>
      <c r="J72" s="82"/>
      <c r="K72" s="84"/>
      <c r="L72" s="84"/>
      <c r="M72" s="71"/>
      <c r="N72" s="71" t="str">
        <f>_xlfn.IFNA(VLOOKUP(RigheOfferte[[#This Row],[Lavorazione]],DescLavorazioni[],2,FALSE),"")</f>
        <v/>
      </c>
      <c r="O72" s="71"/>
      <c r="P72" s="73">
        <f>_xlfn.IFNA(VLOOKUP(RigheOfferte[[#This Row],[Cod Vel]],VeloCatena[],3,FALSE),0)</f>
        <v>0</v>
      </c>
      <c r="Q72" s="85"/>
      <c r="R72" s="85"/>
      <c r="S72" s="71"/>
      <c r="T72" s="71"/>
      <c r="U72" s="71"/>
      <c r="V72" s="74">
        <f>IF(RigheOfferte[[#This Row],[Velocità]]&gt;0,60*RigheOfferte[[#This Row],[Velocità]]/RigheOfferte[[#This Row],[passo]]*RigheOfferte[[#This Row],[nr.pezzi Telaio]],0)</f>
        <v>0</v>
      </c>
      <c r="W72" s="74"/>
      <c r="X7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2" s="74">
        <f>_xlfn.IFNA(INDEX(RiepilogoCostiOrari[],MATCH(YEAR(RigheOfferte[[#This Row],[data]])&amp;RigheOfferte[[#This Row],[Quadrimestre]],QuCostiLav,0),MATCH(RigheOfferte[[#This Row],[Lavorazione]],CodLavorazioni,0)),0)</f>
        <v>0</v>
      </c>
      <c r="AA72" s="76"/>
      <c r="AB72" s="71"/>
      <c r="AC72" s="74">
        <f>RigheOfferte[[#This Row],[Superf.pz Mq]]*Resa*RigheOfferte[[#This Row],[MP (€kg)]]</f>
        <v>0</v>
      </c>
      <c r="AD72" s="77"/>
      <c r="AE72" s="77"/>
      <c r="AF72" s="55">
        <f>_xlfn.IFNA(VLOOKUP(RigheOfferte[[#This Row],[Tipo Protezione]],Protezioni[],2,FALSE),0)</f>
        <v>0</v>
      </c>
      <c r="AG72" s="79"/>
      <c r="AH7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2" s="71">
        <f>RigheOfferte[[#This Row],[altri costi]]+RigheOfferte[[#This Row],[costo industriale pz]]</f>
        <v>0</v>
      </c>
      <c r="AJ72" s="81">
        <f>_xlfn.IFNA(INDEX(Ricarichi[],MATCH(YEAR(RigheOfferte[[#This Row],[data]])&amp;RigheOfferte[[#This Row],[Quadrimestre]],QuCostiLav,0),MATCH(RigheOfferte[[#This Row],[Lavorazione]],CodLavorazioni,0)),0)</f>
        <v>0</v>
      </c>
      <c r="AK72" s="80">
        <f>RigheOfferte[[#This Row],[totale costi]]+(RigheOfferte[[#This Row],[totale costi]]*RigheOfferte[[#This Row],[Ricarico]])</f>
        <v>0</v>
      </c>
      <c r="AL72" s="71">
        <f>RigheOfferte[[#This Row],[Prezzo Di Vendita]]*RigheOfferte[[#This Row],[Q.ta'']]</f>
        <v>0</v>
      </c>
      <c r="AM72" s="71">
        <f>IFERROR(RigheOfferte[[#This Row],[Prezzo Di Vendita]]/RigheOfferte[[#This Row],[Superf.pz Mq]],0)</f>
        <v>0</v>
      </c>
    </row>
    <row r="73" spans="1:39" ht="14.4">
      <c r="A73" s="69" t="str">
        <f>IF(LEN('riepilogo prezzi'!$D73&amp;'riepilogo prezzi'!$E73)&gt;0,'riepilogo prezzi'!$D73&amp;"-"&amp;'riepilogo prezzi'!$E73,"")</f>
        <v/>
      </c>
      <c r="B73" s="70" t="str">
        <f>IF(LEN(MONTH(RigheOfferte[[#This Row],[data]]))=1,0&amp;MONTH(RigheOfferte[[#This Row],[data]]),MONTH(RigheOfferte[[#This Row],[data]]))</f>
        <v>01</v>
      </c>
      <c r="C73" s="70" t="str">
        <f>IF(MONTH(RigheOfferte[[#This Row],[data]])&gt;8,"03",IF(MONTH(RigheOfferte[[#This Row],[data]])&gt;4,"02","01"))</f>
        <v>01</v>
      </c>
      <c r="D73" s="71"/>
      <c r="E73" s="71"/>
      <c r="F73" s="83"/>
      <c r="G73" s="71"/>
      <c r="H73" s="69"/>
      <c r="I73" s="71"/>
      <c r="J73" s="82"/>
      <c r="K73" s="84"/>
      <c r="L73" s="84"/>
      <c r="M73" s="71"/>
      <c r="N73" s="71" t="str">
        <f>_xlfn.IFNA(VLOOKUP(RigheOfferte[[#This Row],[Lavorazione]],DescLavorazioni[],2,FALSE),"")</f>
        <v/>
      </c>
      <c r="O73" s="71"/>
      <c r="P73" s="73">
        <f>_xlfn.IFNA(VLOOKUP(RigheOfferte[[#This Row],[Cod Vel]],VeloCatena[],3,FALSE),0)</f>
        <v>0</v>
      </c>
      <c r="Q73" s="85"/>
      <c r="R73" s="85"/>
      <c r="S73" s="71"/>
      <c r="T73" s="71"/>
      <c r="U73" s="71"/>
      <c r="V73" s="74">
        <f>IF(RigheOfferte[[#This Row],[Velocità]]&gt;0,60*RigheOfferte[[#This Row],[Velocità]]/RigheOfferte[[#This Row],[passo]]*RigheOfferte[[#This Row],[nr.pezzi Telaio]],0)</f>
        <v>0</v>
      </c>
      <c r="W73" s="74"/>
      <c r="X7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3" s="74">
        <f>_xlfn.IFNA(INDEX(RiepilogoCostiOrari[],MATCH(YEAR(RigheOfferte[[#This Row],[data]])&amp;RigheOfferte[[#This Row],[Quadrimestre]],QuCostiLav,0),MATCH(RigheOfferte[[#This Row],[Lavorazione]],CodLavorazioni,0)),0)</f>
        <v>0</v>
      </c>
      <c r="AA73" s="76"/>
      <c r="AB73" s="71"/>
      <c r="AC73" s="74">
        <f>RigheOfferte[[#This Row],[Superf.pz Mq]]*Resa*RigheOfferte[[#This Row],[MP (€kg)]]</f>
        <v>0</v>
      </c>
      <c r="AD73" s="77"/>
      <c r="AE73" s="77"/>
      <c r="AF73" s="55">
        <f>_xlfn.IFNA(VLOOKUP(RigheOfferte[[#This Row],[Tipo Protezione]],Protezioni[],2,FALSE),0)</f>
        <v>0</v>
      </c>
      <c r="AG73" s="79"/>
      <c r="AH7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3" s="71">
        <f>RigheOfferte[[#This Row],[altri costi]]+RigheOfferte[[#This Row],[costo industriale pz]]</f>
        <v>0</v>
      </c>
      <c r="AJ73" s="81">
        <f>_xlfn.IFNA(INDEX(Ricarichi[],MATCH(YEAR(RigheOfferte[[#This Row],[data]])&amp;RigheOfferte[[#This Row],[Quadrimestre]],QuCostiLav,0),MATCH(RigheOfferte[[#This Row],[Lavorazione]],CodLavorazioni,0)),0)</f>
        <v>0</v>
      </c>
      <c r="AK73" s="80">
        <f>RigheOfferte[[#This Row],[totale costi]]+(RigheOfferte[[#This Row],[totale costi]]*RigheOfferte[[#This Row],[Ricarico]])</f>
        <v>0</v>
      </c>
      <c r="AL73" s="71">
        <f>RigheOfferte[[#This Row],[Prezzo Di Vendita]]*RigheOfferte[[#This Row],[Q.ta'']]</f>
        <v>0</v>
      </c>
      <c r="AM73" s="71">
        <f>IFERROR(RigheOfferte[[#This Row],[Prezzo Di Vendita]]/RigheOfferte[[#This Row],[Superf.pz Mq]],0)</f>
        <v>0</v>
      </c>
    </row>
    <row r="74" spans="1:39" ht="14.4">
      <c r="A74" s="69" t="str">
        <f>IF(LEN('riepilogo prezzi'!$D74&amp;'riepilogo prezzi'!$E74)&gt;0,'riepilogo prezzi'!$D74&amp;"-"&amp;'riepilogo prezzi'!$E74,"")</f>
        <v/>
      </c>
      <c r="B74" s="70" t="str">
        <f>IF(LEN(MONTH(RigheOfferte[[#This Row],[data]]))=1,0&amp;MONTH(RigheOfferte[[#This Row],[data]]),MONTH(RigheOfferte[[#This Row],[data]]))</f>
        <v>01</v>
      </c>
      <c r="C74" s="70" t="str">
        <f>IF(MONTH(RigheOfferte[[#This Row],[data]])&gt;8,"03",IF(MONTH(RigheOfferte[[#This Row],[data]])&gt;4,"02","01"))</f>
        <v>01</v>
      </c>
      <c r="D74" s="71"/>
      <c r="E74" s="71"/>
      <c r="F74" s="83"/>
      <c r="G74" s="71"/>
      <c r="H74" s="69"/>
      <c r="I74" s="71"/>
      <c r="J74" s="82"/>
      <c r="K74" s="84"/>
      <c r="L74" s="84"/>
      <c r="M74" s="71"/>
      <c r="N74" s="71" t="str">
        <f>_xlfn.IFNA(VLOOKUP(RigheOfferte[[#This Row],[Lavorazione]],DescLavorazioni[],2,FALSE),"")</f>
        <v/>
      </c>
      <c r="O74" s="71"/>
      <c r="P74" s="73">
        <f>_xlfn.IFNA(VLOOKUP(RigheOfferte[[#This Row],[Cod Vel]],VeloCatena[],3,FALSE),0)</f>
        <v>0</v>
      </c>
      <c r="Q74" s="85"/>
      <c r="R74" s="85"/>
      <c r="S74" s="71"/>
      <c r="T74" s="71"/>
      <c r="U74" s="71"/>
      <c r="V74" s="74">
        <f>IF(RigheOfferte[[#This Row],[Velocità]]&gt;0,60*RigheOfferte[[#This Row],[Velocità]]/RigheOfferte[[#This Row],[passo]]*RigheOfferte[[#This Row],[nr.pezzi Telaio]],0)</f>
        <v>0</v>
      </c>
      <c r="W74" s="74"/>
      <c r="X7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4" s="74">
        <f>_xlfn.IFNA(INDEX(RiepilogoCostiOrari[],MATCH(YEAR(RigheOfferte[[#This Row],[data]])&amp;RigheOfferte[[#This Row],[Quadrimestre]],QuCostiLav,0),MATCH(RigheOfferte[[#This Row],[Lavorazione]],CodLavorazioni,0)),0)</f>
        <v>0</v>
      </c>
      <c r="AA74" s="76"/>
      <c r="AB74" s="71"/>
      <c r="AC74" s="74">
        <f>RigheOfferte[[#This Row],[Superf.pz Mq]]*Resa*RigheOfferte[[#This Row],[MP (€kg)]]</f>
        <v>0</v>
      </c>
      <c r="AD74" s="77"/>
      <c r="AE74" s="77"/>
      <c r="AF74" s="55">
        <f>_xlfn.IFNA(VLOOKUP(RigheOfferte[[#This Row],[Tipo Protezione]],Protezioni[],2,FALSE),0)</f>
        <v>0</v>
      </c>
      <c r="AG74" s="79"/>
      <c r="AH7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4" s="71">
        <f>RigheOfferte[[#This Row],[altri costi]]+RigheOfferte[[#This Row],[costo industriale pz]]</f>
        <v>0</v>
      </c>
      <c r="AJ74" s="81">
        <f>_xlfn.IFNA(INDEX(Ricarichi[],MATCH(YEAR(RigheOfferte[[#This Row],[data]])&amp;RigheOfferte[[#This Row],[Quadrimestre]],QuCostiLav,0),MATCH(RigheOfferte[[#This Row],[Lavorazione]],CodLavorazioni,0)),0)</f>
        <v>0</v>
      </c>
      <c r="AK74" s="80">
        <f>RigheOfferte[[#This Row],[totale costi]]+(RigheOfferte[[#This Row],[totale costi]]*RigheOfferte[[#This Row],[Ricarico]])</f>
        <v>0</v>
      </c>
      <c r="AL74" s="71">
        <f>RigheOfferte[[#This Row],[Prezzo Di Vendita]]*RigheOfferte[[#This Row],[Q.ta'']]</f>
        <v>0</v>
      </c>
      <c r="AM74" s="71">
        <f>IFERROR(RigheOfferte[[#This Row],[Prezzo Di Vendita]]/RigheOfferte[[#This Row],[Superf.pz Mq]],0)</f>
        <v>0</v>
      </c>
    </row>
    <row r="75" spans="1:39" ht="14.4">
      <c r="A75" s="69" t="str">
        <f>IF(LEN('riepilogo prezzi'!$D75&amp;'riepilogo prezzi'!$E75)&gt;0,'riepilogo prezzi'!$D75&amp;"-"&amp;'riepilogo prezzi'!$E75,"")</f>
        <v/>
      </c>
      <c r="B75" s="70" t="str">
        <f>IF(LEN(MONTH(RigheOfferte[[#This Row],[data]]))=1,0&amp;MONTH(RigheOfferte[[#This Row],[data]]),MONTH(RigheOfferte[[#This Row],[data]]))</f>
        <v>01</v>
      </c>
      <c r="C75" s="70" t="str">
        <f>IF(MONTH(RigheOfferte[[#This Row],[data]])&gt;8,"03",IF(MONTH(RigheOfferte[[#This Row],[data]])&gt;4,"02","01"))</f>
        <v>01</v>
      </c>
      <c r="D75" s="71"/>
      <c r="E75" s="71"/>
      <c r="F75" s="83"/>
      <c r="G75" s="71"/>
      <c r="H75" s="69"/>
      <c r="I75" s="71"/>
      <c r="J75" s="82"/>
      <c r="K75" s="84"/>
      <c r="L75" s="84"/>
      <c r="M75" s="71"/>
      <c r="N75" s="71" t="str">
        <f>_xlfn.IFNA(VLOOKUP(RigheOfferte[[#This Row],[Lavorazione]],DescLavorazioni[],2,FALSE),"")</f>
        <v/>
      </c>
      <c r="O75" s="71"/>
      <c r="P75" s="73">
        <f>_xlfn.IFNA(VLOOKUP(RigheOfferte[[#This Row],[Cod Vel]],VeloCatena[],3,FALSE),0)</f>
        <v>0</v>
      </c>
      <c r="Q75" s="85"/>
      <c r="R75" s="85"/>
      <c r="S75" s="71"/>
      <c r="T75" s="71"/>
      <c r="U75" s="71"/>
      <c r="V75" s="74">
        <f>IF(RigheOfferte[[#This Row],[Velocità]]&gt;0,60*RigheOfferte[[#This Row],[Velocità]]/RigheOfferte[[#This Row],[passo]]*RigheOfferte[[#This Row],[nr.pezzi Telaio]],0)</f>
        <v>0</v>
      </c>
      <c r="W75" s="74"/>
      <c r="X7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5" s="74">
        <f>_xlfn.IFNA(INDEX(RiepilogoCostiOrari[],MATCH(YEAR(RigheOfferte[[#This Row],[data]])&amp;RigheOfferte[[#This Row],[Quadrimestre]],QuCostiLav,0),MATCH(RigheOfferte[[#This Row],[Lavorazione]],CodLavorazioni,0)),0)</f>
        <v>0</v>
      </c>
      <c r="AA75" s="76"/>
      <c r="AB75" s="71"/>
      <c r="AC75" s="74">
        <f>RigheOfferte[[#This Row],[Superf.pz Mq]]*Resa*RigheOfferte[[#This Row],[MP (€kg)]]</f>
        <v>0</v>
      </c>
      <c r="AD75" s="77"/>
      <c r="AE75" s="77"/>
      <c r="AF75" s="55">
        <f>_xlfn.IFNA(VLOOKUP(RigheOfferte[[#This Row],[Tipo Protezione]],Protezioni[],2,FALSE),0)</f>
        <v>0</v>
      </c>
      <c r="AG75" s="79"/>
      <c r="AH7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5" s="71">
        <f>RigheOfferte[[#This Row],[altri costi]]+RigheOfferte[[#This Row],[costo industriale pz]]</f>
        <v>0</v>
      </c>
      <c r="AJ75" s="81">
        <f>_xlfn.IFNA(INDEX(Ricarichi[],MATCH(YEAR(RigheOfferte[[#This Row],[data]])&amp;RigheOfferte[[#This Row],[Quadrimestre]],QuCostiLav,0),MATCH(RigheOfferte[[#This Row],[Lavorazione]],CodLavorazioni,0)),0)</f>
        <v>0</v>
      </c>
      <c r="AK75" s="80">
        <f>RigheOfferte[[#This Row],[totale costi]]+(RigheOfferte[[#This Row],[totale costi]]*RigheOfferte[[#This Row],[Ricarico]])</f>
        <v>0</v>
      </c>
      <c r="AL75" s="71">
        <f>RigheOfferte[[#This Row],[Prezzo Di Vendita]]*RigheOfferte[[#This Row],[Q.ta'']]</f>
        <v>0</v>
      </c>
      <c r="AM75" s="71">
        <f>IFERROR(RigheOfferte[[#This Row],[Prezzo Di Vendita]]/RigheOfferte[[#This Row],[Superf.pz Mq]],0)</f>
        <v>0</v>
      </c>
    </row>
    <row r="76" spans="1:39" ht="14.4">
      <c r="A76" s="69" t="str">
        <f>IF(LEN('riepilogo prezzi'!$D76&amp;'riepilogo prezzi'!$E76)&gt;0,'riepilogo prezzi'!$D76&amp;"-"&amp;'riepilogo prezzi'!$E76,"")</f>
        <v/>
      </c>
      <c r="B76" s="70" t="str">
        <f>IF(LEN(MONTH(RigheOfferte[[#This Row],[data]]))=1,0&amp;MONTH(RigheOfferte[[#This Row],[data]]),MONTH(RigheOfferte[[#This Row],[data]]))</f>
        <v>01</v>
      </c>
      <c r="C76" s="70" t="str">
        <f>IF(MONTH(RigheOfferte[[#This Row],[data]])&gt;8,"03",IF(MONTH(RigheOfferte[[#This Row],[data]])&gt;4,"02","01"))</f>
        <v>01</v>
      </c>
      <c r="D76" s="71"/>
      <c r="E76" s="71"/>
      <c r="F76" s="83"/>
      <c r="G76" s="71"/>
      <c r="H76" s="69"/>
      <c r="I76" s="71"/>
      <c r="J76" s="82"/>
      <c r="K76" s="84"/>
      <c r="L76" s="84"/>
      <c r="M76" s="71"/>
      <c r="N76" s="71" t="str">
        <f>_xlfn.IFNA(VLOOKUP(RigheOfferte[[#This Row],[Lavorazione]],DescLavorazioni[],2,FALSE),"")</f>
        <v/>
      </c>
      <c r="O76" s="71"/>
      <c r="P76" s="73">
        <f>_xlfn.IFNA(VLOOKUP(RigheOfferte[[#This Row],[Cod Vel]],VeloCatena[],3,FALSE),0)</f>
        <v>0</v>
      </c>
      <c r="Q76" s="85"/>
      <c r="R76" s="85"/>
      <c r="S76" s="71"/>
      <c r="T76" s="71"/>
      <c r="U76" s="71"/>
      <c r="V76" s="74">
        <f>IF(RigheOfferte[[#This Row],[Velocità]]&gt;0,60*RigheOfferte[[#This Row],[Velocità]]/RigheOfferte[[#This Row],[passo]]*RigheOfferte[[#This Row],[nr.pezzi Telaio]],0)</f>
        <v>0</v>
      </c>
      <c r="W76" s="74"/>
      <c r="X7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6" s="74">
        <f>_xlfn.IFNA(INDEX(RiepilogoCostiOrari[],MATCH(YEAR(RigheOfferte[[#This Row],[data]])&amp;RigheOfferte[[#This Row],[Quadrimestre]],QuCostiLav,0),MATCH(RigheOfferte[[#This Row],[Lavorazione]],CodLavorazioni,0)),0)</f>
        <v>0</v>
      </c>
      <c r="AA76" s="76"/>
      <c r="AB76" s="71"/>
      <c r="AC76" s="74">
        <f>RigheOfferte[[#This Row],[Superf.pz Mq]]*Resa*RigheOfferte[[#This Row],[MP (€kg)]]</f>
        <v>0</v>
      </c>
      <c r="AD76" s="77"/>
      <c r="AE76" s="77"/>
      <c r="AF76" s="55">
        <f>_xlfn.IFNA(VLOOKUP(RigheOfferte[[#This Row],[Tipo Protezione]],Protezioni[],2,FALSE),0)</f>
        <v>0</v>
      </c>
      <c r="AG76" s="79"/>
      <c r="AH7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6" s="71">
        <f>RigheOfferte[[#This Row],[altri costi]]+RigheOfferte[[#This Row],[costo industriale pz]]</f>
        <v>0</v>
      </c>
      <c r="AJ76" s="81">
        <f>_xlfn.IFNA(INDEX(Ricarichi[],MATCH(YEAR(RigheOfferte[[#This Row],[data]])&amp;RigheOfferte[[#This Row],[Quadrimestre]],QuCostiLav,0),MATCH(RigheOfferte[[#This Row],[Lavorazione]],CodLavorazioni,0)),0)</f>
        <v>0</v>
      </c>
      <c r="AK76" s="80">
        <f>RigheOfferte[[#This Row],[totale costi]]+(RigheOfferte[[#This Row],[totale costi]]*RigheOfferte[[#This Row],[Ricarico]])</f>
        <v>0</v>
      </c>
      <c r="AL76" s="71">
        <f>RigheOfferte[[#This Row],[Prezzo Di Vendita]]*RigheOfferte[[#This Row],[Q.ta'']]</f>
        <v>0</v>
      </c>
      <c r="AM76" s="71">
        <f>IFERROR(RigheOfferte[[#This Row],[Prezzo Di Vendita]]/RigheOfferte[[#This Row],[Superf.pz Mq]],0)</f>
        <v>0</v>
      </c>
    </row>
    <row r="77" spans="1:39" ht="14.4">
      <c r="A77" s="69" t="str">
        <f>IF(LEN('riepilogo prezzi'!$D77&amp;'riepilogo prezzi'!$E77)&gt;0,'riepilogo prezzi'!$D77&amp;"-"&amp;'riepilogo prezzi'!$E77,"")</f>
        <v/>
      </c>
      <c r="B77" s="70" t="str">
        <f>IF(LEN(MONTH(RigheOfferte[[#This Row],[data]]))=1,0&amp;MONTH(RigheOfferte[[#This Row],[data]]),MONTH(RigheOfferte[[#This Row],[data]]))</f>
        <v>01</v>
      </c>
      <c r="C77" s="70" t="str">
        <f>IF(MONTH(RigheOfferte[[#This Row],[data]])&gt;8,"03",IF(MONTH(RigheOfferte[[#This Row],[data]])&gt;4,"02","01"))</f>
        <v>01</v>
      </c>
      <c r="D77" s="71"/>
      <c r="E77" s="71"/>
      <c r="F77" s="83"/>
      <c r="G77" s="71"/>
      <c r="H77" s="69"/>
      <c r="I77" s="71"/>
      <c r="J77" s="82"/>
      <c r="K77" s="84"/>
      <c r="L77" s="84"/>
      <c r="M77" s="71"/>
      <c r="N77" s="71" t="str">
        <f>_xlfn.IFNA(VLOOKUP(RigheOfferte[[#This Row],[Lavorazione]],DescLavorazioni[],2,FALSE),"")</f>
        <v/>
      </c>
      <c r="O77" s="71"/>
      <c r="P77" s="73">
        <f>_xlfn.IFNA(VLOOKUP(RigheOfferte[[#This Row],[Cod Vel]],VeloCatena[],3,FALSE),0)</f>
        <v>0</v>
      </c>
      <c r="Q77" s="85"/>
      <c r="R77" s="85"/>
      <c r="S77" s="71"/>
      <c r="T77" s="71"/>
      <c r="U77" s="71"/>
      <c r="V77" s="74">
        <f>IF(RigheOfferte[[#This Row],[Velocità]]&gt;0,60*RigheOfferte[[#This Row],[Velocità]]/RigheOfferte[[#This Row],[passo]]*RigheOfferte[[#This Row],[nr.pezzi Telaio]],0)</f>
        <v>0</v>
      </c>
      <c r="W77" s="74"/>
      <c r="X7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7" s="74">
        <f>_xlfn.IFNA(INDEX(RiepilogoCostiOrari[],MATCH(YEAR(RigheOfferte[[#This Row],[data]])&amp;RigheOfferte[[#This Row],[Quadrimestre]],QuCostiLav,0),MATCH(RigheOfferte[[#This Row],[Lavorazione]],CodLavorazioni,0)),0)</f>
        <v>0</v>
      </c>
      <c r="AA77" s="76"/>
      <c r="AB77" s="71"/>
      <c r="AC77" s="74">
        <f>RigheOfferte[[#This Row],[Superf.pz Mq]]*Resa*RigheOfferte[[#This Row],[MP (€kg)]]</f>
        <v>0</v>
      </c>
      <c r="AD77" s="77"/>
      <c r="AE77" s="77"/>
      <c r="AF77" s="55">
        <f>_xlfn.IFNA(VLOOKUP(RigheOfferte[[#This Row],[Tipo Protezione]],Protezioni[],2,FALSE),0)</f>
        <v>0</v>
      </c>
      <c r="AG77" s="79"/>
      <c r="AH7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7" s="71">
        <f>RigheOfferte[[#This Row],[altri costi]]+RigheOfferte[[#This Row],[costo industriale pz]]</f>
        <v>0</v>
      </c>
      <c r="AJ77" s="81">
        <f>_xlfn.IFNA(INDEX(Ricarichi[],MATCH(YEAR(RigheOfferte[[#This Row],[data]])&amp;RigheOfferte[[#This Row],[Quadrimestre]],QuCostiLav,0),MATCH(RigheOfferte[[#This Row],[Lavorazione]],CodLavorazioni,0)),0)</f>
        <v>0</v>
      </c>
      <c r="AK77" s="80">
        <f>RigheOfferte[[#This Row],[totale costi]]+(RigheOfferte[[#This Row],[totale costi]]*RigheOfferte[[#This Row],[Ricarico]])</f>
        <v>0</v>
      </c>
      <c r="AL77" s="71">
        <f>RigheOfferte[[#This Row],[Prezzo Di Vendita]]*RigheOfferte[[#This Row],[Q.ta'']]</f>
        <v>0</v>
      </c>
      <c r="AM77" s="71">
        <f>IFERROR(RigheOfferte[[#This Row],[Prezzo Di Vendita]]/RigheOfferte[[#This Row],[Superf.pz Mq]],0)</f>
        <v>0</v>
      </c>
    </row>
    <row r="78" spans="1:39" ht="14.4">
      <c r="A78" s="69" t="str">
        <f>IF(LEN('riepilogo prezzi'!$D78&amp;'riepilogo prezzi'!$E78)&gt;0,'riepilogo prezzi'!$D78&amp;"-"&amp;'riepilogo prezzi'!$E78,"")</f>
        <v/>
      </c>
      <c r="B78" s="70" t="str">
        <f>IF(LEN(MONTH(RigheOfferte[[#This Row],[data]]))=1,0&amp;MONTH(RigheOfferte[[#This Row],[data]]),MONTH(RigheOfferte[[#This Row],[data]]))</f>
        <v>01</v>
      </c>
      <c r="C78" s="70" t="str">
        <f>IF(MONTH(RigheOfferte[[#This Row],[data]])&gt;8,"03",IF(MONTH(RigheOfferte[[#This Row],[data]])&gt;4,"02","01"))</f>
        <v>01</v>
      </c>
      <c r="D78" s="71"/>
      <c r="E78" s="71"/>
      <c r="F78" s="83"/>
      <c r="G78" s="71"/>
      <c r="H78" s="69"/>
      <c r="I78" s="71"/>
      <c r="J78" s="82"/>
      <c r="K78" s="84"/>
      <c r="L78" s="84"/>
      <c r="M78" s="71"/>
      <c r="N78" s="71" t="str">
        <f>_xlfn.IFNA(VLOOKUP(RigheOfferte[[#This Row],[Lavorazione]],DescLavorazioni[],2,FALSE),"")</f>
        <v/>
      </c>
      <c r="O78" s="71"/>
      <c r="P78" s="73">
        <f>_xlfn.IFNA(VLOOKUP(RigheOfferte[[#This Row],[Cod Vel]],VeloCatena[],3,FALSE),0)</f>
        <v>0</v>
      </c>
      <c r="Q78" s="85"/>
      <c r="R78" s="85"/>
      <c r="S78" s="71"/>
      <c r="T78" s="71"/>
      <c r="U78" s="71"/>
      <c r="V78" s="74">
        <f>IF(RigheOfferte[[#This Row],[Velocità]]&gt;0,60*RigheOfferte[[#This Row],[Velocità]]/RigheOfferte[[#This Row],[passo]]*RigheOfferte[[#This Row],[nr.pezzi Telaio]],0)</f>
        <v>0</v>
      </c>
      <c r="W78" s="74"/>
      <c r="X7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8" s="74">
        <f>_xlfn.IFNA(INDEX(RiepilogoCostiOrari[],MATCH(YEAR(RigheOfferte[[#This Row],[data]])&amp;RigheOfferte[[#This Row],[Quadrimestre]],QuCostiLav,0),MATCH(RigheOfferte[[#This Row],[Lavorazione]],CodLavorazioni,0)),0)</f>
        <v>0</v>
      </c>
      <c r="AA78" s="76"/>
      <c r="AB78" s="71"/>
      <c r="AC78" s="74">
        <f>RigheOfferte[[#This Row],[Superf.pz Mq]]*Resa*RigheOfferte[[#This Row],[MP (€kg)]]</f>
        <v>0</v>
      </c>
      <c r="AD78" s="77"/>
      <c r="AE78" s="77"/>
      <c r="AF78" s="55">
        <f>_xlfn.IFNA(VLOOKUP(RigheOfferte[[#This Row],[Tipo Protezione]],Protezioni[],2,FALSE),0)</f>
        <v>0</v>
      </c>
      <c r="AG78" s="79"/>
      <c r="AH7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8" s="71">
        <f>RigheOfferte[[#This Row],[altri costi]]+RigheOfferte[[#This Row],[costo industriale pz]]</f>
        <v>0</v>
      </c>
      <c r="AJ78" s="81">
        <f>_xlfn.IFNA(INDEX(Ricarichi[],MATCH(YEAR(RigheOfferte[[#This Row],[data]])&amp;RigheOfferte[[#This Row],[Quadrimestre]],QuCostiLav,0),MATCH(RigheOfferte[[#This Row],[Lavorazione]],CodLavorazioni,0)),0)</f>
        <v>0</v>
      </c>
      <c r="AK78" s="80">
        <f>RigheOfferte[[#This Row],[totale costi]]+(RigheOfferte[[#This Row],[totale costi]]*RigheOfferte[[#This Row],[Ricarico]])</f>
        <v>0</v>
      </c>
      <c r="AL78" s="71">
        <f>RigheOfferte[[#This Row],[Prezzo Di Vendita]]*RigheOfferte[[#This Row],[Q.ta'']]</f>
        <v>0</v>
      </c>
      <c r="AM78" s="71">
        <f>IFERROR(RigheOfferte[[#This Row],[Prezzo Di Vendita]]/RigheOfferte[[#This Row],[Superf.pz Mq]],0)</f>
        <v>0</v>
      </c>
    </row>
    <row r="79" spans="1:39" ht="14.4">
      <c r="A79" s="69" t="str">
        <f>IF(LEN('riepilogo prezzi'!$D79&amp;'riepilogo prezzi'!$E79)&gt;0,'riepilogo prezzi'!$D79&amp;"-"&amp;'riepilogo prezzi'!$E79,"")</f>
        <v/>
      </c>
      <c r="B79" s="70" t="str">
        <f>IF(LEN(MONTH(RigheOfferte[[#This Row],[data]]))=1,0&amp;MONTH(RigheOfferte[[#This Row],[data]]),MONTH(RigheOfferte[[#This Row],[data]]))</f>
        <v>01</v>
      </c>
      <c r="C79" s="70" t="str">
        <f>IF(MONTH(RigheOfferte[[#This Row],[data]])&gt;8,"03",IF(MONTH(RigheOfferte[[#This Row],[data]])&gt;4,"02","01"))</f>
        <v>01</v>
      </c>
      <c r="D79" s="71"/>
      <c r="E79" s="71"/>
      <c r="F79" s="83"/>
      <c r="G79" s="71"/>
      <c r="H79" s="69"/>
      <c r="I79" s="71"/>
      <c r="J79" s="82"/>
      <c r="K79" s="84"/>
      <c r="L79" s="84"/>
      <c r="M79" s="71"/>
      <c r="N79" s="71" t="str">
        <f>_xlfn.IFNA(VLOOKUP(RigheOfferte[[#This Row],[Lavorazione]],DescLavorazioni[],2,FALSE),"")</f>
        <v/>
      </c>
      <c r="O79" s="71"/>
      <c r="P79" s="73">
        <f>_xlfn.IFNA(VLOOKUP(RigheOfferte[[#This Row],[Cod Vel]],VeloCatena[],3,FALSE),0)</f>
        <v>0</v>
      </c>
      <c r="Q79" s="85"/>
      <c r="R79" s="85"/>
      <c r="S79" s="71"/>
      <c r="T79" s="71"/>
      <c r="U79" s="71"/>
      <c r="V79" s="74">
        <f>IF(RigheOfferte[[#This Row],[Velocità]]&gt;0,60*RigheOfferte[[#This Row],[Velocità]]/RigheOfferte[[#This Row],[passo]]*RigheOfferte[[#This Row],[nr.pezzi Telaio]],0)</f>
        <v>0</v>
      </c>
      <c r="W79" s="74"/>
      <c r="X7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7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79" s="74">
        <f>_xlfn.IFNA(INDEX(RiepilogoCostiOrari[],MATCH(YEAR(RigheOfferte[[#This Row],[data]])&amp;RigheOfferte[[#This Row],[Quadrimestre]],QuCostiLav,0),MATCH(RigheOfferte[[#This Row],[Lavorazione]],CodLavorazioni,0)),0)</f>
        <v>0</v>
      </c>
      <c r="AA79" s="76"/>
      <c r="AB79" s="71"/>
      <c r="AC79" s="74">
        <f>RigheOfferte[[#This Row],[Superf.pz Mq]]*Resa*RigheOfferte[[#This Row],[MP (€kg)]]</f>
        <v>0</v>
      </c>
      <c r="AD79" s="77"/>
      <c r="AE79" s="77"/>
      <c r="AF79" s="55">
        <f>_xlfn.IFNA(VLOOKUP(RigheOfferte[[#This Row],[Tipo Protezione]],Protezioni[],2,FALSE),0)</f>
        <v>0</v>
      </c>
      <c r="AG79" s="79"/>
      <c r="AH7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79" s="71">
        <f>RigheOfferte[[#This Row],[altri costi]]+RigheOfferte[[#This Row],[costo industriale pz]]</f>
        <v>0</v>
      </c>
      <c r="AJ79" s="81">
        <f>_xlfn.IFNA(INDEX(Ricarichi[],MATCH(YEAR(RigheOfferte[[#This Row],[data]])&amp;RigheOfferte[[#This Row],[Quadrimestre]],QuCostiLav,0),MATCH(RigheOfferte[[#This Row],[Lavorazione]],CodLavorazioni,0)),0)</f>
        <v>0</v>
      </c>
      <c r="AK79" s="80">
        <f>RigheOfferte[[#This Row],[totale costi]]+(RigheOfferte[[#This Row],[totale costi]]*RigheOfferte[[#This Row],[Ricarico]])</f>
        <v>0</v>
      </c>
      <c r="AL79" s="71">
        <f>RigheOfferte[[#This Row],[Prezzo Di Vendita]]*RigheOfferte[[#This Row],[Q.ta'']]</f>
        <v>0</v>
      </c>
      <c r="AM79" s="71">
        <f>IFERROR(RigheOfferte[[#This Row],[Prezzo Di Vendita]]/RigheOfferte[[#This Row],[Superf.pz Mq]],0)</f>
        <v>0</v>
      </c>
    </row>
    <row r="80" spans="1:39" ht="14.4">
      <c r="A80" s="69" t="str">
        <f>IF(LEN('riepilogo prezzi'!$D80&amp;'riepilogo prezzi'!$E80)&gt;0,'riepilogo prezzi'!$D80&amp;"-"&amp;'riepilogo prezzi'!$E80,"")</f>
        <v/>
      </c>
      <c r="B80" s="70" t="str">
        <f>IF(LEN(MONTH(RigheOfferte[[#This Row],[data]]))=1,0&amp;MONTH(RigheOfferte[[#This Row],[data]]),MONTH(RigheOfferte[[#This Row],[data]]))</f>
        <v>01</v>
      </c>
      <c r="C80" s="70" t="str">
        <f>IF(MONTH(RigheOfferte[[#This Row],[data]])&gt;8,"03",IF(MONTH(RigheOfferte[[#This Row],[data]])&gt;4,"02","01"))</f>
        <v>01</v>
      </c>
      <c r="D80" s="71"/>
      <c r="E80" s="71"/>
      <c r="F80" s="83"/>
      <c r="G80" s="71"/>
      <c r="H80" s="69"/>
      <c r="I80" s="71"/>
      <c r="J80" s="82"/>
      <c r="K80" s="84"/>
      <c r="L80" s="84"/>
      <c r="M80" s="71"/>
      <c r="N80" s="71" t="str">
        <f>_xlfn.IFNA(VLOOKUP(RigheOfferte[[#This Row],[Lavorazione]],DescLavorazioni[],2,FALSE),"")</f>
        <v/>
      </c>
      <c r="O80" s="71"/>
      <c r="P80" s="73">
        <f>_xlfn.IFNA(VLOOKUP(RigheOfferte[[#This Row],[Cod Vel]],VeloCatena[],3,FALSE),0)</f>
        <v>0</v>
      </c>
      <c r="Q80" s="85"/>
      <c r="R80" s="85"/>
      <c r="S80" s="71"/>
      <c r="T80" s="71"/>
      <c r="U80" s="71"/>
      <c r="V80" s="74">
        <f>IF(RigheOfferte[[#This Row],[Velocità]]&gt;0,60*RigheOfferte[[#This Row],[Velocità]]/RigheOfferte[[#This Row],[passo]]*RigheOfferte[[#This Row],[nr.pezzi Telaio]],0)</f>
        <v>0</v>
      </c>
      <c r="W80" s="74"/>
      <c r="X8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0" s="74">
        <f>_xlfn.IFNA(INDEX(RiepilogoCostiOrari[],MATCH(YEAR(RigheOfferte[[#This Row],[data]])&amp;RigheOfferte[[#This Row],[Quadrimestre]],QuCostiLav,0),MATCH(RigheOfferte[[#This Row],[Lavorazione]],CodLavorazioni,0)),0)</f>
        <v>0</v>
      </c>
      <c r="AA80" s="76"/>
      <c r="AB80" s="71"/>
      <c r="AC80" s="74">
        <f>RigheOfferte[[#This Row],[Superf.pz Mq]]*Resa*RigheOfferte[[#This Row],[MP (€kg)]]</f>
        <v>0</v>
      </c>
      <c r="AD80" s="77"/>
      <c r="AE80" s="77"/>
      <c r="AF80" s="55">
        <f>_xlfn.IFNA(VLOOKUP(RigheOfferte[[#This Row],[Tipo Protezione]],Protezioni[],2,FALSE),0)</f>
        <v>0</v>
      </c>
      <c r="AG80" s="79"/>
      <c r="AH8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0" s="71">
        <f>RigheOfferte[[#This Row],[altri costi]]+RigheOfferte[[#This Row],[costo industriale pz]]</f>
        <v>0</v>
      </c>
      <c r="AJ80" s="81">
        <f>_xlfn.IFNA(INDEX(Ricarichi[],MATCH(YEAR(RigheOfferte[[#This Row],[data]])&amp;RigheOfferte[[#This Row],[Quadrimestre]],QuCostiLav,0),MATCH(RigheOfferte[[#This Row],[Lavorazione]],CodLavorazioni,0)),0)</f>
        <v>0</v>
      </c>
      <c r="AK80" s="80">
        <f>RigheOfferte[[#This Row],[totale costi]]+(RigheOfferte[[#This Row],[totale costi]]*RigheOfferte[[#This Row],[Ricarico]])</f>
        <v>0</v>
      </c>
      <c r="AL80" s="71">
        <f>RigheOfferte[[#This Row],[Prezzo Di Vendita]]*RigheOfferte[[#This Row],[Q.ta'']]</f>
        <v>0</v>
      </c>
      <c r="AM80" s="71">
        <f>IFERROR(RigheOfferte[[#This Row],[Prezzo Di Vendita]]/RigheOfferte[[#This Row],[Superf.pz Mq]],0)</f>
        <v>0</v>
      </c>
    </row>
    <row r="81" spans="1:39" ht="14.4">
      <c r="A81" s="69" t="str">
        <f>IF(LEN('riepilogo prezzi'!$D81&amp;'riepilogo prezzi'!$E81)&gt;0,'riepilogo prezzi'!$D81&amp;"-"&amp;'riepilogo prezzi'!$E81,"")</f>
        <v/>
      </c>
      <c r="B81" s="70" t="str">
        <f>IF(LEN(MONTH(RigheOfferte[[#This Row],[data]]))=1,0&amp;MONTH(RigheOfferte[[#This Row],[data]]),MONTH(RigheOfferte[[#This Row],[data]]))</f>
        <v>01</v>
      </c>
      <c r="C81" s="70" t="str">
        <f>IF(MONTH(RigheOfferte[[#This Row],[data]])&gt;8,"03",IF(MONTH(RigheOfferte[[#This Row],[data]])&gt;4,"02","01"))</f>
        <v>01</v>
      </c>
      <c r="D81" s="71"/>
      <c r="E81" s="71"/>
      <c r="F81" s="83"/>
      <c r="G81" s="71"/>
      <c r="H81" s="69"/>
      <c r="I81" s="71"/>
      <c r="J81" s="82"/>
      <c r="K81" s="84"/>
      <c r="L81" s="84"/>
      <c r="M81" s="71"/>
      <c r="N81" s="71" t="str">
        <f>_xlfn.IFNA(VLOOKUP(RigheOfferte[[#This Row],[Lavorazione]],DescLavorazioni[],2,FALSE),"")</f>
        <v/>
      </c>
      <c r="O81" s="71"/>
      <c r="P81" s="73">
        <f>_xlfn.IFNA(VLOOKUP(RigheOfferte[[#This Row],[Cod Vel]],VeloCatena[],3,FALSE),0)</f>
        <v>0</v>
      </c>
      <c r="Q81" s="85"/>
      <c r="R81" s="85"/>
      <c r="S81" s="71"/>
      <c r="T81" s="71"/>
      <c r="U81" s="71"/>
      <c r="V81" s="74">
        <f>IF(RigheOfferte[[#This Row],[Velocità]]&gt;0,60*RigheOfferte[[#This Row],[Velocità]]/RigheOfferte[[#This Row],[passo]]*RigheOfferte[[#This Row],[nr.pezzi Telaio]],0)</f>
        <v>0</v>
      </c>
      <c r="W81" s="74"/>
      <c r="X8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1" s="74">
        <f>_xlfn.IFNA(INDEX(RiepilogoCostiOrari[],MATCH(YEAR(RigheOfferte[[#This Row],[data]])&amp;RigheOfferte[[#This Row],[Quadrimestre]],QuCostiLav,0),MATCH(RigheOfferte[[#This Row],[Lavorazione]],CodLavorazioni,0)),0)</f>
        <v>0</v>
      </c>
      <c r="AA81" s="76"/>
      <c r="AB81" s="71"/>
      <c r="AC81" s="74">
        <f>RigheOfferte[[#This Row],[Superf.pz Mq]]*Resa*RigheOfferte[[#This Row],[MP (€kg)]]</f>
        <v>0</v>
      </c>
      <c r="AD81" s="77"/>
      <c r="AE81" s="77"/>
      <c r="AF81" s="55">
        <f>_xlfn.IFNA(VLOOKUP(RigheOfferte[[#This Row],[Tipo Protezione]],Protezioni[],2,FALSE),0)</f>
        <v>0</v>
      </c>
      <c r="AG81" s="79"/>
      <c r="AH8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1" s="71">
        <f>RigheOfferte[[#This Row],[altri costi]]+RigheOfferte[[#This Row],[costo industriale pz]]</f>
        <v>0</v>
      </c>
      <c r="AJ81" s="81">
        <f>_xlfn.IFNA(INDEX(Ricarichi[],MATCH(YEAR(RigheOfferte[[#This Row],[data]])&amp;RigheOfferte[[#This Row],[Quadrimestre]],QuCostiLav,0),MATCH(RigheOfferte[[#This Row],[Lavorazione]],CodLavorazioni,0)),0)</f>
        <v>0</v>
      </c>
      <c r="AK81" s="80">
        <f>RigheOfferte[[#This Row],[totale costi]]+(RigheOfferte[[#This Row],[totale costi]]*RigheOfferte[[#This Row],[Ricarico]])</f>
        <v>0</v>
      </c>
      <c r="AL81" s="71">
        <f>RigheOfferte[[#This Row],[Prezzo Di Vendita]]*RigheOfferte[[#This Row],[Q.ta'']]</f>
        <v>0</v>
      </c>
      <c r="AM81" s="71">
        <f>IFERROR(RigheOfferte[[#This Row],[Prezzo Di Vendita]]/RigheOfferte[[#This Row],[Superf.pz Mq]],0)</f>
        <v>0</v>
      </c>
    </row>
    <row r="82" spans="1:39" ht="14.4">
      <c r="A82" s="69" t="str">
        <f>IF(LEN('riepilogo prezzi'!$D82&amp;'riepilogo prezzi'!$E82)&gt;0,'riepilogo prezzi'!$D82&amp;"-"&amp;'riepilogo prezzi'!$E82,"")</f>
        <v/>
      </c>
      <c r="B82" s="70" t="str">
        <f>IF(LEN(MONTH(RigheOfferte[[#This Row],[data]]))=1,0&amp;MONTH(RigheOfferte[[#This Row],[data]]),MONTH(RigheOfferte[[#This Row],[data]]))</f>
        <v>01</v>
      </c>
      <c r="C82" s="70" t="str">
        <f>IF(MONTH(RigheOfferte[[#This Row],[data]])&gt;8,"03",IF(MONTH(RigheOfferte[[#This Row],[data]])&gt;4,"02","01"))</f>
        <v>01</v>
      </c>
      <c r="D82" s="71"/>
      <c r="E82" s="71"/>
      <c r="F82" s="83"/>
      <c r="G82" s="71"/>
      <c r="H82" s="69"/>
      <c r="I82" s="71"/>
      <c r="J82" s="82"/>
      <c r="K82" s="84"/>
      <c r="L82" s="84"/>
      <c r="M82" s="71"/>
      <c r="N82" s="71" t="str">
        <f>_xlfn.IFNA(VLOOKUP(RigheOfferte[[#This Row],[Lavorazione]],DescLavorazioni[],2,FALSE),"")</f>
        <v/>
      </c>
      <c r="O82" s="71"/>
      <c r="P82" s="73">
        <f>_xlfn.IFNA(VLOOKUP(RigheOfferte[[#This Row],[Cod Vel]],VeloCatena[],3,FALSE),0)</f>
        <v>0</v>
      </c>
      <c r="Q82" s="85"/>
      <c r="R82" s="85"/>
      <c r="S82" s="71"/>
      <c r="T82" s="71"/>
      <c r="U82" s="71"/>
      <c r="V82" s="74">
        <f>IF(RigheOfferte[[#This Row],[Velocità]]&gt;0,60*RigheOfferte[[#This Row],[Velocità]]/RigheOfferte[[#This Row],[passo]]*RigheOfferte[[#This Row],[nr.pezzi Telaio]],0)</f>
        <v>0</v>
      </c>
      <c r="W82" s="74"/>
      <c r="X8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2" s="74">
        <f>_xlfn.IFNA(INDEX(RiepilogoCostiOrari[],MATCH(YEAR(RigheOfferte[[#This Row],[data]])&amp;RigheOfferte[[#This Row],[Quadrimestre]],QuCostiLav,0),MATCH(RigheOfferte[[#This Row],[Lavorazione]],CodLavorazioni,0)),0)</f>
        <v>0</v>
      </c>
      <c r="AA82" s="76"/>
      <c r="AB82" s="71"/>
      <c r="AC82" s="74">
        <f>RigheOfferte[[#This Row],[Superf.pz Mq]]*Resa*RigheOfferte[[#This Row],[MP (€kg)]]</f>
        <v>0</v>
      </c>
      <c r="AD82" s="77"/>
      <c r="AE82" s="77"/>
      <c r="AF82" s="55">
        <f>_xlfn.IFNA(VLOOKUP(RigheOfferte[[#This Row],[Tipo Protezione]],Protezioni[],2,FALSE),0)</f>
        <v>0</v>
      </c>
      <c r="AG82" s="79"/>
      <c r="AH8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2" s="71">
        <f>RigheOfferte[[#This Row],[altri costi]]+RigheOfferte[[#This Row],[costo industriale pz]]</f>
        <v>0</v>
      </c>
      <c r="AJ82" s="81">
        <f>_xlfn.IFNA(INDEX(Ricarichi[],MATCH(YEAR(RigheOfferte[[#This Row],[data]])&amp;RigheOfferte[[#This Row],[Quadrimestre]],QuCostiLav,0),MATCH(RigheOfferte[[#This Row],[Lavorazione]],CodLavorazioni,0)),0)</f>
        <v>0</v>
      </c>
      <c r="AK82" s="80">
        <f>RigheOfferte[[#This Row],[totale costi]]+(RigheOfferte[[#This Row],[totale costi]]*RigheOfferte[[#This Row],[Ricarico]])</f>
        <v>0</v>
      </c>
      <c r="AL82" s="71">
        <f>RigheOfferte[[#This Row],[Prezzo Di Vendita]]*RigheOfferte[[#This Row],[Q.ta'']]</f>
        <v>0</v>
      </c>
      <c r="AM82" s="71">
        <f>IFERROR(RigheOfferte[[#This Row],[Prezzo Di Vendita]]/RigheOfferte[[#This Row],[Superf.pz Mq]],0)</f>
        <v>0</v>
      </c>
    </row>
    <row r="83" spans="1:39" ht="14.4">
      <c r="A83" s="69" t="str">
        <f>IF(LEN('riepilogo prezzi'!$D83&amp;'riepilogo prezzi'!$E83)&gt;0,'riepilogo prezzi'!$D83&amp;"-"&amp;'riepilogo prezzi'!$E83,"")</f>
        <v/>
      </c>
      <c r="B83" s="70" t="str">
        <f>IF(LEN(MONTH(RigheOfferte[[#This Row],[data]]))=1,0&amp;MONTH(RigheOfferte[[#This Row],[data]]),MONTH(RigheOfferte[[#This Row],[data]]))</f>
        <v>01</v>
      </c>
      <c r="C83" s="70" t="str">
        <f>IF(MONTH(RigheOfferte[[#This Row],[data]])&gt;8,"03",IF(MONTH(RigheOfferte[[#This Row],[data]])&gt;4,"02","01"))</f>
        <v>01</v>
      </c>
      <c r="D83" s="71"/>
      <c r="E83" s="71"/>
      <c r="F83" s="83"/>
      <c r="G83" s="71"/>
      <c r="H83" s="69"/>
      <c r="I83" s="71"/>
      <c r="J83" s="82"/>
      <c r="K83" s="84"/>
      <c r="L83" s="84"/>
      <c r="M83" s="71"/>
      <c r="N83" s="71" t="str">
        <f>_xlfn.IFNA(VLOOKUP(RigheOfferte[[#This Row],[Lavorazione]],DescLavorazioni[],2,FALSE),"")</f>
        <v/>
      </c>
      <c r="O83" s="71"/>
      <c r="P83" s="73">
        <f>_xlfn.IFNA(VLOOKUP(RigheOfferte[[#This Row],[Cod Vel]],VeloCatena[],3,FALSE),0)</f>
        <v>0</v>
      </c>
      <c r="Q83" s="85"/>
      <c r="R83" s="85"/>
      <c r="S83" s="71"/>
      <c r="T83" s="71"/>
      <c r="U83" s="71"/>
      <c r="V83" s="74">
        <f>IF(RigheOfferte[[#This Row],[Velocità]]&gt;0,60*RigheOfferte[[#This Row],[Velocità]]/RigheOfferte[[#This Row],[passo]]*RigheOfferte[[#This Row],[nr.pezzi Telaio]],0)</f>
        <v>0</v>
      </c>
      <c r="W83" s="74"/>
      <c r="X8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3" s="74">
        <f>_xlfn.IFNA(INDEX(RiepilogoCostiOrari[],MATCH(YEAR(RigheOfferte[[#This Row],[data]])&amp;RigheOfferte[[#This Row],[Quadrimestre]],QuCostiLav,0),MATCH(RigheOfferte[[#This Row],[Lavorazione]],CodLavorazioni,0)),0)</f>
        <v>0</v>
      </c>
      <c r="AA83" s="76"/>
      <c r="AB83" s="71"/>
      <c r="AC83" s="74">
        <f>RigheOfferte[[#This Row],[Superf.pz Mq]]*Resa*RigheOfferte[[#This Row],[MP (€kg)]]</f>
        <v>0</v>
      </c>
      <c r="AD83" s="77"/>
      <c r="AE83" s="77"/>
      <c r="AF83" s="55">
        <f>_xlfn.IFNA(VLOOKUP(RigheOfferte[[#This Row],[Tipo Protezione]],Protezioni[],2,FALSE),0)</f>
        <v>0</v>
      </c>
      <c r="AG83" s="79"/>
      <c r="AH8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3" s="71">
        <f>RigheOfferte[[#This Row],[altri costi]]+RigheOfferte[[#This Row],[costo industriale pz]]</f>
        <v>0</v>
      </c>
      <c r="AJ83" s="81">
        <f>_xlfn.IFNA(INDEX(Ricarichi[],MATCH(YEAR(RigheOfferte[[#This Row],[data]])&amp;RigheOfferte[[#This Row],[Quadrimestre]],QuCostiLav,0),MATCH(RigheOfferte[[#This Row],[Lavorazione]],CodLavorazioni,0)),0)</f>
        <v>0</v>
      </c>
      <c r="AK83" s="80">
        <f>RigheOfferte[[#This Row],[totale costi]]+(RigheOfferte[[#This Row],[totale costi]]*RigheOfferte[[#This Row],[Ricarico]])</f>
        <v>0</v>
      </c>
      <c r="AL83" s="71">
        <f>RigheOfferte[[#This Row],[Prezzo Di Vendita]]*RigheOfferte[[#This Row],[Q.ta'']]</f>
        <v>0</v>
      </c>
      <c r="AM83" s="71">
        <f>IFERROR(RigheOfferte[[#This Row],[Prezzo Di Vendita]]/RigheOfferte[[#This Row],[Superf.pz Mq]],0)</f>
        <v>0</v>
      </c>
    </row>
    <row r="84" spans="1:39" ht="14.4">
      <c r="A84" s="69" t="str">
        <f>IF(LEN('riepilogo prezzi'!$D84&amp;'riepilogo prezzi'!$E84)&gt;0,'riepilogo prezzi'!$D84&amp;"-"&amp;'riepilogo prezzi'!$E84,"")</f>
        <v/>
      </c>
      <c r="B84" s="70" t="str">
        <f>IF(LEN(MONTH(RigheOfferte[[#This Row],[data]]))=1,0&amp;MONTH(RigheOfferte[[#This Row],[data]]),MONTH(RigheOfferte[[#This Row],[data]]))</f>
        <v>01</v>
      </c>
      <c r="C84" s="70" t="str">
        <f>IF(MONTH(RigheOfferte[[#This Row],[data]])&gt;8,"03",IF(MONTH(RigheOfferte[[#This Row],[data]])&gt;4,"02","01"))</f>
        <v>01</v>
      </c>
      <c r="D84" s="71"/>
      <c r="E84" s="71"/>
      <c r="F84" s="83"/>
      <c r="G84" s="71"/>
      <c r="H84" s="69"/>
      <c r="I84" s="71"/>
      <c r="J84" s="82"/>
      <c r="K84" s="84"/>
      <c r="L84" s="84"/>
      <c r="M84" s="71"/>
      <c r="N84" s="71" t="str">
        <f>_xlfn.IFNA(VLOOKUP(RigheOfferte[[#This Row],[Lavorazione]],DescLavorazioni[],2,FALSE),"")</f>
        <v/>
      </c>
      <c r="O84" s="71"/>
      <c r="P84" s="73">
        <f>_xlfn.IFNA(VLOOKUP(RigheOfferte[[#This Row],[Cod Vel]],VeloCatena[],3,FALSE),0)</f>
        <v>0</v>
      </c>
      <c r="Q84" s="85"/>
      <c r="R84" s="85"/>
      <c r="S84" s="71"/>
      <c r="T84" s="71"/>
      <c r="U84" s="71"/>
      <c r="V84" s="74">
        <f>IF(RigheOfferte[[#This Row],[Velocità]]&gt;0,60*RigheOfferte[[#This Row],[Velocità]]/RigheOfferte[[#This Row],[passo]]*RigheOfferte[[#This Row],[nr.pezzi Telaio]],0)</f>
        <v>0</v>
      </c>
      <c r="W84" s="74"/>
      <c r="X8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4" s="74">
        <f>_xlfn.IFNA(INDEX(RiepilogoCostiOrari[],MATCH(YEAR(RigheOfferte[[#This Row],[data]])&amp;RigheOfferte[[#This Row],[Quadrimestre]],QuCostiLav,0),MATCH(RigheOfferte[[#This Row],[Lavorazione]],CodLavorazioni,0)),0)</f>
        <v>0</v>
      </c>
      <c r="AA84" s="76"/>
      <c r="AB84" s="71"/>
      <c r="AC84" s="74">
        <f>RigheOfferte[[#This Row],[Superf.pz Mq]]*Resa*RigheOfferte[[#This Row],[MP (€kg)]]</f>
        <v>0</v>
      </c>
      <c r="AD84" s="77"/>
      <c r="AE84" s="77"/>
      <c r="AF84" s="55">
        <f>_xlfn.IFNA(VLOOKUP(RigheOfferte[[#This Row],[Tipo Protezione]],Protezioni[],2,FALSE),0)</f>
        <v>0</v>
      </c>
      <c r="AG84" s="79"/>
      <c r="AH8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4" s="71">
        <f>RigheOfferte[[#This Row],[altri costi]]+RigheOfferte[[#This Row],[costo industriale pz]]</f>
        <v>0</v>
      </c>
      <c r="AJ84" s="81">
        <f>_xlfn.IFNA(INDEX(Ricarichi[],MATCH(YEAR(RigheOfferte[[#This Row],[data]])&amp;RigheOfferte[[#This Row],[Quadrimestre]],QuCostiLav,0),MATCH(RigheOfferte[[#This Row],[Lavorazione]],CodLavorazioni,0)),0)</f>
        <v>0</v>
      </c>
      <c r="AK84" s="80">
        <f>RigheOfferte[[#This Row],[totale costi]]+(RigheOfferte[[#This Row],[totale costi]]*RigheOfferte[[#This Row],[Ricarico]])</f>
        <v>0</v>
      </c>
      <c r="AL84" s="71">
        <f>RigheOfferte[[#This Row],[Prezzo Di Vendita]]*RigheOfferte[[#This Row],[Q.ta'']]</f>
        <v>0</v>
      </c>
      <c r="AM84" s="71">
        <f>IFERROR(RigheOfferte[[#This Row],[Prezzo Di Vendita]]/RigheOfferte[[#This Row],[Superf.pz Mq]],0)</f>
        <v>0</v>
      </c>
    </row>
    <row r="85" spans="1:39" ht="14.4">
      <c r="A85" s="69" t="str">
        <f>IF(LEN('riepilogo prezzi'!$D85&amp;'riepilogo prezzi'!$E85)&gt;0,'riepilogo prezzi'!$D85&amp;"-"&amp;'riepilogo prezzi'!$E85,"")</f>
        <v/>
      </c>
      <c r="B85" s="70" t="str">
        <f>IF(LEN(MONTH(RigheOfferte[[#This Row],[data]]))=1,0&amp;MONTH(RigheOfferte[[#This Row],[data]]),MONTH(RigheOfferte[[#This Row],[data]]))</f>
        <v>01</v>
      </c>
      <c r="C85" s="70" t="str">
        <f>IF(MONTH(RigheOfferte[[#This Row],[data]])&gt;8,"03",IF(MONTH(RigheOfferte[[#This Row],[data]])&gt;4,"02","01"))</f>
        <v>01</v>
      </c>
      <c r="D85" s="71"/>
      <c r="E85" s="71"/>
      <c r="F85" s="83"/>
      <c r="G85" s="71"/>
      <c r="H85" s="69"/>
      <c r="I85" s="71"/>
      <c r="J85" s="82"/>
      <c r="K85" s="84"/>
      <c r="L85" s="84"/>
      <c r="M85" s="71"/>
      <c r="N85" s="71" t="str">
        <f>_xlfn.IFNA(VLOOKUP(RigheOfferte[[#This Row],[Lavorazione]],DescLavorazioni[],2,FALSE),"")</f>
        <v/>
      </c>
      <c r="O85" s="71"/>
      <c r="P85" s="73">
        <f>_xlfn.IFNA(VLOOKUP(RigheOfferte[[#This Row],[Cod Vel]],VeloCatena[],3,FALSE),0)</f>
        <v>0</v>
      </c>
      <c r="Q85" s="85"/>
      <c r="R85" s="85"/>
      <c r="S85" s="71"/>
      <c r="T85" s="71"/>
      <c r="U85" s="71"/>
      <c r="V85" s="74">
        <f>IF(RigheOfferte[[#This Row],[Velocità]]&gt;0,60*RigheOfferte[[#This Row],[Velocità]]/RigheOfferte[[#This Row],[passo]]*RigheOfferte[[#This Row],[nr.pezzi Telaio]],0)</f>
        <v>0</v>
      </c>
      <c r="W85" s="74"/>
      <c r="X8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5" s="74">
        <f>_xlfn.IFNA(INDEX(RiepilogoCostiOrari[],MATCH(YEAR(RigheOfferte[[#This Row],[data]])&amp;RigheOfferte[[#This Row],[Quadrimestre]],QuCostiLav,0),MATCH(RigheOfferte[[#This Row],[Lavorazione]],CodLavorazioni,0)),0)</f>
        <v>0</v>
      </c>
      <c r="AA85" s="76"/>
      <c r="AB85" s="71"/>
      <c r="AC85" s="74">
        <f>RigheOfferte[[#This Row],[Superf.pz Mq]]*Resa*RigheOfferte[[#This Row],[MP (€kg)]]</f>
        <v>0</v>
      </c>
      <c r="AD85" s="77"/>
      <c r="AE85" s="77"/>
      <c r="AF85" s="55">
        <f>_xlfn.IFNA(VLOOKUP(RigheOfferte[[#This Row],[Tipo Protezione]],Protezioni[],2,FALSE),0)</f>
        <v>0</v>
      </c>
      <c r="AG85" s="79"/>
      <c r="AH8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5" s="71">
        <f>RigheOfferte[[#This Row],[altri costi]]+RigheOfferte[[#This Row],[costo industriale pz]]</f>
        <v>0</v>
      </c>
      <c r="AJ85" s="81">
        <f>_xlfn.IFNA(INDEX(Ricarichi[],MATCH(YEAR(RigheOfferte[[#This Row],[data]])&amp;RigheOfferte[[#This Row],[Quadrimestre]],QuCostiLav,0),MATCH(RigheOfferte[[#This Row],[Lavorazione]],CodLavorazioni,0)),0)</f>
        <v>0</v>
      </c>
      <c r="AK85" s="80">
        <f>RigheOfferte[[#This Row],[totale costi]]+(RigheOfferte[[#This Row],[totale costi]]*RigheOfferte[[#This Row],[Ricarico]])</f>
        <v>0</v>
      </c>
      <c r="AL85" s="71">
        <f>RigheOfferte[[#This Row],[Prezzo Di Vendita]]*RigheOfferte[[#This Row],[Q.ta'']]</f>
        <v>0</v>
      </c>
      <c r="AM85" s="71">
        <f>IFERROR(RigheOfferte[[#This Row],[Prezzo Di Vendita]]/RigheOfferte[[#This Row],[Superf.pz Mq]],0)</f>
        <v>0</v>
      </c>
    </row>
    <row r="86" spans="1:39" ht="14.4">
      <c r="A86" s="69" t="str">
        <f>IF(LEN('riepilogo prezzi'!$D86&amp;'riepilogo prezzi'!$E86)&gt;0,'riepilogo prezzi'!$D86&amp;"-"&amp;'riepilogo prezzi'!$E86,"")</f>
        <v/>
      </c>
      <c r="B86" s="70" t="str">
        <f>IF(LEN(MONTH(RigheOfferte[[#This Row],[data]]))=1,0&amp;MONTH(RigheOfferte[[#This Row],[data]]),MONTH(RigheOfferte[[#This Row],[data]]))</f>
        <v>01</v>
      </c>
      <c r="C86" s="70" t="str">
        <f>IF(MONTH(RigheOfferte[[#This Row],[data]])&gt;8,"03",IF(MONTH(RigheOfferte[[#This Row],[data]])&gt;4,"02","01"))</f>
        <v>01</v>
      </c>
      <c r="D86" s="71"/>
      <c r="E86" s="71"/>
      <c r="F86" s="83"/>
      <c r="G86" s="71"/>
      <c r="H86" s="69"/>
      <c r="I86" s="71"/>
      <c r="J86" s="82"/>
      <c r="K86" s="84"/>
      <c r="L86" s="84"/>
      <c r="M86" s="71"/>
      <c r="N86" s="71" t="str">
        <f>_xlfn.IFNA(VLOOKUP(RigheOfferte[[#This Row],[Lavorazione]],DescLavorazioni[],2,FALSE),"")</f>
        <v/>
      </c>
      <c r="O86" s="71"/>
      <c r="P86" s="73">
        <f>_xlfn.IFNA(VLOOKUP(RigheOfferte[[#This Row],[Cod Vel]],VeloCatena[],3,FALSE),0)</f>
        <v>0</v>
      </c>
      <c r="Q86" s="85"/>
      <c r="R86" s="85"/>
      <c r="S86" s="71"/>
      <c r="T86" s="71"/>
      <c r="U86" s="71"/>
      <c r="V86" s="74">
        <f>IF(RigheOfferte[[#This Row],[Velocità]]&gt;0,60*RigheOfferte[[#This Row],[Velocità]]/RigheOfferte[[#This Row],[passo]]*RigheOfferte[[#This Row],[nr.pezzi Telaio]],0)</f>
        <v>0</v>
      </c>
      <c r="W86" s="74"/>
      <c r="X8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6" s="74">
        <f>_xlfn.IFNA(INDEX(RiepilogoCostiOrari[],MATCH(YEAR(RigheOfferte[[#This Row],[data]])&amp;RigheOfferte[[#This Row],[Quadrimestre]],QuCostiLav,0),MATCH(RigheOfferte[[#This Row],[Lavorazione]],CodLavorazioni,0)),0)</f>
        <v>0</v>
      </c>
      <c r="AA86" s="76"/>
      <c r="AB86" s="71"/>
      <c r="AC86" s="74">
        <f>RigheOfferte[[#This Row],[Superf.pz Mq]]*Resa*RigheOfferte[[#This Row],[MP (€kg)]]</f>
        <v>0</v>
      </c>
      <c r="AD86" s="77"/>
      <c r="AE86" s="77"/>
      <c r="AF86" s="55">
        <f>_xlfn.IFNA(VLOOKUP(RigheOfferte[[#This Row],[Tipo Protezione]],Protezioni[],2,FALSE),0)</f>
        <v>0</v>
      </c>
      <c r="AG86" s="79"/>
      <c r="AH8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6" s="71">
        <f>RigheOfferte[[#This Row],[altri costi]]+RigheOfferte[[#This Row],[costo industriale pz]]</f>
        <v>0</v>
      </c>
      <c r="AJ86" s="81">
        <f>_xlfn.IFNA(INDEX(Ricarichi[],MATCH(YEAR(RigheOfferte[[#This Row],[data]])&amp;RigheOfferte[[#This Row],[Quadrimestre]],QuCostiLav,0),MATCH(RigheOfferte[[#This Row],[Lavorazione]],CodLavorazioni,0)),0)</f>
        <v>0</v>
      </c>
      <c r="AK86" s="80">
        <f>RigheOfferte[[#This Row],[totale costi]]+(RigheOfferte[[#This Row],[totale costi]]*RigheOfferte[[#This Row],[Ricarico]])</f>
        <v>0</v>
      </c>
      <c r="AL86" s="71">
        <f>RigheOfferte[[#This Row],[Prezzo Di Vendita]]*RigheOfferte[[#This Row],[Q.ta'']]</f>
        <v>0</v>
      </c>
      <c r="AM86" s="71">
        <f>IFERROR(RigheOfferte[[#This Row],[Prezzo Di Vendita]]/RigheOfferte[[#This Row],[Superf.pz Mq]],0)</f>
        <v>0</v>
      </c>
    </row>
    <row r="87" spans="1:39" ht="14.4">
      <c r="A87" s="69" t="str">
        <f>IF(LEN('riepilogo prezzi'!$D87&amp;'riepilogo prezzi'!$E87)&gt;0,'riepilogo prezzi'!$D87&amp;"-"&amp;'riepilogo prezzi'!$E87,"")</f>
        <v/>
      </c>
      <c r="B87" s="70" t="str">
        <f>IF(LEN(MONTH(RigheOfferte[[#This Row],[data]]))=1,0&amp;MONTH(RigheOfferte[[#This Row],[data]]),MONTH(RigheOfferte[[#This Row],[data]]))</f>
        <v>01</v>
      </c>
      <c r="C87" s="70" t="str">
        <f>IF(MONTH(RigheOfferte[[#This Row],[data]])&gt;8,"03",IF(MONTH(RigheOfferte[[#This Row],[data]])&gt;4,"02","01"))</f>
        <v>01</v>
      </c>
      <c r="D87" s="71"/>
      <c r="E87" s="71"/>
      <c r="F87" s="83"/>
      <c r="G87" s="71"/>
      <c r="H87" s="69"/>
      <c r="I87" s="71"/>
      <c r="J87" s="22"/>
      <c r="K87" s="72"/>
      <c r="L87" s="71"/>
      <c r="M87" s="71"/>
      <c r="N87" s="71" t="str">
        <f>_xlfn.IFNA(VLOOKUP(RigheOfferte[[#This Row],[Lavorazione]],DescLavorazioni[],2,FALSE),"")</f>
        <v/>
      </c>
      <c r="O87" s="71"/>
      <c r="P87" s="73">
        <f>_xlfn.IFNA(VLOOKUP(RigheOfferte[[#This Row],[Cod Vel]],VeloCatena[],3,FALSE),0)</f>
        <v>0</v>
      </c>
      <c r="Q87" s="86"/>
      <c r="R87" s="71"/>
      <c r="S87" s="71"/>
      <c r="T87" s="71"/>
      <c r="U87" s="71"/>
      <c r="V87" s="74">
        <f>IF(RigheOfferte[[#This Row],[Velocità]]&gt;0,60*RigheOfferte[[#This Row],[Velocità]]/RigheOfferte[[#This Row],[passo]]*RigheOfferte[[#This Row],[nr.pezzi Telaio]],0)</f>
        <v>0</v>
      </c>
      <c r="W87" s="74"/>
      <c r="X8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7" s="74">
        <f>_xlfn.IFNA(INDEX(RiepilogoCostiOrari[],MATCH(YEAR(RigheOfferte[[#This Row],[data]])&amp;RigheOfferte[[#This Row],[Quadrimestre]],QuCostiLav,0),MATCH(RigheOfferte[[#This Row],[Lavorazione]],CodLavorazioni,0)),0)</f>
        <v>0</v>
      </c>
      <c r="AA87" s="76"/>
      <c r="AB87" s="71"/>
      <c r="AC87" s="74">
        <f>RigheOfferte[[#This Row],[Superf.pz Mq]]*Resa*RigheOfferte[[#This Row],[MP (€kg)]]</f>
        <v>0</v>
      </c>
      <c r="AD87" s="77"/>
      <c r="AE87" s="77"/>
      <c r="AF87" s="55">
        <f>_xlfn.IFNA(VLOOKUP(RigheOfferte[[#This Row],[Tipo Protezione]],Protezioni[],2,FALSE),0)</f>
        <v>0</v>
      </c>
      <c r="AG87" s="79"/>
      <c r="AH8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7" s="71">
        <f>RigheOfferte[[#This Row],[altri costi]]+RigheOfferte[[#This Row],[costo industriale pz]]</f>
        <v>0</v>
      </c>
      <c r="AJ87" s="81">
        <f>_xlfn.IFNA(INDEX(Ricarichi[],MATCH(YEAR(RigheOfferte[[#This Row],[data]])&amp;RigheOfferte[[#This Row],[Quadrimestre]],QuCostiLav,0),MATCH(RigheOfferte[[#This Row],[Lavorazione]],CodLavorazioni,0)),0)</f>
        <v>0</v>
      </c>
      <c r="AK87" s="80">
        <f>RigheOfferte[[#This Row],[totale costi]]+(RigheOfferte[[#This Row],[totale costi]]*RigheOfferte[[#This Row],[Ricarico]])</f>
        <v>0</v>
      </c>
      <c r="AL87" s="71">
        <f>RigheOfferte[[#This Row],[Prezzo Di Vendita]]*RigheOfferte[[#This Row],[Q.ta'']]</f>
        <v>0</v>
      </c>
      <c r="AM87" s="71">
        <f>IFERROR(RigheOfferte[[#This Row],[Prezzo Di Vendita]]/RigheOfferte[[#This Row],[Superf.pz Mq]],0)</f>
        <v>0</v>
      </c>
    </row>
    <row r="88" spans="1:39" ht="15.6">
      <c r="A88" s="69" t="str">
        <f>IF(LEN('riepilogo prezzi'!$D88&amp;'riepilogo prezzi'!$E88)&gt;0,'riepilogo prezzi'!$D88&amp;"-"&amp;'riepilogo prezzi'!$E88,"")</f>
        <v/>
      </c>
      <c r="B88" s="70" t="str">
        <f>IF(LEN(MONTH(RigheOfferte[[#This Row],[data]]))=1,0&amp;MONTH(RigheOfferte[[#This Row],[data]]),MONTH(RigheOfferte[[#This Row],[data]]))</f>
        <v>01</v>
      </c>
      <c r="C88" s="70" t="str">
        <f>IF(MONTH(RigheOfferte[[#This Row],[data]])&gt;8,"03",IF(MONTH(RigheOfferte[[#This Row],[data]])&gt;4,"02","01"))</f>
        <v>01</v>
      </c>
      <c r="D88" s="71"/>
      <c r="E88" s="71"/>
      <c r="F88" s="83"/>
      <c r="G88" s="71"/>
      <c r="H88" s="69"/>
      <c r="I88" s="71"/>
      <c r="J88" s="22"/>
      <c r="K88" s="72"/>
      <c r="L88" s="71"/>
      <c r="M88" s="71"/>
      <c r="N88" s="71" t="str">
        <f>_xlfn.IFNA(VLOOKUP(RigheOfferte[[#This Row],[Lavorazione]],DescLavorazioni[],2,FALSE),"")</f>
        <v/>
      </c>
      <c r="O88" s="71"/>
      <c r="P88" s="73">
        <f>_xlfn.IFNA(VLOOKUP(RigheOfferte[[#This Row],[Cod Vel]],VeloCatena[],3,FALSE),0)</f>
        <v>0</v>
      </c>
      <c r="Q88" s="90"/>
      <c r="R88" s="71"/>
      <c r="S88" s="71"/>
      <c r="T88" s="71"/>
      <c r="U88" s="71"/>
      <c r="V88" s="74">
        <f>IF(RigheOfferte[[#This Row],[Velocità]]&gt;0,60*RigheOfferte[[#This Row],[Velocità]]/RigheOfferte[[#This Row],[passo]]*RigheOfferte[[#This Row],[nr.pezzi Telaio]],0)</f>
        <v>0</v>
      </c>
      <c r="W88" s="74"/>
      <c r="X8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8" s="74">
        <f>_xlfn.IFNA(INDEX(RiepilogoCostiOrari[],MATCH(YEAR(RigheOfferte[[#This Row],[data]])&amp;RigheOfferte[[#This Row],[Quadrimestre]],QuCostiLav,0),MATCH(RigheOfferte[[#This Row],[Lavorazione]],CodLavorazioni,0)),0)</f>
        <v>0</v>
      </c>
      <c r="AA88" s="76"/>
      <c r="AB88" s="71"/>
      <c r="AC88" s="74">
        <f>RigheOfferte[[#This Row],[Superf.pz Mq]]*Resa*RigheOfferte[[#This Row],[MP (€kg)]]</f>
        <v>0</v>
      </c>
      <c r="AD88" s="77"/>
      <c r="AE88" s="77"/>
      <c r="AF88" s="55">
        <f>_xlfn.IFNA(VLOOKUP(RigheOfferte[[#This Row],[Tipo Protezione]],Protezioni[],2,FALSE),0)</f>
        <v>0</v>
      </c>
      <c r="AG88" s="79"/>
      <c r="AH8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8" s="71">
        <f>RigheOfferte[[#This Row],[altri costi]]+RigheOfferte[[#This Row],[costo industriale pz]]</f>
        <v>0</v>
      </c>
      <c r="AJ88" s="81">
        <f>_xlfn.IFNA(INDEX(Ricarichi[],MATCH(YEAR(RigheOfferte[[#This Row],[data]])&amp;RigheOfferte[[#This Row],[Quadrimestre]],QuCostiLav,0),MATCH(RigheOfferte[[#This Row],[Lavorazione]],CodLavorazioni,0)),0)</f>
        <v>0</v>
      </c>
      <c r="AK88" s="80">
        <f>RigheOfferte[[#This Row],[totale costi]]+(RigheOfferte[[#This Row],[totale costi]]*RigheOfferte[[#This Row],[Ricarico]])</f>
        <v>0</v>
      </c>
      <c r="AL88" s="71">
        <f>RigheOfferte[[#This Row],[Prezzo Di Vendita]]*RigheOfferte[[#This Row],[Q.ta'']]</f>
        <v>0</v>
      </c>
      <c r="AM88" s="71">
        <f>IFERROR(RigheOfferte[[#This Row],[Prezzo Di Vendita]]/RigheOfferte[[#This Row],[Superf.pz Mq]],0)</f>
        <v>0</v>
      </c>
    </row>
    <row r="89" spans="1:39" ht="14.4">
      <c r="A89" s="69" t="str">
        <f>IF(LEN('riepilogo prezzi'!$D89&amp;'riepilogo prezzi'!$E89)&gt;0,'riepilogo prezzi'!$D89&amp;"-"&amp;'riepilogo prezzi'!$E89,"")</f>
        <v/>
      </c>
      <c r="B89" s="70" t="str">
        <f>IF(LEN(MONTH(RigheOfferte[[#This Row],[data]]))=1,0&amp;MONTH(RigheOfferte[[#This Row],[data]]),MONTH(RigheOfferte[[#This Row],[data]]))</f>
        <v>01</v>
      </c>
      <c r="C89" s="70" t="str">
        <f>IF(MONTH(RigheOfferte[[#This Row],[data]])&gt;8,"03",IF(MONTH(RigheOfferte[[#This Row],[data]])&gt;4,"02","01"))</f>
        <v>01</v>
      </c>
      <c r="D89" s="71"/>
      <c r="E89" s="71"/>
      <c r="F89" s="83"/>
      <c r="G89" s="71"/>
      <c r="H89" s="69"/>
      <c r="I89" s="71"/>
      <c r="J89" s="82"/>
      <c r="K89" s="84"/>
      <c r="L89" s="84"/>
      <c r="M89" s="71"/>
      <c r="N89" s="71" t="str">
        <f>_xlfn.IFNA(VLOOKUP(RigheOfferte[[#This Row],[Lavorazione]],DescLavorazioni[],2,FALSE),"")</f>
        <v/>
      </c>
      <c r="O89" s="71"/>
      <c r="P89" s="73">
        <f>_xlfn.IFNA(VLOOKUP(RigheOfferte[[#This Row],[Cod Vel]],VeloCatena[],3,FALSE),0)</f>
        <v>0</v>
      </c>
      <c r="Q89" s="89"/>
      <c r="R89" s="71"/>
      <c r="S89" s="71"/>
      <c r="T89" s="71"/>
      <c r="U89" s="71"/>
      <c r="V89" s="74">
        <f>IF(RigheOfferte[[#This Row],[Velocità]]&gt;0,60*RigheOfferte[[#This Row],[Velocità]]/RigheOfferte[[#This Row],[passo]]*RigheOfferte[[#This Row],[nr.pezzi Telaio]],0)</f>
        <v>0</v>
      </c>
      <c r="W89" s="74"/>
      <c r="X8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8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89" s="74">
        <f>_xlfn.IFNA(INDEX(RiepilogoCostiOrari[],MATCH(YEAR(RigheOfferte[[#This Row],[data]])&amp;RigheOfferte[[#This Row],[Quadrimestre]],QuCostiLav,0),MATCH(RigheOfferte[[#This Row],[Lavorazione]],CodLavorazioni,0)),0)</f>
        <v>0</v>
      </c>
      <c r="AA89" s="76"/>
      <c r="AB89" s="71"/>
      <c r="AC89" s="74">
        <f>RigheOfferte[[#This Row],[Superf.pz Mq]]*Resa*RigheOfferte[[#This Row],[MP (€kg)]]</f>
        <v>0</v>
      </c>
      <c r="AD89" s="77"/>
      <c r="AE89" s="77"/>
      <c r="AF89" s="55">
        <f>_xlfn.IFNA(VLOOKUP(RigheOfferte[[#This Row],[Tipo Protezione]],Protezioni[],2,FALSE),0)</f>
        <v>0</v>
      </c>
      <c r="AG89" s="79"/>
      <c r="AH8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89" s="71">
        <f>RigheOfferte[[#This Row],[altri costi]]+RigheOfferte[[#This Row],[costo industriale pz]]</f>
        <v>0</v>
      </c>
      <c r="AJ89" s="81">
        <f>_xlfn.IFNA(INDEX(Ricarichi[],MATCH(YEAR(RigheOfferte[[#This Row],[data]])&amp;RigheOfferte[[#This Row],[Quadrimestre]],QuCostiLav,0),MATCH(RigheOfferte[[#This Row],[Lavorazione]],CodLavorazioni,0)),0)</f>
        <v>0</v>
      </c>
      <c r="AK89" s="80">
        <f>RigheOfferte[[#This Row],[totale costi]]+(RigheOfferte[[#This Row],[totale costi]]*RigheOfferte[[#This Row],[Ricarico]])</f>
        <v>0</v>
      </c>
      <c r="AL89" s="71">
        <f>RigheOfferte[[#This Row],[Prezzo Di Vendita]]*RigheOfferte[[#This Row],[Q.ta'']]</f>
        <v>0</v>
      </c>
      <c r="AM89" s="71">
        <f>IFERROR(RigheOfferte[[#This Row],[Prezzo Di Vendita]]/RigheOfferte[[#This Row],[Superf.pz Mq]],0)</f>
        <v>0</v>
      </c>
    </row>
    <row r="90" spans="1:39" ht="14.4">
      <c r="A90" s="69" t="str">
        <f>IF(LEN('riepilogo prezzi'!$D90&amp;'riepilogo prezzi'!$E90)&gt;0,'riepilogo prezzi'!$D90&amp;"-"&amp;'riepilogo prezzi'!$E90,"")</f>
        <v/>
      </c>
      <c r="B90" s="70" t="str">
        <f>IF(LEN(MONTH(RigheOfferte[[#This Row],[data]]))=1,0&amp;MONTH(RigheOfferte[[#This Row],[data]]),MONTH(RigheOfferte[[#This Row],[data]]))</f>
        <v>01</v>
      </c>
      <c r="C90" s="70" t="str">
        <f>IF(MONTH(RigheOfferte[[#This Row],[data]])&gt;8,"03",IF(MONTH(RigheOfferte[[#This Row],[data]])&gt;4,"02","01"))</f>
        <v>01</v>
      </c>
      <c r="D90" s="71"/>
      <c r="E90" s="71"/>
      <c r="F90" s="83"/>
      <c r="G90" s="71"/>
      <c r="H90" s="69"/>
      <c r="I90" s="71"/>
      <c r="J90" s="82"/>
      <c r="K90" s="84"/>
      <c r="L90" s="84"/>
      <c r="M90" s="71"/>
      <c r="N90" s="71" t="str">
        <f>_xlfn.IFNA(VLOOKUP(RigheOfferte[[#This Row],[Lavorazione]],DescLavorazioni[],2,FALSE),"")</f>
        <v/>
      </c>
      <c r="O90" s="71"/>
      <c r="P90" s="73">
        <f>_xlfn.IFNA(VLOOKUP(RigheOfferte[[#This Row],[Cod Vel]],VeloCatena[],3,FALSE),0)</f>
        <v>0</v>
      </c>
      <c r="Q90" s="89"/>
      <c r="R90" s="71"/>
      <c r="S90" s="71"/>
      <c r="T90" s="71"/>
      <c r="U90" s="71"/>
      <c r="V90" s="74">
        <f>IF(RigheOfferte[[#This Row],[Velocità]]&gt;0,60*RigheOfferte[[#This Row],[Velocità]]/RigheOfferte[[#This Row],[passo]]*RigheOfferte[[#This Row],[nr.pezzi Telaio]],0)</f>
        <v>0</v>
      </c>
      <c r="W90" s="74"/>
      <c r="X9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0" s="74">
        <f>_xlfn.IFNA(INDEX(RiepilogoCostiOrari[],MATCH(YEAR(RigheOfferte[[#This Row],[data]])&amp;RigheOfferte[[#This Row],[Quadrimestre]],QuCostiLav,0),MATCH(RigheOfferte[[#This Row],[Lavorazione]],CodLavorazioni,0)),0)</f>
        <v>0</v>
      </c>
      <c r="AA90" s="76"/>
      <c r="AB90" s="71"/>
      <c r="AC90" s="74">
        <f>RigheOfferte[[#This Row],[Superf.pz Mq]]*Resa*RigheOfferte[[#This Row],[MP (€kg)]]</f>
        <v>0</v>
      </c>
      <c r="AD90" s="77"/>
      <c r="AE90" s="77"/>
      <c r="AF90" s="55">
        <f>_xlfn.IFNA(VLOOKUP(RigheOfferte[[#This Row],[Tipo Protezione]],Protezioni[],2,FALSE),0)</f>
        <v>0</v>
      </c>
      <c r="AG90" s="79"/>
      <c r="AH9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0" s="71">
        <f>RigheOfferte[[#This Row],[altri costi]]+RigheOfferte[[#This Row],[costo industriale pz]]</f>
        <v>0</v>
      </c>
      <c r="AJ90" s="81">
        <f>_xlfn.IFNA(INDEX(Ricarichi[],MATCH(YEAR(RigheOfferte[[#This Row],[data]])&amp;RigheOfferte[[#This Row],[Quadrimestre]],QuCostiLav,0),MATCH(RigheOfferte[[#This Row],[Lavorazione]],CodLavorazioni,0)),0)</f>
        <v>0</v>
      </c>
      <c r="AK90" s="80">
        <f>RigheOfferte[[#This Row],[totale costi]]+(RigheOfferte[[#This Row],[totale costi]]*RigheOfferte[[#This Row],[Ricarico]])</f>
        <v>0</v>
      </c>
      <c r="AL90" s="71">
        <f>RigheOfferte[[#This Row],[Prezzo Di Vendita]]*RigheOfferte[[#This Row],[Q.ta'']]</f>
        <v>0</v>
      </c>
      <c r="AM90" s="71">
        <f>IFERROR(RigheOfferte[[#This Row],[Prezzo Di Vendita]]/RigheOfferte[[#This Row],[Superf.pz Mq]],0)</f>
        <v>0</v>
      </c>
    </row>
    <row r="91" spans="1:39" ht="14.4">
      <c r="A91" s="69" t="str">
        <f>IF(LEN('riepilogo prezzi'!$D91&amp;'riepilogo prezzi'!$E91)&gt;0,'riepilogo prezzi'!$D91&amp;"-"&amp;'riepilogo prezzi'!$E91,"")</f>
        <v/>
      </c>
      <c r="B91" s="70" t="str">
        <f>IF(LEN(MONTH(RigheOfferte[[#This Row],[data]]))=1,0&amp;MONTH(RigheOfferte[[#This Row],[data]]),MONTH(RigheOfferte[[#This Row],[data]]))</f>
        <v>01</v>
      </c>
      <c r="C91" s="70" t="str">
        <f>IF(MONTH(RigheOfferte[[#This Row],[data]])&gt;8,"03",IF(MONTH(RigheOfferte[[#This Row],[data]])&gt;4,"02","01"))</f>
        <v>01</v>
      </c>
      <c r="D91" s="71"/>
      <c r="E91" s="71"/>
      <c r="F91" s="83"/>
      <c r="G91" s="71"/>
      <c r="H91" s="69"/>
      <c r="I91" s="71"/>
      <c r="J91" s="82"/>
      <c r="K91" s="84"/>
      <c r="L91" s="84"/>
      <c r="M91" s="71"/>
      <c r="N91" s="71" t="str">
        <f>_xlfn.IFNA(VLOOKUP(RigheOfferte[[#This Row],[Lavorazione]],DescLavorazioni[],2,FALSE),"")</f>
        <v/>
      </c>
      <c r="O91" s="71"/>
      <c r="P91" s="73">
        <f>_xlfn.IFNA(VLOOKUP(RigheOfferte[[#This Row],[Cod Vel]],VeloCatena[],3,FALSE),0)</f>
        <v>0</v>
      </c>
      <c r="Q91" s="89"/>
      <c r="R91" s="71"/>
      <c r="S91" s="71"/>
      <c r="T91" s="71"/>
      <c r="U91" s="71"/>
      <c r="V91" s="74">
        <f>IF(RigheOfferte[[#This Row],[Velocità]]&gt;0,60*RigheOfferte[[#This Row],[Velocità]]/RigheOfferte[[#This Row],[passo]]*RigheOfferte[[#This Row],[nr.pezzi Telaio]],0)</f>
        <v>0</v>
      </c>
      <c r="W91" s="74"/>
      <c r="X9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1" s="74">
        <f>_xlfn.IFNA(INDEX(RiepilogoCostiOrari[],MATCH(YEAR(RigheOfferte[[#This Row],[data]])&amp;RigheOfferte[[#This Row],[Quadrimestre]],QuCostiLav,0),MATCH(RigheOfferte[[#This Row],[Lavorazione]],CodLavorazioni,0)),0)</f>
        <v>0</v>
      </c>
      <c r="AA91" s="76"/>
      <c r="AB91" s="71"/>
      <c r="AC91" s="74">
        <f>RigheOfferte[[#This Row],[Superf.pz Mq]]*Resa*RigheOfferte[[#This Row],[MP (€kg)]]</f>
        <v>0</v>
      </c>
      <c r="AD91" s="77"/>
      <c r="AE91" s="77"/>
      <c r="AF91" s="55">
        <f>_xlfn.IFNA(VLOOKUP(RigheOfferte[[#This Row],[Tipo Protezione]],Protezioni[],2,FALSE),0)</f>
        <v>0</v>
      </c>
      <c r="AG91" s="79"/>
      <c r="AH9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1" s="71">
        <f>RigheOfferte[[#This Row],[altri costi]]+RigheOfferte[[#This Row],[costo industriale pz]]</f>
        <v>0</v>
      </c>
      <c r="AJ91" s="81">
        <f>_xlfn.IFNA(INDEX(Ricarichi[],MATCH(YEAR(RigheOfferte[[#This Row],[data]])&amp;RigheOfferte[[#This Row],[Quadrimestre]],QuCostiLav,0),MATCH(RigheOfferte[[#This Row],[Lavorazione]],CodLavorazioni,0)),0)</f>
        <v>0</v>
      </c>
      <c r="AK91" s="80">
        <f>RigheOfferte[[#This Row],[totale costi]]+(RigheOfferte[[#This Row],[totale costi]]*RigheOfferte[[#This Row],[Ricarico]])</f>
        <v>0</v>
      </c>
      <c r="AL91" s="71">
        <f>RigheOfferte[[#This Row],[Prezzo Di Vendita]]*RigheOfferte[[#This Row],[Q.ta'']]</f>
        <v>0</v>
      </c>
      <c r="AM91" s="71">
        <f>IFERROR(RigheOfferte[[#This Row],[Prezzo Di Vendita]]/RigheOfferte[[#This Row],[Superf.pz Mq]],0)</f>
        <v>0</v>
      </c>
    </row>
    <row r="92" spans="1:39" ht="14.4">
      <c r="A92" s="69" t="str">
        <f>IF(LEN('riepilogo prezzi'!$D92&amp;'riepilogo prezzi'!$E92)&gt;0,'riepilogo prezzi'!$D92&amp;"-"&amp;'riepilogo prezzi'!$E92,"")</f>
        <v/>
      </c>
      <c r="B92" s="70" t="str">
        <f>IF(LEN(MONTH(RigheOfferte[[#This Row],[data]]))=1,0&amp;MONTH(RigheOfferte[[#This Row],[data]]),MONTH(RigheOfferte[[#This Row],[data]]))</f>
        <v>01</v>
      </c>
      <c r="C92" s="70" t="str">
        <f>IF(MONTH(RigheOfferte[[#This Row],[data]])&gt;8,"03",IF(MONTH(RigheOfferte[[#This Row],[data]])&gt;4,"02","01"))</f>
        <v>01</v>
      </c>
      <c r="D92" s="71"/>
      <c r="E92" s="71"/>
      <c r="F92" s="83"/>
      <c r="G92" s="71"/>
      <c r="H92" s="69"/>
      <c r="I92" s="71"/>
      <c r="J92" s="82"/>
      <c r="K92" s="84"/>
      <c r="L92" s="84"/>
      <c r="M92" s="71"/>
      <c r="N92" s="71" t="str">
        <f>_xlfn.IFNA(VLOOKUP(RigheOfferte[[#This Row],[Lavorazione]],DescLavorazioni[],2,FALSE),"")</f>
        <v/>
      </c>
      <c r="O92" s="71"/>
      <c r="P92" s="73">
        <f>_xlfn.IFNA(VLOOKUP(RigheOfferte[[#This Row],[Cod Vel]],VeloCatena[],3,FALSE),0)</f>
        <v>0</v>
      </c>
      <c r="Q92" s="89"/>
      <c r="R92" s="71"/>
      <c r="S92" s="71"/>
      <c r="T92" s="71"/>
      <c r="U92" s="71"/>
      <c r="V92" s="74">
        <f>IF(RigheOfferte[[#This Row],[Velocità]]&gt;0,60*RigheOfferte[[#This Row],[Velocità]]/RigheOfferte[[#This Row],[passo]]*RigheOfferte[[#This Row],[nr.pezzi Telaio]],0)</f>
        <v>0</v>
      </c>
      <c r="W92" s="74"/>
      <c r="X9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2" s="74">
        <f>_xlfn.IFNA(INDEX(RiepilogoCostiOrari[],MATCH(YEAR(RigheOfferte[[#This Row],[data]])&amp;RigheOfferte[[#This Row],[Quadrimestre]],QuCostiLav,0),MATCH(RigheOfferte[[#This Row],[Lavorazione]],CodLavorazioni,0)),0)</f>
        <v>0</v>
      </c>
      <c r="AA92" s="76"/>
      <c r="AB92" s="71"/>
      <c r="AC92" s="74">
        <f>RigheOfferte[[#This Row],[Superf.pz Mq]]*Resa*RigheOfferte[[#This Row],[MP (€kg)]]</f>
        <v>0</v>
      </c>
      <c r="AD92" s="77"/>
      <c r="AE92" s="77"/>
      <c r="AF92" s="55">
        <f>_xlfn.IFNA(VLOOKUP(RigheOfferte[[#This Row],[Tipo Protezione]],Protezioni[],2,FALSE),0)</f>
        <v>0</v>
      </c>
      <c r="AG92" s="79"/>
      <c r="AH9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2" s="71">
        <f>RigheOfferte[[#This Row],[altri costi]]+RigheOfferte[[#This Row],[costo industriale pz]]</f>
        <v>0</v>
      </c>
      <c r="AJ92" s="81">
        <f>_xlfn.IFNA(INDEX(Ricarichi[],MATCH(YEAR(RigheOfferte[[#This Row],[data]])&amp;RigheOfferte[[#This Row],[Quadrimestre]],QuCostiLav,0),MATCH(RigheOfferte[[#This Row],[Lavorazione]],CodLavorazioni,0)),0)</f>
        <v>0</v>
      </c>
      <c r="AK92" s="80">
        <f>RigheOfferte[[#This Row],[totale costi]]+(RigheOfferte[[#This Row],[totale costi]]*RigheOfferte[[#This Row],[Ricarico]])</f>
        <v>0</v>
      </c>
      <c r="AL92" s="71">
        <f>RigheOfferte[[#This Row],[Prezzo Di Vendita]]*RigheOfferte[[#This Row],[Q.ta'']]</f>
        <v>0</v>
      </c>
      <c r="AM92" s="71">
        <f>IFERROR(RigheOfferte[[#This Row],[Prezzo Di Vendita]]/RigheOfferte[[#This Row],[Superf.pz Mq]],0)</f>
        <v>0</v>
      </c>
    </row>
    <row r="93" spans="1:39" ht="14.4">
      <c r="A93" s="69" t="str">
        <f>IF(LEN('riepilogo prezzi'!$D93&amp;'riepilogo prezzi'!$E93)&gt;0,'riepilogo prezzi'!$D93&amp;"-"&amp;'riepilogo prezzi'!$E93,"")</f>
        <v/>
      </c>
      <c r="B93" s="70" t="str">
        <f>IF(LEN(MONTH(RigheOfferte[[#This Row],[data]]))=1,0&amp;MONTH(RigheOfferte[[#This Row],[data]]),MONTH(RigheOfferte[[#This Row],[data]]))</f>
        <v>01</v>
      </c>
      <c r="C93" s="70" t="str">
        <f>IF(MONTH(RigheOfferte[[#This Row],[data]])&gt;8,"03",IF(MONTH(RigheOfferte[[#This Row],[data]])&gt;4,"02","01"))</f>
        <v>01</v>
      </c>
      <c r="D93" s="71"/>
      <c r="E93" s="71"/>
      <c r="F93" s="83"/>
      <c r="G93" s="71"/>
      <c r="H93" s="69"/>
      <c r="I93" s="71"/>
      <c r="J93" s="82"/>
      <c r="K93" s="84"/>
      <c r="L93" s="84"/>
      <c r="M93" s="71"/>
      <c r="N93" s="71" t="str">
        <f>_xlfn.IFNA(VLOOKUP(RigheOfferte[[#This Row],[Lavorazione]],DescLavorazioni[],2,FALSE),"")</f>
        <v/>
      </c>
      <c r="O93" s="71"/>
      <c r="P93" s="73">
        <f>_xlfn.IFNA(VLOOKUP(RigheOfferte[[#This Row],[Cod Vel]],VeloCatena[],3,FALSE),0)</f>
        <v>0</v>
      </c>
      <c r="Q93" s="89"/>
      <c r="R93" s="71"/>
      <c r="S93" s="71"/>
      <c r="T93" s="71"/>
      <c r="U93" s="71"/>
      <c r="V93" s="74">
        <f>IF(RigheOfferte[[#This Row],[Velocità]]&gt;0,60*RigheOfferte[[#This Row],[Velocità]]/RigheOfferte[[#This Row],[passo]]*RigheOfferte[[#This Row],[nr.pezzi Telaio]],0)</f>
        <v>0</v>
      </c>
      <c r="W93" s="74"/>
      <c r="X9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3" s="74">
        <f>_xlfn.IFNA(INDEX(RiepilogoCostiOrari[],MATCH(YEAR(RigheOfferte[[#This Row],[data]])&amp;RigheOfferte[[#This Row],[Quadrimestre]],QuCostiLav,0),MATCH(RigheOfferte[[#This Row],[Lavorazione]],CodLavorazioni,0)),0)</f>
        <v>0</v>
      </c>
      <c r="AA93" s="76"/>
      <c r="AB93" s="71"/>
      <c r="AC93" s="74">
        <f>RigheOfferte[[#This Row],[Superf.pz Mq]]*Resa*RigheOfferte[[#This Row],[MP (€kg)]]</f>
        <v>0</v>
      </c>
      <c r="AD93" s="77"/>
      <c r="AE93" s="77"/>
      <c r="AF93" s="55">
        <f>_xlfn.IFNA(VLOOKUP(RigheOfferte[[#This Row],[Tipo Protezione]],Protezioni[],2,FALSE),0)</f>
        <v>0</v>
      </c>
      <c r="AG93" s="79"/>
      <c r="AH9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3" s="71">
        <f>RigheOfferte[[#This Row],[altri costi]]+RigheOfferte[[#This Row],[costo industriale pz]]</f>
        <v>0</v>
      </c>
      <c r="AJ93" s="81">
        <f>_xlfn.IFNA(INDEX(Ricarichi[],MATCH(YEAR(RigheOfferte[[#This Row],[data]])&amp;RigheOfferte[[#This Row],[Quadrimestre]],QuCostiLav,0),MATCH(RigheOfferte[[#This Row],[Lavorazione]],CodLavorazioni,0)),0)</f>
        <v>0</v>
      </c>
      <c r="AK93" s="80">
        <f>RigheOfferte[[#This Row],[totale costi]]+(RigheOfferte[[#This Row],[totale costi]]*RigheOfferte[[#This Row],[Ricarico]])</f>
        <v>0</v>
      </c>
      <c r="AL93" s="71">
        <f>RigheOfferte[[#This Row],[Prezzo Di Vendita]]*RigheOfferte[[#This Row],[Q.ta'']]</f>
        <v>0</v>
      </c>
      <c r="AM93" s="71">
        <f>IFERROR(RigheOfferte[[#This Row],[Prezzo Di Vendita]]/RigheOfferte[[#This Row],[Superf.pz Mq]],0)</f>
        <v>0</v>
      </c>
    </row>
    <row r="94" spans="1:39" ht="14.4">
      <c r="A94" s="69" t="str">
        <f>IF(LEN('riepilogo prezzi'!$D94&amp;'riepilogo prezzi'!$E94)&gt;0,'riepilogo prezzi'!$D94&amp;"-"&amp;'riepilogo prezzi'!$E94,"")</f>
        <v/>
      </c>
      <c r="B94" s="70" t="str">
        <f>IF(LEN(MONTH(RigheOfferte[[#This Row],[data]]))=1,0&amp;MONTH(RigheOfferte[[#This Row],[data]]),MONTH(RigheOfferte[[#This Row],[data]]))</f>
        <v>01</v>
      </c>
      <c r="C94" s="70" t="str">
        <f>IF(MONTH(RigheOfferte[[#This Row],[data]])&gt;8,"03",IF(MONTH(RigheOfferte[[#This Row],[data]])&gt;4,"02","01"))</f>
        <v>01</v>
      </c>
      <c r="D94" s="71"/>
      <c r="E94" s="71"/>
      <c r="F94" s="83"/>
      <c r="G94" s="71"/>
      <c r="H94" s="69"/>
      <c r="I94" s="71"/>
      <c r="J94" s="82"/>
      <c r="K94" s="84"/>
      <c r="L94" s="84"/>
      <c r="M94" s="71"/>
      <c r="N94" s="71" t="str">
        <f>_xlfn.IFNA(VLOOKUP(RigheOfferte[[#This Row],[Lavorazione]],DescLavorazioni[],2,FALSE),"")</f>
        <v/>
      </c>
      <c r="O94" s="71"/>
      <c r="P94" s="73">
        <f>_xlfn.IFNA(VLOOKUP(RigheOfferte[[#This Row],[Cod Vel]],VeloCatena[],3,FALSE),0)</f>
        <v>0</v>
      </c>
      <c r="Q94" s="89"/>
      <c r="R94" s="71"/>
      <c r="S94" s="71"/>
      <c r="T94" s="71"/>
      <c r="U94" s="71"/>
      <c r="V94" s="74">
        <f>IF(RigheOfferte[[#This Row],[Velocità]]&gt;0,60*RigheOfferte[[#This Row],[Velocità]]/RigheOfferte[[#This Row],[passo]]*RigheOfferte[[#This Row],[nr.pezzi Telaio]],0)</f>
        <v>0</v>
      </c>
      <c r="W94" s="74"/>
      <c r="X9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4" s="74">
        <f>_xlfn.IFNA(INDEX(RiepilogoCostiOrari[],MATCH(YEAR(RigheOfferte[[#This Row],[data]])&amp;RigheOfferte[[#This Row],[Quadrimestre]],QuCostiLav,0),MATCH(RigheOfferte[[#This Row],[Lavorazione]],CodLavorazioni,0)),0)</f>
        <v>0</v>
      </c>
      <c r="AA94" s="76"/>
      <c r="AB94" s="71"/>
      <c r="AC94" s="74">
        <f>RigheOfferte[[#This Row],[Superf.pz Mq]]*Resa*RigheOfferte[[#This Row],[MP (€kg)]]</f>
        <v>0</v>
      </c>
      <c r="AD94" s="77"/>
      <c r="AE94" s="77"/>
      <c r="AF94" s="55">
        <f>_xlfn.IFNA(VLOOKUP(RigheOfferte[[#This Row],[Tipo Protezione]],Protezioni[],2,FALSE),0)</f>
        <v>0</v>
      </c>
      <c r="AG94" s="79"/>
      <c r="AH9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4" s="71">
        <f>RigheOfferte[[#This Row],[altri costi]]+RigheOfferte[[#This Row],[costo industriale pz]]</f>
        <v>0</v>
      </c>
      <c r="AJ94" s="81">
        <f>_xlfn.IFNA(INDEX(Ricarichi[],MATCH(YEAR(RigheOfferte[[#This Row],[data]])&amp;RigheOfferte[[#This Row],[Quadrimestre]],QuCostiLav,0),MATCH(RigheOfferte[[#This Row],[Lavorazione]],CodLavorazioni,0)),0)</f>
        <v>0</v>
      </c>
      <c r="AK94" s="80">
        <f>RigheOfferte[[#This Row],[totale costi]]+(RigheOfferte[[#This Row],[totale costi]]*RigheOfferte[[#This Row],[Ricarico]])</f>
        <v>0</v>
      </c>
      <c r="AL94" s="71">
        <f>RigheOfferte[[#This Row],[Prezzo Di Vendita]]*RigheOfferte[[#This Row],[Q.ta'']]</f>
        <v>0</v>
      </c>
      <c r="AM94" s="71">
        <f>IFERROR(RigheOfferte[[#This Row],[Prezzo Di Vendita]]/RigheOfferte[[#This Row],[Superf.pz Mq]],0)</f>
        <v>0</v>
      </c>
    </row>
    <row r="95" spans="1:39" ht="14.4">
      <c r="A95" s="69" t="str">
        <f>IF(LEN('riepilogo prezzi'!$D95&amp;'riepilogo prezzi'!$E95)&gt;0,'riepilogo prezzi'!$D95&amp;"-"&amp;'riepilogo prezzi'!$E95,"")</f>
        <v/>
      </c>
      <c r="B95" s="70" t="str">
        <f>IF(LEN(MONTH(RigheOfferte[[#This Row],[data]]))=1,0&amp;MONTH(RigheOfferte[[#This Row],[data]]),MONTH(RigheOfferte[[#This Row],[data]]))</f>
        <v>01</v>
      </c>
      <c r="C95" s="70" t="str">
        <f>IF(MONTH(RigheOfferte[[#This Row],[data]])&gt;8,"03",IF(MONTH(RigheOfferte[[#This Row],[data]])&gt;4,"02","01"))</f>
        <v>01</v>
      </c>
      <c r="D95" s="71"/>
      <c r="E95" s="71"/>
      <c r="F95" s="83"/>
      <c r="G95" s="71"/>
      <c r="H95" s="69"/>
      <c r="I95" s="71"/>
      <c r="J95" s="82"/>
      <c r="K95" s="84"/>
      <c r="L95" s="84"/>
      <c r="M95" s="71"/>
      <c r="N95" s="71" t="str">
        <f>_xlfn.IFNA(VLOOKUP(RigheOfferte[[#This Row],[Lavorazione]],DescLavorazioni[],2,FALSE),"")</f>
        <v/>
      </c>
      <c r="O95" s="71"/>
      <c r="P95" s="73">
        <f>_xlfn.IFNA(VLOOKUP(RigheOfferte[[#This Row],[Cod Vel]],VeloCatena[],3,FALSE),0)</f>
        <v>0</v>
      </c>
      <c r="Q95" s="89"/>
      <c r="R95" s="71"/>
      <c r="S95" s="71"/>
      <c r="T95" s="71"/>
      <c r="U95" s="71"/>
      <c r="V95" s="74">
        <f>IF(RigheOfferte[[#This Row],[Velocità]]&gt;0,60*RigheOfferte[[#This Row],[Velocità]]/RigheOfferte[[#This Row],[passo]]*RigheOfferte[[#This Row],[nr.pezzi Telaio]],0)</f>
        <v>0</v>
      </c>
      <c r="W95" s="74"/>
      <c r="X9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5" s="74">
        <f>_xlfn.IFNA(INDEX(RiepilogoCostiOrari[],MATCH(YEAR(RigheOfferte[[#This Row],[data]])&amp;RigheOfferte[[#This Row],[Quadrimestre]],QuCostiLav,0),MATCH(RigheOfferte[[#This Row],[Lavorazione]],CodLavorazioni,0)),0)</f>
        <v>0</v>
      </c>
      <c r="AA95" s="76"/>
      <c r="AB95" s="71"/>
      <c r="AC95" s="74">
        <f>RigheOfferte[[#This Row],[Superf.pz Mq]]*Resa*RigheOfferte[[#This Row],[MP (€kg)]]</f>
        <v>0</v>
      </c>
      <c r="AD95" s="77"/>
      <c r="AE95" s="77"/>
      <c r="AF95" s="55">
        <f>_xlfn.IFNA(VLOOKUP(RigheOfferte[[#This Row],[Tipo Protezione]],Protezioni[],2,FALSE),0)</f>
        <v>0</v>
      </c>
      <c r="AG95" s="79"/>
      <c r="AH9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5" s="71">
        <f>RigheOfferte[[#This Row],[altri costi]]+RigheOfferte[[#This Row],[costo industriale pz]]</f>
        <v>0</v>
      </c>
      <c r="AJ95" s="81">
        <f>_xlfn.IFNA(INDEX(Ricarichi[],MATCH(YEAR(RigheOfferte[[#This Row],[data]])&amp;RigheOfferte[[#This Row],[Quadrimestre]],QuCostiLav,0),MATCH(RigheOfferte[[#This Row],[Lavorazione]],CodLavorazioni,0)),0)</f>
        <v>0</v>
      </c>
      <c r="AK95" s="80">
        <f>RigheOfferte[[#This Row],[totale costi]]+(RigheOfferte[[#This Row],[totale costi]]*RigheOfferte[[#This Row],[Ricarico]])</f>
        <v>0</v>
      </c>
      <c r="AL95" s="71">
        <f>RigheOfferte[[#This Row],[Prezzo Di Vendita]]*RigheOfferte[[#This Row],[Q.ta'']]</f>
        <v>0</v>
      </c>
      <c r="AM95" s="71">
        <f>IFERROR(RigheOfferte[[#This Row],[Prezzo Di Vendita]]/RigheOfferte[[#This Row],[Superf.pz Mq]],0)</f>
        <v>0</v>
      </c>
    </row>
    <row r="96" spans="1:39" ht="14.4">
      <c r="A96" s="69" t="str">
        <f>IF(LEN('riepilogo prezzi'!$D96&amp;'riepilogo prezzi'!$E96)&gt;0,'riepilogo prezzi'!$D96&amp;"-"&amp;'riepilogo prezzi'!$E96,"")</f>
        <v/>
      </c>
      <c r="B96" s="70" t="str">
        <f>IF(LEN(MONTH(RigheOfferte[[#This Row],[data]]))=1,0&amp;MONTH(RigheOfferte[[#This Row],[data]]),MONTH(RigheOfferte[[#This Row],[data]]))</f>
        <v>01</v>
      </c>
      <c r="C96" s="70" t="str">
        <f>IF(MONTH(RigheOfferte[[#This Row],[data]])&gt;8,"03",IF(MONTH(RigheOfferte[[#This Row],[data]])&gt;4,"02","01"))</f>
        <v>01</v>
      </c>
      <c r="D96" s="71"/>
      <c r="E96" s="71"/>
      <c r="F96" s="83"/>
      <c r="G96" s="71"/>
      <c r="H96" s="69"/>
      <c r="I96" s="71"/>
      <c r="J96" s="82"/>
      <c r="K96" s="84"/>
      <c r="L96" s="84"/>
      <c r="M96" s="71"/>
      <c r="N96" s="71" t="str">
        <f>_xlfn.IFNA(VLOOKUP(RigheOfferte[[#This Row],[Lavorazione]],DescLavorazioni[],2,FALSE),"")</f>
        <v/>
      </c>
      <c r="O96" s="71"/>
      <c r="P96" s="73">
        <f>_xlfn.IFNA(VLOOKUP(RigheOfferte[[#This Row],[Cod Vel]],VeloCatena[],3,FALSE),0)</f>
        <v>0</v>
      </c>
      <c r="Q96" s="89"/>
      <c r="R96" s="71"/>
      <c r="S96" s="71"/>
      <c r="T96" s="71"/>
      <c r="U96" s="71"/>
      <c r="V96" s="74">
        <f>IF(RigheOfferte[[#This Row],[Velocità]]&gt;0,60*RigheOfferte[[#This Row],[Velocità]]/RigheOfferte[[#This Row],[passo]]*RigheOfferte[[#This Row],[nr.pezzi Telaio]],0)</f>
        <v>0</v>
      </c>
      <c r="W96" s="74"/>
      <c r="X9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6" s="74">
        <f>_xlfn.IFNA(INDEX(RiepilogoCostiOrari[],MATCH(YEAR(RigheOfferte[[#This Row],[data]])&amp;RigheOfferte[[#This Row],[Quadrimestre]],QuCostiLav,0),MATCH(RigheOfferte[[#This Row],[Lavorazione]],CodLavorazioni,0)),0)</f>
        <v>0</v>
      </c>
      <c r="AA96" s="76"/>
      <c r="AB96" s="71"/>
      <c r="AC96" s="74">
        <f>RigheOfferte[[#This Row],[Superf.pz Mq]]*Resa*RigheOfferte[[#This Row],[MP (€kg)]]</f>
        <v>0</v>
      </c>
      <c r="AD96" s="77"/>
      <c r="AE96" s="77"/>
      <c r="AF96" s="55">
        <f>_xlfn.IFNA(VLOOKUP(RigheOfferte[[#This Row],[Tipo Protezione]],Protezioni[],2,FALSE),0)</f>
        <v>0</v>
      </c>
      <c r="AG96" s="79"/>
      <c r="AH9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6" s="71">
        <f>RigheOfferte[[#This Row],[altri costi]]+RigheOfferte[[#This Row],[costo industriale pz]]</f>
        <v>0</v>
      </c>
      <c r="AJ96" s="81">
        <f>_xlfn.IFNA(INDEX(Ricarichi[],MATCH(YEAR(RigheOfferte[[#This Row],[data]])&amp;RigheOfferte[[#This Row],[Quadrimestre]],QuCostiLav,0),MATCH(RigheOfferte[[#This Row],[Lavorazione]],CodLavorazioni,0)),0)</f>
        <v>0</v>
      </c>
      <c r="AK96" s="80">
        <f>RigheOfferte[[#This Row],[totale costi]]+(RigheOfferte[[#This Row],[totale costi]]*RigheOfferte[[#This Row],[Ricarico]])</f>
        <v>0</v>
      </c>
      <c r="AL96" s="71">
        <f>RigheOfferte[[#This Row],[Prezzo Di Vendita]]*RigheOfferte[[#This Row],[Q.ta'']]</f>
        <v>0</v>
      </c>
      <c r="AM96" s="71">
        <f>IFERROR(RigheOfferte[[#This Row],[Prezzo Di Vendita]]/RigheOfferte[[#This Row],[Superf.pz Mq]],0)</f>
        <v>0</v>
      </c>
    </row>
    <row r="97" spans="1:39" ht="14.4">
      <c r="A97" s="69" t="str">
        <f>IF(LEN('riepilogo prezzi'!$D97&amp;'riepilogo prezzi'!$E97)&gt;0,'riepilogo prezzi'!$D97&amp;"-"&amp;'riepilogo prezzi'!$E97,"")</f>
        <v/>
      </c>
      <c r="B97" s="70" t="str">
        <f>IF(LEN(MONTH(RigheOfferte[[#This Row],[data]]))=1,0&amp;MONTH(RigheOfferte[[#This Row],[data]]),MONTH(RigheOfferte[[#This Row],[data]]))</f>
        <v>01</v>
      </c>
      <c r="C97" s="70" t="str">
        <f>IF(MONTH(RigheOfferte[[#This Row],[data]])&gt;8,"03",IF(MONTH(RigheOfferte[[#This Row],[data]])&gt;4,"02","01"))</f>
        <v>01</v>
      </c>
      <c r="D97" s="71"/>
      <c r="E97" s="71"/>
      <c r="F97" s="83"/>
      <c r="G97" s="71"/>
      <c r="H97" s="69"/>
      <c r="I97" s="71"/>
      <c r="J97" s="82"/>
      <c r="K97" s="84"/>
      <c r="L97" s="84"/>
      <c r="M97" s="71"/>
      <c r="N97" s="71" t="str">
        <f>_xlfn.IFNA(VLOOKUP(RigheOfferte[[#This Row],[Lavorazione]],DescLavorazioni[],2,FALSE),"")</f>
        <v/>
      </c>
      <c r="O97" s="71"/>
      <c r="P97" s="73">
        <f>_xlfn.IFNA(VLOOKUP(RigheOfferte[[#This Row],[Cod Vel]],VeloCatena[],3,FALSE),0)</f>
        <v>0</v>
      </c>
      <c r="Q97" s="89"/>
      <c r="R97" s="71"/>
      <c r="S97" s="71"/>
      <c r="T97" s="71"/>
      <c r="U97" s="71"/>
      <c r="V97" s="74">
        <f>IF(RigheOfferte[[#This Row],[Velocità]]&gt;0,60*RigheOfferte[[#This Row],[Velocità]]/RigheOfferte[[#This Row],[passo]]*RigheOfferte[[#This Row],[nr.pezzi Telaio]],0)</f>
        <v>0</v>
      </c>
      <c r="W97" s="74"/>
      <c r="X9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7" s="74">
        <f>_xlfn.IFNA(INDEX(RiepilogoCostiOrari[],MATCH(YEAR(RigheOfferte[[#This Row],[data]])&amp;RigheOfferte[[#This Row],[Quadrimestre]],QuCostiLav,0),MATCH(RigheOfferte[[#This Row],[Lavorazione]],CodLavorazioni,0)),0)</f>
        <v>0</v>
      </c>
      <c r="AA97" s="76"/>
      <c r="AB97" s="71"/>
      <c r="AC97" s="74">
        <f>RigheOfferte[[#This Row],[Superf.pz Mq]]*Resa*RigheOfferte[[#This Row],[MP (€kg)]]</f>
        <v>0</v>
      </c>
      <c r="AD97" s="77"/>
      <c r="AE97" s="77"/>
      <c r="AF97" s="55">
        <f>_xlfn.IFNA(VLOOKUP(RigheOfferte[[#This Row],[Tipo Protezione]],Protezioni[],2,FALSE),0)</f>
        <v>0</v>
      </c>
      <c r="AG97" s="79"/>
      <c r="AH9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7" s="71">
        <f>RigheOfferte[[#This Row],[altri costi]]+RigheOfferte[[#This Row],[costo industriale pz]]</f>
        <v>0</v>
      </c>
      <c r="AJ97" s="81">
        <f>_xlfn.IFNA(INDEX(Ricarichi[],MATCH(YEAR(RigheOfferte[[#This Row],[data]])&amp;RigheOfferte[[#This Row],[Quadrimestre]],QuCostiLav,0),MATCH(RigheOfferte[[#This Row],[Lavorazione]],CodLavorazioni,0)),0)</f>
        <v>0</v>
      </c>
      <c r="AK97" s="80">
        <f>RigheOfferte[[#This Row],[totale costi]]+(RigheOfferte[[#This Row],[totale costi]]*RigheOfferte[[#This Row],[Ricarico]])</f>
        <v>0</v>
      </c>
      <c r="AL97" s="71">
        <f>RigheOfferte[[#This Row],[Prezzo Di Vendita]]*RigheOfferte[[#This Row],[Q.ta'']]</f>
        <v>0</v>
      </c>
      <c r="AM97" s="71">
        <f>IFERROR(RigheOfferte[[#This Row],[Prezzo Di Vendita]]/RigheOfferte[[#This Row],[Superf.pz Mq]],0)</f>
        <v>0</v>
      </c>
    </row>
    <row r="98" spans="1:39" ht="14.4">
      <c r="A98" s="69" t="str">
        <f>IF(LEN('riepilogo prezzi'!$D98&amp;'riepilogo prezzi'!$E98)&gt;0,'riepilogo prezzi'!$D98&amp;"-"&amp;'riepilogo prezzi'!$E98,"")</f>
        <v/>
      </c>
      <c r="B98" s="70" t="str">
        <f>IF(LEN(MONTH(RigheOfferte[[#This Row],[data]]))=1,0&amp;MONTH(RigheOfferte[[#This Row],[data]]),MONTH(RigheOfferte[[#This Row],[data]]))</f>
        <v>01</v>
      </c>
      <c r="C98" s="70" t="str">
        <f>IF(MONTH(RigheOfferte[[#This Row],[data]])&gt;8,"03",IF(MONTH(RigheOfferte[[#This Row],[data]])&gt;4,"02","01"))</f>
        <v>01</v>
      </c>
      <c r="D98" s="71"/>
      <c r="E98" s="71"/>
      <c r="F98" s="83"/>
      <c r="G98" s="71"/>
      <c r="H98" s="69"/>
      <c r="I98" s="71"/>
      <c r="J98" s="82"/>
      <c r="K98" s="84"/>
      <c r="L98" s="84"/>
      <c r="M98" s="71"/>
      <c r="N98" s="71" t="str">
        <f>_xlfn.IFNA(VLOOKUP(RigheOfferte[[#This Row],[Lavorazione]],DescLavorazioni[],2,FALSE),"")</f>
        <v/>
      </c>
      <c r="O98" s="71"/>
      <c r="P98" s="73">
        <f>_xlfn.IFNA(VLOOKUP(RigheOfferte[[#This Row],[Cod Vel]],VeloCatena[],3,FALSE),0)</f>
        <v>0</v>
      </c>
      <c r="Q98" s="89"/>
      <c r="R98" s="71"/>
      <c r="S98" s="71"/>
      <c r="T98" s="71"/>
      <c r="U98" s="71"/>
      <c r="V98" s="74">
        <f>IF(RigheOfferte[[#This Row],[Velocità]]&gt;0,60*RigheOfferte[[#This Row],[Velocità]]/RigheOfferte[[#This Row],[passo]]*RigheOfferte[[#This Row],[nr.pezzi Telaio]],0)</f>
        <v>0</v>
      </c>
      <c r="W98" s="74"/>
      <c r="X9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8" s="74">
        <f>_xlfn.IFNA(INDEX(RiepilogoCostiOrari[],MATCH(YEAR(RigheOfferte[[#This Row],[data]])&amp;RigheOfferte[[#This Row],[Quadrimestre]],QuCostiLav,0),MATCH(RigheOfferte[[#This Row],[Lavorazione]],CodLavorazioni,0)),0)</f>
        <v>0</v>
      </c>
      <c r="AA98" s="76"/>
      <c r="AB98" s="71"/>
      <c r="AC98" s="74">
        <f>RigheOfferte[[#This Row],[Superf.pz Mq]]*Resa*RigheOfferte[[#This Row],[MP (€kg)]]</f>
        <v>0</v>
      </c>
      <c r="AD98" s="77"/>
      <c r="AE98" s="77"/>
      <c r="AF98" s="55">
        <f>_xlfn.IFNA(VLOOKUP(RigheOfferte[[#This Row],[Tipo Protezione]],Protezioni[],2,FALSE),0)</f>
        <v>0</v>
      </c>
      <c r="AG98" s="79"/>
      <c r="AH9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8" s="71">
        <f>RigheOfferte[[#This Row],[altri costi]]+RigheOfferte[[#This Row],[costo industriale pz]]</f>
        <v>0</v>
      </c>
      <c r="AJ98" s="81">
        <f>_xlfn.IFNA(INDEX(Ricarichi[],MATCH(YEAR(RigheOfferte[[#This Row],[data]])&amp;RigheOfferte[[#This Row],[Quadrimestre]],QuCostiLav,0),MATCH(RigheOfferte[[#This Row],[Lavorazione]],CodLavorazioni,0)),0)</f>
        <v>0</v>
      </c>
      <c r="AK98" s="80">
        <f>RigheOfferte[[#This Row],[totale costi]]+(RigheOfferte[[#This Row],[totale costi]]*RigheOfferte[[#This Row],[Ricarico]])</f>
        <v>0</v>
      </c>
      <c r="AL98" s="71">
        <f>RigheOfferte[[#This Row],[Prezzo Di Vendita]]*RigheOfferte[[#This Row],[Q.ta'']]</f>
        <v>0</v>
      </c>
      <c r="AM98" s="71">
        <f>IFERROR(RigheOfferte[[#This Row],[Prezzo Di Vendita]]/RigheOfferte[[#This Row],[Superf.pz Mq]],0)</f>
        <v>0</v>
      </c>
    </row>
    <row r="99" spans="1:39" ht="14.4">
      <c r="A99" s="69" t="str">
        <f>IF(LEN('riepilogo prezzi'!$D99&amp;'riepilogo prezzi'!$E99)&gt;0,'riepilogo prezzi'!$D99&amp;"-"&amp;'riepilogo prezzi'!$E99,"")</f>
        <v/>
      </c>
      <c r="B99" s="70" t="str">
        <f>IF(LEN(MONTH(RigheOfferte[[#This Row],[data]]))=1,0&amp;MONTH(RigheOfferte[[#This Row],[data]]),MONTH(RigheOfferte[[#This Row],[data]]))</f>
        <v>01</v>
      </c>
      <c r="C99" s="70" t="str">
        <f>IF(MONTH(RigheOfferte[[#This Row],[data]])&gt;8,"03",IF(MONTH(RigheOfferte[[#This Row],[data]])&gt;4,"02","01"))</f>
        <v>01</v>
      </c>
      <c r="D99" s="71"/>
      <c r="E99" s="71"/>
      <c r="F99" s="83"/>
      <c r="G99" s="71"/>
      <c r="H99" s="69"/>
      <c r="I99" s="71"/>
      <c r="J99" s="82"/>
      <c r="K99" s="84"/>
      <c r="L99" s="88"/>
      <c r="M99" s="71"/>
      <c r="N99" s="71" t="str">
        <f>_xlfn.IFNA(VLOOKUP(RigheOfferte[[#This Row],[Lavorazione]],DescLavorazioni[],2,FALSE),"")</f>
        <v/>
      </c>
      <c r="O99" s="71"/>
      <c r="P99" s="73">
        <f>_xlfn.IFNA(VLOOKUP(RigheOfferte[[#This Row],[Cod Vel]],VeloCatena[],3,FALSE),0)</f>
        <v>0</v>
      </c>
      <c r="Q99" s="89"/>
      <c r="R99" s="71"/>
      <c r="S99" s="71"/>
      <c r="T99" s="71"/>
      <c r="U99" s="71"/>
      <c r="V99" s="74">
        <f>IF(RigheOfferte[[#This Row],[Velocità]]&gt;0,60*RigheOfferte[[#This Row],[Velocità]]/RigheOfferte[[#This Row],[passo]]*RigheOfferte[[#This Row],[nr.pezzi Telaio]],0)</f>
        <v>0</v>
      </c>
      <c r="W99" s="74"/>
      <c r="X9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9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99" s="74">
        <f>_xlfn.IFNA(INDEX(RiepilogoCostiOrari[],MATCH(YEAR(RigheOfferte[[#This Row],[data]])&amp;RigheOfferte[[#This Row],[Quadrimestre]],QuCostiLav,0),MATCH(RigheOfferte[[#This Row],[Lavorazione]],CodLavorazioni,0)),0)</f>
        <v>0</v>
      </c>
      <c r="AA99" s="76"/>
      <c r="AB99" s="71"/>
      <c r="AC99" s="74">
        <f>RigheOfferte[[#This Row],[Superf.pz Mq]]*Resa*RigheOfferte[[#This Row],[MP (€kg)]]</f>
        <v>0</v>
      </c>
      <c r="AD99" s="77"/>
      <c r="AE99" s="77"/>
      <c r="AF99" s="55">
        <f>_xlfn.IFNA(VLOOKUP(RigheOfferte[[#This Row],[Tipo Protezione]],Protezioni[],2,FALSE),0)</f>
        <v>0</v>
      </c>
      <c r="AG99" s="79"/>
      <c r="AH9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99" s="71">
        <f>RigheOfferte[[#This Row],[altri costi]]+RigheOfferte[[#This Row],[costo industriale pz]]</f>
        <v>0</v>
      </c>
      <c r="AJ99" s="81">
        <f>_xlfn.IFNA(INDEX(Ricarichi[],MATCH(YEAR(RigheOfferte[[#This Row],[data]])&amp;RigheOfferte[[#This Row],[Quadrimestre]],QuCostiLav,0),MATCH(RigheOfferte[[#This Row],[Lavorazione]],CodLavorazioni,0)),0)</f>
        <v>0</v>
      </c>
      <c r="AK99" s="80">
        <f>RigheOfferte[[#This Row],[totale costi]]+(RigheOfferte[[#This Row],[totale costi]]*RigheOfferte[[#This Row],[Ricarico]])</f>
        <v>0</v>
      </c>
      <c r="AL99" s="71">
        <f>RigheOfferte[[#This Row],[Prezzo Di Vendita]]*RigheOfferte[[#This Row],[Q.ta'']]</f>
        <v>0</v>
      </c>
      <c r="AM99" s="71">
        <f>IFERROR(RigheOfferte[[#This Row],[Prezzo Di Vendita]]/RigheOfferte[[#This Row],[Superf.pz Mq]],0)</f>
        <v>0</v>
      </c>
    </row>
    <row r="100" spans="1:39" ht="14.4">
      <c r="A100" s="69" t="str">
        <f>IF(LEN('riepilogo prezzi'!$D100&amp;'riepilogo prezzi'!$E100)&gt;0,'riepilogo prezzi'!$D100&amp;"-"&amp;'riepilogo prezzi'!$E100,"")</f>
        <v/>
      </c>
      <c r="B100" s="70" t="str">
        <f>IF(LEN(MONTH(RigheOfferte[[#This Row],[data]]))=1,0&amp;MONTH(RigheOfferte[[#This Row],[data]]),MONTH(RigheOfferte[[#This Row],[data]]))</f>
        <v>01</v>
      </c>
      <c r="C100" s="70" t="str">
        <f>IF(MONTH(RigheOfferte[[#This Row],[data]])&gt;8,"03",IF(MONTH(RigheOfferte[[#This Row],[data]])&gt;4,"02","01"))</f>
        <v>01</v>
      </c>
      <c r="D100" s="71"/>
      <c r="E100" s="71"/>
      <c r="F100" s="83"/>
      <c r="G100" s="71"/>
      <c r="H100" s="69"/>
      <c r="I100" s="71"/>
      <c r="J100" s="82"/>
      <c r="K100" s="84"/>
      <c r="L100" s="88"/>
      <c r="M100" s="71"/>
      <c r="N100" s="71" t="str">
        <f>_xlfn.IFNA(VLOOKUP(RigheOfferte[[#This Row],[Lavorazione]],DescLavorazioni[],2,FALSE),"")</f>
        <v/>
      </c>
      <c r="O100" s="71"/>
      <c r="P100" s="73">
        <f>_xlfn.IFNA(VLOOKUP(RigheOfferte[[#This Row],[Cod Vel]],VeloCatena[],3,FALSE),0)</f>
        <v>0</v>
      </c>
      <c r="Q100" s="89"/>
      <c r="R100" s="71"/>
      <c r="S100" s="71"/>
      <c r="T100" s="71"/>
      <c r="U100" s="71"/>
      <c r="V100" s="74">
        <f>IF(RigheOfferte[[#This Row],[Velocità]]&gt;0,60*RigheOfferte[[#This Row],[Velocità]]/RigheOfferte[[#This Row],[passo]]*RigheOfferte[[#This Row],[nr.pezzi Telaio]],0)</f>
        <v>0</v>
      </c>
      <c r="W100" s="74"/>
      <c r="X10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0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0" s="76"/>
      <c r="AB100" s="71"/>
      <c r="AC100" s="74">
        <f>RigheOfferte[[#This Row],[Superf.pz Mq]]*Resa*RigheOfferte[[#This Row],[MP (€kg)]]</f>
        <v>0</v>
      </c>
      <c r="AD100" s="77"/>
      <c r="AE100" s="77"/>
      <c r="AF100" s="55">
        <f>_xlfn.IFNA(VLOOKUP(RigheOfferte[[#This Row],[Tipo Protezione]],Protezioni[],2,FALSE),0)</f>
        <v>0</v>
      </c>
      <c r="AG100" s="79"/>
      <c r="AH10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0" s="71">
        <f>RigheOfferte[[#This Row],[altri costi]]+RigheOfferte[[#This Row],[costo industriale pz]]</f>
        <v>0</v>
      </c>
      <c r="AJ100" s="81">
        <f>_xlfn.IFNA(INDEX(Ricarichi[],MATCH(YEAR(RigheOfferte[[#This Row],[data]])&amp;RigheOfferte[[#This Row],[Quadrimestre]],QuCostiLav,0),MATCH(RigheOfferte[[#This Row],[Lavorazione]],CodLavorazioni,0)),0)</f>
        <v>0</v>
      </c>
      <c r="AK100" s="80">
        <f>RigheOfferte[[#This Row],[totale costi]]+(RigheOfferte[[#This Row],[totale costi]]*RigheOfferte[[#This Row],[Ricarico]])</f>
        <v>0</v>
      </c>
      <c r="AL100" s="71">
        <f>RigheOfferte[[#This Row],[Prezzo Di Vendita]]*RigheOfferte[[#This Row],[Q.ta'']]</f>
        <v>0</v>
      </c>
      <c r="AM100" s="71">
        <f>IFERROR(RigheOfferte[[#This Row],[Prezzo Di Vendita]]/RigheOfferte[[#This Row],[Superf.pz Mq]],0)</f>
        <v>0</v>
      </c>
    </row>
    <row r="101" spans="1:39" ht="14.4">
      <c r="A101" s="69" t="str">
        <f>IF(LEN('riepilogo prezzi'!$D101&amp;'riepilogo prezzi'!$E101)&gt;0,'riepilogo prezzi'!$D101&amp;"-"&amp;'riepilogo prezzi'!$E101,"")</f>
        <v/>
      </c>
      <c r="B101" s="70" t="str">
        <f>IF(LEN(MONTH(RigheOfferte[[#This Row],[data]]))=1,0&amp;MONTH(RigheOfferte[[#This Row],[data]]),MONTH(RigheOfferte[[#This Row],[data]]))</f>
        <v>01</v>
      </c>
      <c r="C101" s="70" t="str">
        <f>IF(MONTH(RigheOfferte[[#This Row],[data]])&gt;8,"03",IF(MONTH(RigheOfferte[[#This Row],[data]])&gt;4,"02","01"))</f>
        <v>01</v>
      </c>
      <c r="D101" s="71"/>
      <c r="E101" s="71"/>
      <c r="F101" s="83"/>
      <c r="G101" s="71"/>
      <c r="H101" s="69"/>
      <c r="I101" s="71"/>
      <c r="J101" s="82"/>
      <c r="K101" s="84"/>
      <c r="L101" s="88"/>
      <c r="M101" s="71"/>
      <c r="N101" s="71" t="str">
        <f>_xlfn.IFNA(VLOOKUP(RigheOfferte[[#This Row],[Lavorazione]],DescLavorazioni[],2,FALSE),"")</f>
        <v/>
      </c>
      <c r="O101" s="71"/>
      <c r="P101" s="73">
        <f>_xlfn.IFNA(VLOOKUP(RigheOfferte[[#This Row],[Cod Vel]],VeloCatena[],3,FALSE),0)</f>
        <v>0</v>
      </c>
      <c r="Q101" s="89"/>
      <c r="R101" s="71"/>
      <c r="S101" s="71"/>
      <c r="T101" s="71"/>
      <c r="U101" s="71"/>
      <c r="V101" s="74">
        <f>IF(RigheOfferte[[#This Row],[Velocità]]&gt;0,60*RigheOfferte[[#This Row],[Velocità]]/RigheOfferte[[#This Row],[passo]]*RigheOfferte[[#This Row],[nr.pezzi Telaio]],0)</f>
        <v>0</v>
      </c>
      <c r="W101" s="74"/>
      <c r="X10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1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1" s="76"/>
      <c r="AB101" s="71"/>
      <c r="AC101" s="74">
        <f>RigheOfferte[[#This Row],[Superf.pz Mq]]*Resa*RigheOfferte[[#This Row],[MP (€kg)]]</f>
        <v>0</v>
      </c>
      <c r="AD101" s="77"/>
      <c r="AE101" s="77"/>
      <c r="AF101" s="55">
        <f>_xlfn.IFNA(VLOOKUP(RigheOfferte[[#This Row],[Tipo Protezione]],Protezioni[],2,FALSE),0)</f>
        <v>0</v>
      </c>
      <c r="AG101" s="79"/>
      <c r="AH10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1" s="71">
        <f>RigheOfferte[[#This Row],[altri costi]]+RigheOfferte[[#This Row],[costo industriale pz]]</f>
        <v>0</v>
      </c>
      <c r="AJ101" s="81">
        <f>_xlfn.IFNA(INDEX(Ricarichi[],MATCH(YEAR(RigheOfferte[[#This Row],[data]])&amp;RigheOfferte[[#This Row],[Quadrimestre]],QuCostiLav,0),MATCH(RigheOfferte[[#This Row],[Lavorazione]],CodLavorazioni,0)),0)</f>
        <v>0</v>
      </c>
      <c r="AK101" s="80">
        <f>RigheOfferte[[#This Row],[totale costi]]+(RigheOfferte[[#This Row],[totale costi]]*RigheOfferte[[#This Row],[Ricarico]])</f>
        <v>0</v>
      </c>
      <c r="AL101" s="71">
        <f>RigheOfferte[[#This Row],[Prezzo Di Vendita]]*RigheOfferte[[#This Row],[Q.ta'']]</f>
        <v>0</v>
      </c>
      <c r="AM101" s="71">
        <f>IFERROR(RigheOfferte[[#This Row],[Prezzo Di Vendita]]/RigheOfferte[[#This Row],[Superf.pz Mq]],0)</f>
        <v>0</v>
      </c>
    </row>
    <row r="102" spans="1:39" ht="14.4">
      <c r="A102" s="69" t="str">
        <f>IF(LEN('riepilogo prezzi'!$D102&amp;'riepilogo prezzi'!$E102)&gt;0,'riepilogo prezzi'!$D102&amp;"-"&amp;'riepilogo prezzi'!$E102,"")</f>
        <v/>
      </c>
      <c r="B102" s="70" t="str">
        <f>IF(LEN(MONTH(RigheOfferte[[#This Row],[data]]))=1,0&amp;MONTH(RigheOfferte[[#This Row],[data]]),MONTH(RigheOfferte[[#This Row],[data]]))</f>
        <v>01</v>
      </c>
      <c r="C102" s="70" t="str">
        <f>IF(MONTH(RigheOfferte[[#This Row],[data]])&gt;8,"03",IF(MONTH(RigheOfferte[[#This Row],[data]])&gt;4,"02","01"))</f>
        <v>01</v>
      </c>
      <c r="D102" s="71"/>
      <c r="E102" s="71"/>
      <c r="F102" s="83"/>
      <c r="G102" s="71"/>
      <c r="H102" s="69"/>
      <c r="I102" s="71"/>
      <c r="J102" s="82"/>
      <c r="K102" s="84"/>
      <c r="L102" s="88"/>
      <c r="M102" s="71"/>
      <c r="N102" s="71" t="str">
        <f>_xlfn.IFNA(VLOOKUP(RigheOfferte[[#This Row],[Lavorazione]],DescLavorazioni[],2,FALSE),"")</f>
        <v/>
      </c>
      <c r="O102" s="71"/>
      <c r="P102" s="73">
        <f>_xlfn.IFNA(VLOOKUP(RigheOfferte[[#This Row],[Cod Vel]],VeloCatena[],3,FALSE),0)</f>
        <v>0</v>
      </c>
      <c r="Q102" s="89"/>
      <c r="R102" s="71"/>
      <c r="S102" s="71"/>
      <c r="T102" s="71"/>
      <c r="U102" s="71"/>
      <c r="V102" s="74">
        <f>IF(RigheOfferte[[#This Row],[Velocità]]&gt;0,60*RigheOfferte[[#This Row],[Velocità]]/RigheOfferte[[#This Row],[passo]]*RigheOfferte[[#This Row],[nr.pezzi Telaio]],0)</f>
        <v>0</v>
      </c>
      <c r="W102" s="74"/>
      <c r="X10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2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2" s="76"/>
      <c r="AB102" s="71"/>
      <c r="AC102" s="74">
        <f>RigheOfferte[[#This Row],[Superf.pz Mq]]*Resa*RigheOfferte[[#This Row],[MP (€kg)]]</f>
        <v>0</v>
      </c>
      <c r="AD102" s="77"/>
      <c r="AE102" s="77"/>
      <c r="AF102" s="55">
        <f>_xlfn.IFNA(VLOOKUP(RigheOfferte[[#This Row],[Tipo Protezione]],Protezioni[],2,FALSE),0)</f>
        <v>0</v>
      </c>
      <c r="AG102" s="79"/>
      <c r="AH10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2" s="71">
        <f>RigheOfferte[[#This Row],[altri costi]]+RigheOfferte[[#This Row],[costo industriale pz]]</f>
        <v>0</v>
      </c>
      <c r="AJ102" s="81">
        <f>_xlfn.IFNA(INDEX(Ricarichi[],MATCH(YEAR(RigheOfferte[[#This Row],[data]])&amp;RigheOfferte[[#This Row],[Quadrimestre]],QuCostiLav,0),MATCH(RigheOfferte[[#This Row],[Lavorazione]],CodLavorazioni,0)),0)</f>
        <v>0</v>
      </c>
      <c r="AK102" s="80">
        <f>RigheOfferte[[#This Row],[totale costi]]+(RigheOfferte[[#This Row],[totale costi]]*RigheOfferte[[#This Row],[Ricarico]])</f>
        <v>0</v>
      </c>
      <c r="AL102" s="71">
        <f>RigheOfferte[[#This Row],[Prezzo Di Vendita]]*RigheOfferte[[#This Row],[Q.ta'']]</f>
        <v>0</v>
      </c>
      <c r="AM102" s="71">
        <f>IFERROR(RigheOfferte[[#This Row],[Prezzo Di Vendita]]/RigheOfferte[[#This Row],[Superf.pz Mq]],0)</f>
        <v>0</v>
      </c>
    </row>
    <row r="103" spans="1:39" ht="14.4">
      <c r="A103" s="69" t="str">
        <f>IF(LEN('riepilogo prezzi'!$D103&amp;'riepilogo prezzi'!$E103)&gt;0,'riepilogo prezzi'!$D103&amp;"-"&amp;'riepilogo prezzi'!$E103,"")</f>
        <v/>
      </c>
      <c r="B103" s="70" t="str">
        <f>IF(LEN(MONTH(RigheOfferte[[#This Row],[data]]))=1,0&amp;MONTH(RigheOfferte[[#This Row],[data]]),MONTH(RigheOfferte[[#This Row],[data]]))</f>
        <v>01</v>
      </c>
      <c r="C103" s="70" t="str">
        <f>IF(MONTH(RigheOfferte[[#This Row],[data]])&gt;8,"03",IF(MONTH(RigheOfferte[[#This Row],[data]])&gt;4,"02","01"))</f>
        <v>01</v>
      </c>
      <c r="D103" s="71"/>
      <c r="E103" s="71"/>
      <c r="F103" s="83"/>
      <c r="G103" s="71"/>
      <c r="H103" s="69"/>
      <c r="I103" s="71"/>
      <c r="J103" s="82"/>
      <c r="K103" s="84"/>
      <c r="L103" s="88"/>
      <c r="M103" s="71"/>
      <c r="N103" s="71" t="str">
        <f>_xlfn.IFNA(VLOOKUP(RigheOfferte[[#This Row],[Lavorazione]],DescLavorazioni[],2,FALSE),"")</f>
        <v/>
      </c>
      <c r="O103" s="71"/>
      <c r="P103" s="73">
        <f>_xlfn.IFNA(VLOOKUP(RigheOfferte[[#This Row],[Cod Vel]],VeloCatena[],3,FALSE),0)</f>
        <v>0</v>
      </c>
      <c r="Q103" s="89"/>
      <c r="R103" s="71"/>
      <c r="S103" s="71"/>
      <c r="T103" s="71"/>
      <c r="U103" s="71"/>
      <c r="V103" s="74">
        <f>IF(RigheOfferte[[#This Row],[Velocità]]&gt;0,60*RigheOfferte[[#This Row],[Velocità]]/RigheOfferte[[#This Row],[passo]]*RigheOfferte[[#This Row],[nr.pezzi Telaio]],0)</f>
        <v>0</v>
      </c>
      <c r="W103" s="74"/>
      <c r="X10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3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3" s="76"/>
      <c r="AB103" s="71"/>
      <c r="AC103" s="74">
        <f>RigheOfferte[[#This Row],[Superf.pz Mq]]*Resa*RigheOfferte[[#This Row],[MP (€kg)]]</f>
        <v>0</v>
      </c>
      <c r="AD103" s="77"/>
      <c r="AE103" s="77"/>
      <c r="AF103" s="55">
        <f>_xlfn.IFNA(VLOOKUP(RigheOfferte[[#This Row],[Tipo Protezione]],Protezioni[],2,FALSE),0)</f>
        <v>0</v>
      </c>
      <c r="AG103" s="79"/>
      <c r="AH10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3" s="71">
        <f>RigheOfferte[[#This Row],[altri costi]]+RigheOfferte[[#This Row],[costo industriale pz]]</f>
        <v>0</v>
      </c>
      <c r="AJ103" s="81">
        <f>_xlfn.IFNA(INDEX(Ricarichi[],MATCH(YEAR(RigheOfferte[[#This Row],[data]])&amp;RigheOfferte[[#This Row],[Quadrimestre]],QuCostiLav,0),MATCH(RigheOfferte[[#This Row],[Lavorazione]],CodLavorazioni,0)),0)</f>
        <v>0</v>
      </c>
      <c r="AK103" s="80">
        <f>RigheOfferte[[#This Row],[totale costi]]+(RigheOfferte[[#This Row],[totale costi]]*RigheOfferte[[#This Row],[Ricarico]])</f>
        <v>0</v>
      </c>
      <c r="AL103" s="71">
        <f>RigheOfferte[[#This Row],[Prezzo Di Vendita]]*RigheOfferte[[#This Row],[Q.ta'']]</f>
        <v>0</v>
      </c>
      <c r="AM103" s="71">
        <f>IFERROR(RigheOfferte[[#This Row],[Prezzo Di Vendita]]/RigheOfferte[[#This Row],[Superf.pz Mq]],0)</f>
        <v>0</v>
      </c>
    </row>
    <row r="104" spans="1:39" ht="14.4">
      <c r="A104" s="69" t="str">
        <f>IF(LEN('riepilogo prezzi'!$D104&amp;'riepilogo prezzi'!$E104)&gt;0,'riepilogo prezzi'!$D104&amp;"-"&amp;'riepilogo prezzi'!$E104,"")</f>
        <v/>
      </c>
      <c r="B104" s="70" t="str">
        <f>IF(LEN(MONTH(RigheOfferte[[#This Row],[data]]))=1,0&amp;MONTH(RigheOfferte[[#This Row],[data]]),MONTH(RigheOfferte[[#This Row],[data]]))</f>
        <v>01</v>
      </c>
      <c r="C104" s="70" t="str">
        <f>IF(MONTH(RigheOfferte[[#This Row],[data]])&gt;8,"03",IF(MONTH(RigheOfferte[[#This Row],[data]])&gt;4,"02","01"))</f>
        <v>01</v>
      </c>
      <c r="D104" s="71"/>
      <c r="E104" s="71"/>
      <c r="F104" s="83"/>
      <c r="G104" s="71"/>
      <c r="H104" s="69"/>
      <c r="I104" s="71"/>
      <c r="J104" s="82"/>
      <c r="K104" s="84"/>
      <c r="L104" s="88"/>
      <c r="M104" s="71"/>
      <c r="N104" s="71" t="str">
        <f>_xlfn.IFNA(VLOOKUP(RigheOfferte[[#This Row],[Lavorazione]],DescLavorazioni[],2,FALSE),"")</f>
        <v/>
      </c>
      <c r="O104" s="71"/>
      <c r="P104" s="73">
        <f>_xlfn.IFNA(VLOOKUP(RigheOfferte[[#This Row],[Cod Vel]],VeloCatena[],3,FALSE),0)</f>
        <v>0</v>
      </c>
      <c r="Q104" s="89"/>
      <c r="R104" s="71"/>
      <c r="S104" s="71"/>
      <c r="T104" s="71"/>
      <c r="U104" s="71"/>
      <c r="V104" s="74">
        <f>IF(RigheOfferte[[#This Row],[Velocità]]&gt;0,60*RigheOfferte[[#This Row],[Velocità]]/RigheOfferte[[#This Row],[passo]]*RigheOfferte[[#This Row],[nr.pezzi Telaio]],0)</f>
        <v>0</v>
      </c>
      <c r="W104" s="74"/>
      <c r="X10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4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4" s="76"/>
      <c r="AB104" s="71"/>
      <c r="AC104" s="74">
        <f>RigheOfferte[[#This Row],[Superf.pz Mq]]*Resa*RigheOfferte[[#This Row],[MP (€kg)]]</f>
        <v>0</v>
      </c>
      <c r="AD104" s="77"/>
      <c r="AE104" s="77"/>
      <c r="AF104" s="55">
        <f>_xlfn.IFNA(VLOOKUP(RigheOfferte[[#This Row],[Tipo Protezione]],Protezioni[],2,FALSE),0)</f>
        <v>0</v>
      </c>
      <c r="AG104" s="79"/>
      <c r="AH10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4" s="71">
        <f>RigheOfferte[[#This Row],[altri costi]]+RigheOfferte[[#This Row],[costo industriale pz]]</f>
        <v>0</v>
      </c>
      <c r="AJ104" s="81">
        <f>_xlfn.IFNA(INDEX(Ricarichi[],MATCH(YEAR(RigheOfferte[[#This Row],[data]])&amp;RigheOfferte[[#This Row],[Quadrimestre]],QuCostiLav,0),MATCH(RigheOfferte[[#This Row],[Lavorazione]],CodLavorazioni,0)),0)</f>
        <v>0</v>
      </c>
      <c r="AK104" s="80">
        <f>RigheOfferte[[#This Row],[totale costi]]+(RigheOfferte[[#This Row],[totale costi]]*RigheOfferte[[#This Row],[Ricarico]])</f>
        <v>0</v>
      </c>
      <c r="AL104" s="71">
        <f>RigheOfferte[[#This Row],[Prezzo Di Vendita]]*RigheOfferte[[#This Row],[Q.ta'']]</f>
        <v>0</v>
      </c>
      <c r="AM104" s="71">
        <f>IFERROR(RigheOfferte[[#This Row],[Prezzo Di Vendita]]/RigheOfferte[[#This Row],[Superf.pz Mq]],0)</f>
        <v>0</v>
      </c>
    </row>
    <row r="105" spans="1:39" ht="14.4">
      <c r="A105" s="69" t="str">
        <f>IF(LEN('riepilogo prezzi'!$D105&amp;'riepilogo prezzi'!$E105)&gt;0,'riepilogo prezzi'!$D105&amp;"-"&amp;'riepilogo prezzi'!$E105,"")</f>
        <v/>
      </c>
      <c r="B105" s="70" t="str">
        <f>IF(LEN(MONTH(RigheOfferte[[#This Row],[data]]))=1,0&amp;MONTH(RigheOfferte[[#This Row],[data]]),MONTH(RigheOfferte[[#This Row],[data]]))</f>
        <v>01</v>
      </c>
      <c r="C105" s="70" t="str">
        <f>IF(MONTH(RigheOfferte[[#This Row],[data]])&gt;8,"03",IF(MONTH(RigheOfferte[[#This Row],[data]])&gt;4,"02","01"))</f>
        <v>01</v>
      </c>
      <c r="D105" s="71"/>
      <c r="E105" s="71"/>
      <c r="F105" s="83"/>
      <c r="G105" s="71"/>
      <c r="H105" s="69"/>
      <c r="I105" s="71"/>
      <c r="J105" s="82"/>
      <c r="K105" s="84"/>
      <c r="L105" s="88"/>
      <c r="M105" s="71"/>
      <c r="N105" s="71" t="str">
        <f>_xlfn.IFNA(VLOOKUP(RigheOfferte[[#This Row],[Lavorazione]],DescLavorazioni[],2,FALSE),"")</f>
        <v/>
      </c>
      <c r="O105" s="71"/>
      <c r="P105" s="73">
        <f>_xlfn.IFNA(VLOOKUP(RigheOfferte[[#This Row],[Cod Vel]],VeloCatena[],3,FALSE),0)</f>
        <v>0</v>
      </c>
      <c r="Q105" s="89"/>
      <c r="R105" s="71"/>
      <c r="S105" s="71"/>
      <c r="T105" s="71"/>
      <c r="U105" s="71"/>
      <c r="V105" s="74">
        <f>IF(RigheOfferte[[#This Row],[Velocità]]&gt;0,60*RigheOfferte[[#This Row],[Velocità]]/RigheOfferte[[#This Row],[passo]]*RigheOfferte[[#This Row],[nr.pezzi Telaio]],0)</f>
        <v>0</v>
      </c>
      <c r="W105" s="74"/>
      <c r="X10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5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5" s="76"/>
      <c r="AB105" s="71"/>
      <c r="AC105" s="74">
        <f>RigheOfferte[[#This Row],[Superf.pz Mq]]*Resa*RigheOfferte[[#This Row],[MP (€kg)]]</f>
        <v>0</v>
      </c>
      <c r="AD105" s="77"/>
      <c r="AE105" s="77"/>
      <c r="AF105" s="55">
        <f>_xlfn.IFNA(VLOOKUP(RigheOfferte[[#This Row],[Tipo Protezione]],Protezioni[],2,FALSE),0)</f>
        <v>0</v>
      </c>
      <c r="AG105" s="79"/>
      <c r="AH10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5" s="71">
        <f>RigheOfferte[[#This Row],[altri costi]]+RigheOfferte[[#This Row],[costo industriale pz]]</f>
        <v>0</v>
      </c>
      <c r="AJ105" s="81">
        <f>_xlfn.IFNA(INDEX(Ricarichi[],MATCH(YEAR(RigheOfferte[[#This Row],[data]])&amp;RigheOfferte[[#This Row],[Quadrimestre]],QuCostiLav,0),MATCH(RigheOfferte[[#This Row],[Lavorazione]],CodLavorazioni,0)),0)</f>
        <v>0</v>
      </c>
      <c r="AK105" s="80">
        <f>RigheOfferte[[#This Row],[totale costi]]+(RigheOfferte[[#This Row],[totale costi]]*RigheOfferte[[#This Row],[Ricarico]])</f>
        <v>0</v>
      </c>
      <c r="AL105" s="71">
        <f>RigheOfferte[[#This Row],[Prezzo Di Vendita]]*RigheOfferte[[#This Row],[Q.ta'']]</f>
        <v>0</v>
      </c>
      <c r="AM105" s="71">
        <f>IFERROR(RigheOfferte[[#This Row],[Prezzo Di Vendita]]/RigheOfferte[[#This Row],[Superf.pz Mq]],0)</f>
        <v>0</v>
      </c>
    </row>
    <row r="106" spans="1:39" ht="14.4">
      <c r="A106" s="69" t="str">
        <f>IF(LEN('riepilogo prezzi'!$D106&amp;'riepilogo prezzi'!$E106)&gt;0,'riepilogo prezzi'!$D106&amp;"-"&amp;'riepilogo prezzi'!$E106,"")</f>
        <v/>
      </c>
      <c r="B106" s="70" t="str">
        <f>IF(LEN(MONTH(RigheOfferte[[#This Row],[data]]))=1,0&amp;MONTH(RigheOfferte[[#This Row],[data]]),MONTH(RigheOfferte[[#This Row],[data]]))</f>
        <v>01</v>
      </c>
      <c r="C106" s="70" t="str">
        <f>IF(MONTH(RigheOfferte[[#This Row],[data]])&gt;8,"03",IF(MONTH(RigheOfferte[[#This Row],[data]])&gt;4,"02","01"))</f>
        <v>01</v>
      </c>
      <c r="D106" s="71"/>
      <c r="E106" s="71"/>
      <c r="F106" s="83"/>
      <c r="G106" s="71"/>
      <c r="H106" s="69"/>
      <c r="I106" s="71"/>
      <c r="J106" s="82"/>
      <c r="K106" s="84"/>
      <c r="L106" s="88"/>
      <c r="M106" s="71"/>
      <c r="N106" s="71" t="str">
        <f>_xlfn.IFNA(VLOOKUP(RigheOfferte[[#This Row],[Lavorazione]],DescLavorazioni[],2,FALSE),"")</f>
        <v/>
      </c>
      <c r="O106" s="71"/>
      <c r="P106" s="73">
        <f>_xlfn.IFNA(VLOOKUP(RigheOfferte[[#This Row],[Cod Vel]],VeloCatena[],3,FALSE),0)</f>
        <v>0</v>
      </c>
      <c r="Q106" s="89"/>
      <c r="R106" s="71"/>
      <c r="S106" s="71"/>
      <c r="T106" s="71"/>
      <c r="U106" s="71"/>
      <c r="V106" s="74">
        <f>IF(RigheOfferte[[#This Row],[Velocità]]&gt;0,60*RigheOfferte[[#This Row],[Velocità]]/RigheOfferte[[#This Row],[passo]]*RigheOfferte[[#This Row],[nr.pezzi Telaio]],0)</f>
        <v>0</v>
      </c>
      <c r="W106" s="74"/>
      <c r="X10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6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6" s="76"/>
      <c r="AB106" s="71"/>
      <c r="AC106" s="74">
        <f>RigheOfferte[[#This Row],[Superf.pz Mq]]*Resa*RigheOfferte[[#This Row],[MP (€kg)]]</f>
        <v>0</v>
      </c>
      <c r="AD106" s="77"/>
      <c r="AE106" s="77"/>
      <c r="AF106" s="55">
        <f>_xlfn.IFNA(VLOOKUP(RigheOfferte[[#This Row],[Tipo Protezione]],Protezioni[],2,FALSE),0)</f>
        <v>0</v>
      </c>
      <c r="AG106" s="79"/>
      <c r="AH10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6" s="71">
        <f>RigheOfferte[[#This Row],[altri costi]]+RigheOfferte[[#This Row],[costo industriale pz]]</f>
        <v>0</v>
      </c>
      <c r="AJ106" s="81">
        <f>_xlfn.IFNA(INDEX(Ricarichi[],MATCH(YEAR(RigheOfferte[[#This Row],[data]])&amp;RigheOfferte[[#This Row],[Quadrimestre]],QuCostiLav,0),MATCH(RigheOfferte[[#This Row],[Lavorazione]],CodLavorazioni,0)),0)</f>
        <v>0</v>
      </c>
      <c r="AK106" s="80">
        <f>RigheOfferte[[#This Row],[totale costi]]+(RigheOfferte[[#This Row],[totale costi]]*RigheOfferte[[#This Row],[Ricarico]])</f>
        <v>0</v>
      </c>
      <c r="AL106" s="71">
        <f>RigheOfferte[[#This Row],[Prezzo Di Vendita]]*RigheOfferte[[#This Row],[Q.ta'']]</f>
        <v>0</v>
      </c>
      <c r="AM106" s="71">
        <f>IFERROR(RigheOfferte[[#This Row],[Prezzo Di Vendita]]/RigheOfferte[[#This Row],[Superf.pz Mq]],0)</f>
        <v>0</v>
      </c>
    </row>
    <row r="107" spans="1:39" ht="14.4">
      <c r="A107" s="69" t="str">
        <f>IF(LEN('riepilogo prezzi'!$D107&amp;'riepilogo prezzi'!$E107)&gt;0,'riepilogo prezzi'!$D107&amp;"-"&amp;'riepilogo prezzi'!$E107,"")</f>
        <v/>
      </c>
      <c r="B107" s="70" t="str">
        <f>IF(LEN(MONTH(RigheOfferte[[#This Row],[data]]))=1,0&amp;MONTH(RigheOfferte[[#This Row],[data]]),MONTH(RigheOfferte[[#This Row],[data]]))</f>
        <v>01</v>
      </c>
      <c r="C107" s="70" t="str">
        <f>IF(MONTH(RigheOfferte[[#This Row],[data]])&gt;8,"03",IF(MONTH(RigheOfferte[[#This Row],[data]])&gt;4,"02","01"))</f>
        <v>01</v>
      </c>
      <c r="D107" s="71"/>
      <c r="E107" s="71"/>
      <c r="F107" s="83"/>
      <c r="G107" s="71"/>
      <c r="H107" s="69"/>
      <c r="I107" s="71"/>
      <c r="J107" s="82"/>
      <c r="K107" s="84"/>
      <c r="L107" s="88"/>
      <c r="M107" s="71"/>
      <c r="N107" s="71" t="str">
        <f>_xlfn.IFNA(VLOOKUP(RigheOfferte[[#This Row],[Lavorazione]],DescLavorazioni[],2,FALSE),"")</f>
        <v/>
      </c>
      <c r="O107" s="71"/>
      <c r="P107" s="73">
        <f>_xlfn.IFNA(VLOOKUP(RigheOfferte[[#This Row],[Cod Vel]],VeloCatena[],3,FALSE),0)</f>
        <v>0</v>
      </c>
      <c r="Q107" s="89"/>
      <c r="R107" s="71"/>
      <c r="S107" s="71"/>
      <c r="T107" s="71"/>
      <c r="U107" s="71"/>
      <c r="V107" s="74">
        <f>IF(RigheOfferte[[#This Row],[Velocità]]&gt;0,60*RigheOfferte[[#This Row],[Velocità]]/RigheOfferte[[#This Row],[passo]]*RigheOfferte[[#This Row],[nr.pezzi Telaio]],0)</f>
        <v>0</v>
      </c>
      <c r="W107" s="74"/>
      <c r="X10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7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7" s="76"/>
      <c r="AB107" s="71"/>
      <c r="AC107" s="74">
        <f>RigheOfferte[[#This Row],[Superf.pz Mq]]*Resa*RigheOfferte[[#This Row],[MP (€kg)]]</f>
        <v>0</v>
      </c>
      <c r="AD107" s="77"/>
      <c r="AE107" s="77"/>
      <c r="AF107" s="55">
        <f>_xlfn.IFNA(VLOOKUP(RigheOfferte[[#This Row],[Tipo Protezione]],Protezioni[],2,FALSE),0)</f>
        <v>0</v>
      </c>
      <c r="AG107" s="79"/>
      <c r="AH10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7" s="71">
        <f>RigheOfferte[[#This Row],[altri costi]]+RigheOfferte[[#This Row],[costo industriale pz]]</f>
        <v>0</v>
      </c>
      <c r="AJ107" s="81">
        <f>_xlfn.IFNA(INDEX(Ricarichi[],MATCH(YEAR(RigheOfferte[[#This Row],[data]])&amp;RigheOfferte[[#This Row],[Quadrimestre]],QuCostiLav,0),MATCH(RigheOfferte[[#This Row],[Lavorazione]],CodLavorazioni,0)),0)</f>
        <v>0</v>
      </c>
      <c r="AK107" s="80">
        <f>RigheOfferte[[#This Row],[totale costi]]+(RigheOfferte[[#This Row],[totale costi]]*RigheOfferte[[#This Row],[Ricarico]])</f>
        <v>0</v>
      </c>
      <c r="AL107" s="71">
        <f>RigheOfferte[[#This Row],[Prezzo Di Vendita]]*RigheOfferte[[#This Row],[Q.ta'']]</f>
        <v>0</v>
      </c>
      <c r="AM107" s="71">
        <f>IFERROR(RigheOfferte[[#This Row],[Prezzo Di Vendita]]/RigheOfferte[[#This Row],[Superf.pz Mq]],0)</f>
        <v>0</v>
      </c>
    </row>
    <row r="108" spans="1:39" ht="14.4">
      <c r="A108" s="69" t="str">
        <f>IF(LEN('riepilogo prezzi'!$D108&amp;'riepilogo prezzi'!$E108)&gt;0,'riepilogo prezzi'!$D108&amp;"-"&amp;'riepilogo prezzi'!$E108,"")</f>
        <v/>
      </c>
      <c r="B108" s="70" t="str">
        <f>IF(LEN(MONTH(RigheOfferte[[#This Row],[data]]))=1,0&amp;MONTH(RigheOfferte[[#This Row],[data]]),MONTH(RigheOfferte[[#This Row],[data]]))</f>
        <v>01</v>
      </c>
      <c r="C108" s="70" t="str">
        <f>IF(MONTH(RigheOfferte[[#This Row],[data]])&gt;8,"03",IF(MONTH(RigheOfferte[[#This Row],[data]])&gt;4,"02","01"))</f>
        <v>01</v>
      </c>
      <c r="D108" s="71"/>
      <c r="E108" s="71"/>
      <c r="F108" s="83"/>
      <c r="G108" s="71"/>
      <c r="H108" s="69"/>
      <c r="I108" s="71"/>
      <c r="J108" s="82"/>
      <c r="K108" s="84"/>
      <c r="L108" s="88"/>
      <c r="M108" s="71"/>
      <c r="N108" s="71" t="str">
        <f>_xlfn.IFNA(VLOOKUP(RigheOfferte[[#This Row],[Lavorazione]],DescLavorazioni[],2,FALSE),"")</f>
        <v/>
      </c>
      <c r="O108" s="71"/>
      <c r="P108" s="73">
        <f>_xlfn.IFNA(VLOOKUP(RigheOfferte[[#This Row],[Cod Vel]],VeloCatena[],3,FALSE),0)</f>
        <v>0</v>
      </c>
      <c r="Q108" s="89"/>
      <c r="R108" s="71"/>
      <c r="S108" s="71"/>
      <c r="T108" s="71"/>
      <c r="U108" s="71"/>
      <c r="V108" s="74">
        <f>IF(RigheOfferte[[#This Row],[Velocità]]&gt;0,60*RigheOfferte[[#This Row],[Velocità]]/RigheOfferte[[#This Row],[passo]]*RigheOfferte[[#This Row],[nr.pezzi Telaio]],0)</f>
        <v>0</v>
      </c>
      <c r="W108" s="74"/>
      <c r="X10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8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8" s="76"/>
      <c r="AB108" s="71"/>
      <c r="AC108" s="74">
        <f>RigheOfferte[[#This Row],[Superf.pz Mq]]*Resa*RigheOfferte[[#This Row],[MP (€kg)]]</f>
        <v>0</v>
      </c>
      <c r="AD108" s="77"/>
      <c r="AE108" s="77"/>
      <c r="AF108" s="55">
        <f>_xlfn.IFNA(VLOOKUP(RigheOfferte[[#This Row],[Tipo Protezione]],Protezioni[],2,FALSE),0)</f>
        <v>0</v>
      </c>
      <c r="AG108" s="79"/>
      <c r="AH10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8" s="71">
        <f>RigheOfferte[[#This Row],[altri costi]]+RigheOfferte[[#This Row],[costo industriale pz]]</f>
        <v>0</v>
      </c>
      <c r="AJ108" s="81">
        <f>_xlfn.IFNA(INDEX(Ricarichi[],MATCH(YEAR(RigheOfferte[[#This Row],[data]])&amp;RigheOfferte[[#This Row],[Quadrimestre]],QuCostiLav,0),MATCH(RigheOfferte[[#This Row],[Lavorazione]],CodLavorazioni,0)),0)</f>
        <v>0</v>
      </c>
      <c r="AK108" s="80">
        <f>RigheOfferte[[#This Row],[totale costi]]+(RigheOfferte[[#This Row],[totale costi]]*RigheOfferte[[#This Row],[Ricarico]])</f>
        <v>0</v>
      </c>
      <c r="AL108" s="71">
        <f>RigheOfferte[[#This Row],[Prezzo Di Vendita]]*RigheOfferte[[#This Row],[Q.ta'']]</f>
        <v>0</v>
      </c>
      <c r="AM108" s="71">
        <f>IFERROR(RigheOfferte[[#This Row],[Prezzo Di Vendita]]/RigheOfferte[[#This Row],[Superf.pz Mq]],0)</f>
        <v>0</v>
      </c>
    </row>
    <row r="109" spans="1:39" ht="14.4">
      <c r="A109" s="69" t="str">
        <f>IF(LEN('riepilogo prezzi'!$D109&amp;'riepilogo prezzi'!$E109)&gt;0,'riepilogo prezzi'!$D109&amp;"-"&amp;'riepilogo prezzi'!$E109,"")</f>
        <v/>
      </c>
      <c r="B109" s="70" t="str">
        <f>IF(LEN(MONTH(RigheOfferte[[#This Row],[data]]))=1,0&amp;MONTH(RigheOfferte[[#This Row],[data]]),MONTH(RigheOfferte[[#This Row],[data]]))</f>
        <v>01</v>
      </c>
      <c r="C109" s="70" t="str">
        <f>IF(MONTH(RigheOfferte[[#This Row],[data]])&gt;8,"03",IF(MONTH(RigheOfferte[[#This Row],[data]])&gt;4,"02","01"))</f>
        <v>01</v>
      </c>
      <c r="D109" s="71"/>
      <c r="E109" s="71"/>
      <c r="F109" s="83"/>
      <c r="G109" s="71"/>
      <c r="H109" s="69"/>
      <c r="I109" s="71"/>
      <c r="J109" s="82"/>
      <c r="K109" s="84"/>
      <c r="L109" s="88"/>
      <c r="M109" s="71"/>
      <c r="N109" s="71" t="str">
        <f>_xlfn.IFNA(VLOOKUP(RigheOfferte[[#This Row],[Lavorazione]],DescLavorazioni[],2,FALSE),"")</f>
        <v/>
      </c>
      <c r="O109" s="71"/>
      <c r="P109" s="73">
        <f>_xlfn.IFNA(VLOOKUP(RigheOfferte[[#This Row],[Cod Vel]],VeloCatena[],3,FALSE),0)</f>
        <v>0</v>
      </c>
      <c r="Q109" s="89"/>
      <c r="R109" s="71"/>
      <c r="S109" s="71"/>
      <c r="T109" s="71"/>
      <c r="U109" s="71"/>
      <c r="V109" s="74">
        <f>IF(RigheOfferte[[#This Row],[Velocità]]&gt;0,60*RigheOfferte[[#This Row],[Velocità]]/RigheOfferte[[#This Row],[passo]]*RigheOfferte[[#This Row],[nr.pezzi Telaio]],0)</f>
        <v>0</v>
      </c>
      <c r="W109" s="74"/>
      <c r="X10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0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09" s="74">
        <f>_xlfn.IFNA(INDEX(RiepilogoCostiOrari[],MATCH(YEAR(RigheOfferte[[#This Row],[data]])&amp;RigheOfferte[[#This Row],[Quadrimestre]],QuCostiLav,0),MATCH(RigheOfferte[[#This Row],[Lavorazione]],CodLavorazioni,0)),0)</f>
        <v>0</v>
      </c>
      <c r="AA109" s="76"/>
      <c r="AB109" s="71"/>
      <c r="AC109" s="74">
        <f>RigheOfferte[[#This Row],[Superf.pz Mq]]*Resa*RigheOfferte[[#This Row],[MP (€kg)]]</f>
        <v>0</v>
      </c>
      <c r="AD109" s="77"/>
      <c r="AE109" s="77"/>
      <c r="AF109" s="55">
        <f>_xlfn.IFNA(VLOOKUP(RigheOfferte[[#This Row],[Tipo Protezione]],Protezioni[],2,FALSE),0)</f>
        <v>0</v>
      </c>
      <c r="AG109" s="79"/>
      <c r="AH10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09" s="71">
        <f>RigheOfferte[[#This Row],[altri costi]]+RigheOfferte[[#This Row],[costo industriale pz]]</f>
        <v>0</v>
      </c>
      <c r="AJ109" s="81">
        <f>_xlfn.IFNA(INDEX(Ricarichi[],MATCH(YEAR(RigheOfferte[[#This Row],[data]])&amp;RigheOfferte[[#This Row],[Quadrimestre]],QuCostiLav,0),MATCH(RigheOfferte[[#This Row],[Lavorazione]],CodLavorazioni,0)),0)</f>
        <v>0</v>
      </c>
      <c r="AK109" s="80">
        <f>RigheOfferte[[#This Row],[totale costi]]+(RigheOfferte[[#This Row],[totale costi]]*RigheOfferte[[#This Row],[Ricarico]])</f>
        <v>0</v>
      </c>
      <c r="AL109" s="71">
        <f>RigheOfferte[[#This Row],[Prezzo Di Vendita]]*RigheOfferte[[#This Row],[Q.ta'']]</f>
        <v>0</v>
      </c>
      <c r="AM109" s="71">
        <f>IFERROR(RigheOfferte[[#This Row],[Prezzo Di Vendita]]/RigheOfferte[[#This Row],[Superf.pz Mq]],0)</f>
        <v>0</v>
      </c>
    </row>
    <row r="110" spans="1:39" ht="14.4">
      <c r="A110" s="69" t="str">
        <f>IF(LEN('riepilogo prezzi'!$D110&amp;'riepilogo prezzi'!$E110)&gt;0,'riepilogo prezzi'!$D110&amp;"-"&amp;'riepilogo prezzi'!$E110,"")</f>
        <v/>
      </c>
      <c r="B110" s="70" t="str">
        <f>IF(LEN(MONTH(RigheOfferte[[#This Row],[data]]))=1,0&amp;MONTH(RigheOfferte[[#This Row],[data]]),MONTH(RigheOfferte[[#This Row],[data]]))</f>
        <v>01</v>
      </c>
      <c r="C110" s="70" t="str">
        <f>IF(MONTH(RigheOfferte[[#This Row],[data]])&gt;8,"03",IF(MONTH(RigheOfferte[[#This Row],[data]])&gt;4,"02","01"))</f>
        <v>01</v>
      </c>
      <c r="D110" s="71"/>
      <c r="E110" s="71"/>
      <c r="F110" s="83"/>
      <c r="G110" s="71"/>
      <c r="H110" s="69"/>
      <c r="I110" s="71"/>
      <c r="J110" s="82"/>
      <c r="K110" s="84"/>
      <c r="L110" s="88"/>
      <c r="M110" s="71"/>
      <c r="N110" s="71" t="str">
        <f>_xlfn.IFNA(VLOOKUP(RigheOfferte[[#This Row],[Lavorazione]],DescLavorazioni[],2,FALSE),"")</f>
        <v/>
      </c>
      <c r="O110" s="71"/>
      <c r="P110" s="73">
        <f>_xlfn.IFNA(VLOOKUP(RigheOfferte[[#This Row],[Cod Vel]],VeloCatena[],3,FALSE),0)</f>
        <v>0</v>
      </c>
      <c r="Q110" s="89"/>
      <c r="R110" s="71"/>
      <c r="S110" s="71"/>
      <c r="T110" s="71"/>
      <c r="U110" s="71"/>
      <c r="V110" s="74">
        <f>IF(RigheOfferte[[#This Row],[Velocità]]&gt;0,60*RigheOfferte[[#This Row],[Velocità]]/RigheOfferte[[#This Row],[passo]]*RigheOfferte[[#This Row],[nr.pezzi Telaio]],0)</f>
        <v>0</v>
      </c>
      <c r="W110" s="74"/>
      <c r="X11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0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0" s="76"/>
      <c r="AB110" s="71"/>
      <c r="AC110" s="74">
        <f>RigheOfferte[[#This Row],[Superf.pz Mq]]*Resa*RigheOfferte[[#This Row],[MP (€kg)]]</f>
        <v>0</v>
      </c>
      <c r="AD110" s="77"/>
      <c r="AE110" s="77"/>
      <c r="AF110" s="55">
        <f>_xlfn.IFNA(VLOOKUP(RigheOfferte[[#This Row],[Tipo Protezione]],Protezioni[],2,FALSE),0)</f>
        <v>0</v>
      </c>
      <c r="AG110" s="79"/>
      <c r="AH11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0" s="71">
        <f>RigheOfferte[[#This Row],[altri costi]]+RigheOfferte[[#This Row],[costo industriale pz]]</f>
        <v>0</v>
      </c>
      <c r="AJ110" s="81">
        <f>_xlfn.IFNA(INDEX(Ricarichi[],MATCH(YEAR(RigheOfferte[[#This Row],[data]])&amp;RigheOfferte[[#This Row],[Quadrimestre]],QuCostiLav,0),MATCH(RigheOfferte[[#This Row],[Lavorazione]],CodLavorazioni,0)),0)</f>
        <v>0</v>
      </c>
      <c r="AK110" s="80">
        <f>RigheOfferte[[#This Row],[totale costi]]+(RigheOfferte[[#This Row],[totale costi]]*RigheOfferte[[#This Row],[Ricarico]])</f>
        <v>0</v>
      </c>
      <c r="AL110" s="71">
        <f>RigheOfferte[[#This Row],[Prezzo Di Vendita]]*RigheOfferte[[#This Row],[Q.ta'']]</f>
        <v>0</v>
      </c>
      <c r="AM110" s="71">
        <f>IFERROR(RigheOfferte[[#This Row],[Prezzo Di Vendita]]/RigheOfferte[[#This Row],[Superf.pz Mq]],0)</f>
        <v>0</v>
      </c>
    </row>
    <row r="111" spans="1:39" ht="14.4">
      <c r="A111" s="69" t="str">
        <f>IF(LEN('riepilogo prezzi'!$D111&amp;'riepilogo prezzi'!$E111)&gt;0,'riepilogo prezzi'!$D111&amp;"-"&amp;'riepilogo prezzi'!$E111,"")</f>
        <v/>
      </c>
      <c r="B111" s="70" t="str">
        <f>IF(LEN(MONTH(RigheOfferte[[#This Row],[data]]))=1,0&amp;MONTH(RigheOfferte[[#This Row],[data]]),MONTH(RigheOfferte[[#This Row],[data]]))</f>
        <v>01</v>
      </c>
      <c r="C111" s="70" t="str">
        <f>IF(MONTH(RigheOfferte[[#This Row],[data]])&gt;8,"03",IF(MONTH(RigheOfferte[[#This Row],[data]])&gt;4,"02","01"))</f>
        <v>01</v>
      </c>
      <c r="D111" s="71"/>
      <c r="E111" s="71"/>
      <c r="F111" s="83"/>
      <c r="G111" s="71"/>
      <c r="H111" s="69"/>
      <c r="I111" s="71"/>
      <c r="J111" s="82"/>
      <c r="K111" s="84"/>
      <c r="L111" s="88"/>
      <c r="M111" s="71"/>
      <c r="N111" s="71" t="str">
        <f>_xlfn.IFNA(VLOOKUP(RigheOfferte[[#This Row],[Lavorazione]],DescLavorazioni[],2,FALSE),"")</f>
        <v/>
      </c>
      <c r="O111" s="71"/>
      <c r="P111" s="73">
        <f>_xlfn.IFNA(VLOOKUP(RigheOfferte[[#This Row],[Cod Vel]],VeloCatena[],3,FALSE),0)</f>
        <v>0</v>
      </c>
      <c r="Q111" s="89"/>
      <c r="R111" s="71"/>
      <c r="S111" s="71"/>
      <c r="T111" s="71"/>
      <c r="U111" s="71"/>
      <c r="V111" s="74">
        <f>IF(RigheOfferte[[#This Row],[Velocità]]&gt;0,60*RigheOfferte[[#This Row],[Velocità]]/RigheOfferte[[#This Row],[passo]]*RigheOfferte[[#This Row],[nr.pezzi Telaio]],0)</f>
        <v>0</v>
      </c>
      <c r="W111" s="74"/>
      <c r="X11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1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1" s="76"/>
      <c r="AB111" s="71"/>
      <c r="AC111" s="74">
        <f>RigheOfferte[[#This Row],[Superf.pz Mq]]*Resa*RigheOfferte[[#This Row],[MP (€kg)]]</f>
        <v>0</v>
      </c>
      <c r="AD111" s="77"/>
      <c r="AE111" s="77"/>
      <c r="AF111" s="55">
        <f>_xlfn.IFNA(VLOOKUP(RigheOfferte[[#This Row],[Tipo Protezione]],Protezioni[],2,FALSE),0)</f>
        <v>0</v>
      </c>
      <c r="AG111" s="79"/>
      <c r="AH11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1" s="71">
        <f>RigheOfferte[[#This Row],[altri costi]]+RigheOfferte[[#This Row],[costo industriale pz]]</f>
        <v>0</v>
      </c>
      <c r="AJ111" s="81">
        <f>_xlfn.IFNA(INDEX(Ricarichi[],MATCH(YEAR(RigheOfferte[[#This Row],[data]])&amp;RigheOfferte[[#This Row],[Quadrimestre]],QuCostiLav,0),MATCH(RigheOfferte[[#This Row],[Lavorazione]],CodLavorazioni,0)),0)</f>
        <v>0</v>
      </c>
      <c r="AK111" s="80">
        <f>RigheOfferte[[#This Row],[totale costi]]+(RigheOfferte[[#This Row],[totale costi]]*RigheOfferte[[#This Row],[Ricarico]])</f>
        <v>0</v>
      </c>
      <c r="AL111" s="71">
        <f>RigheOfferte[[#This Row],[Prezzo Di Vendita]]*RigheOfferte[[#This Row],[Q.ta'']]</f>
        <v>0</v>
      </c>
      <c r="AM111" s="71">
        <f>IFERROR(RigheOfferte[[#This Row],[Prezzo Di Vendita]]/RigheOfferte[[#This Row],[Superf.pz Mq]],0)</f>
        <v>0</v>
      </c>
    </row>
    <row r="112" spans="1:39" ht="14.4">
      <c r="A112" s="69" t="str">
        <f>IF(LEN('riepilogo prezzi'!$D112&amp;'riepilogo prezzi'!$E112)&gt;0,'riepilogo prezzi'!$D112&amp;"-"&amp;'riepilogo prezzi'!$E112,"")</f>
        <v/>
      </c>
      <c r="B112" s="70" t="str">
        <f>IF(LEN(MONTH(RigheOfferte[[#This Row],[data]]))=1,0&amp;MONTH(RigheOfferte[[#This Row],[data]]),MONTH(RigheOfferte[[#This Row],[data]]))</f>
        <v>01</v>
      </c>
      <c r="C112" s="70" t="str">
        <f>IF(MONTH(RigheOfferte[[#This Row],[data]])&gt;8,"03",IF(MONTH(RigheOfferte[[#This Row],[data]])&gt;4,"02","01"))</f>
        <v>01</v>
      </c>
      <c r="D112" s="71"/>
      <c r="E112" s="71"/>
      <c r="F112" s="83"/>
      <c r="G112" s="71"/>
      <c r="H112" s="69"/>
      <c r="I112" s="71"/>
      <c r="J112" s="82"/>
      <c r="K112" s="84"/>
      <c r="L112" s="88"/>
      <c r="M112" s="71"/>
      <c r="N112" s="71" t="str">
        <f>_xlfn.IFNA(VLOOKUP(RigheOfferte[[#This Row],[Lavorazione]],DescLavorazioni[],2,FALSE),"")</f>
        <v/>
      </c>
      <c r="O112" s="71"/>
      <c r="P112" s="73">
        <f>_xlfn.IFNA(VLOOKUP(RigheOfferte[[#This Row],[Cod Vel]],VeloCatena[],3,FALSE),0)</f>
        <v>0</v>
      </c>
      <c r="Q112" s="89"/>
      <c r="R112" s="71"/>
      <c r="S112" s="71"/>
      <c r="T112" s="71"/>
      <c r="U112" s="71"/>
      <c r="V112" s="74">
        <f>IF(RigheOfferte[[#This Row],[Velocità]]&gt;0,60*RigheOfferte[[#This Row],[Velocità]]/RigheOfferte[[#This Row],[passo]]*RigheOfferte[[#This Row],[nr.pezzi Telaio]],0)</f>
        <v>0</v>
      </c>
      <c r="W112" s="74"/>
      <c r="X11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2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2" s="76"/>
      <c r="AB112" s="71"/>
      <c r="AC112" s="74">
        <f>RigheOfferte[[#This Row],[Superf.pz Mq]]*Resa*RigheOfferte[[#This Row],[MP (€kg)]]</f>
        <v>0</v>
      </c>
      <c r="AD112" s="77"/>
      <c r="AE112" s="77"/>
      <c r="AF112" s="55">
        <f>_xlfn.IFNA(VLOOKUP(RigheOfferte[[#This Row],[Tipo Protezione]],Protezioni[],2,FALSE),0)</f>
        <v>0</v>
      </c>
      <c r="AG112" s="79"/>
      <c r="AH11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2" s="71">
        <f>RigheOfferte[[#This Row],[altri costi]]+RigheOfferte[[#This Row],[costo industriale pz]]</f>
        <v>0</v>
      </c>
      <c r="AJ112" s="81">
        <f>_xlfn.IFNA(INDEX(Ricarichi[],MATCH(YEAR(RigheOfferte[[#This Row],[data]])&amp;RigheOfferte[[#This Row],[Quadrimestre]],QuCostiLav,0),MATCH(RigheOfferte[[#This Row],[Lavorazione]],CodLavorazioni,0)),0)</f>
        <v>0</v>
      </c>
      <c r="AK112" s="80">
        <f>RigheOfferte[[#This Row],[totale costi]]+(RigheOfferte[[#This Row],[totale costi]]*RigheOfferte[[#This Row],[Ricarico]])</f>
        <v>0</v>
      </c>
      <c r="AL112" s="71">
        <f>RigheOfferte[[#This Row],[Prezzo Di Vendita]]*RigheOfferte[[#This Row],[Q.ta'']]</f>
        <v>0</v>
      </c>
      <c r="AM112" s="71">
        <f>IFERROR(RigheOfferte[[#This Row],[Prezzo Di Vendita]]/RigheOfferte[[#This Row],[Superf.pz Mq]],0)</f>
        <v>0</v>
      </c>
    </row>
    <row r="113" spans="1:39" ht="14.4">
      <c r="A113" s="69" t="str">
        <f>IF(LEN('riepilogo prezzi'!$D113&amp;'riepilogo prezzi'!$E113)&gt;0,'riepilogo prezzi'!$D113&amp;"-"&amp;'riepilogo prezzi'!$E113,"")</f>
        <v/>
      </c>
      <c r="B113" s="70" t="str">
        <f>IF(LEN(MONTH(RigheOfferte[[#This Row],[data]]))=1,0&amp;MONTH(RigheOfferte[[#This Row],[data]]),MONTH(RigheOfferte[[#This Row],[data]]))</f>
        <v>01</v>
      </c>
      <c r="C113" s="70" t="str">
        <f>IF(MONTH(RigheOfferte[[#This Row],[data]])&gt;8,"03",IF(MONTH(RigheOfferte[[#This Row],[data]])&gt;4,"02","01"))</f>
        <v>01</v>
      </c>
      <c r="D113" s="71"/>
      <c r="E113" s="71"/>
      <c r="F113" s="83"/>
      <c r="G113" s="71"/>
      <c r="H113" s="69"/>
      <c r="I113" s="71"/>
      <c r="J113" s="82"/>
      <c r="K113" s="84"/>
      <c r="L113" s="88"/>
      <c r="M113" s="71"/>
      <c r="N113" s="71" t="str">
        <f>_xlfn.IFNA(VLOOKUP(RigheOfferte[[#This Row],[Lavorazione]],DescLavorazioni[],2,FALSE),"")</f>
        <v/>
      </c>
      <c r="O113" s="71"/>
      <c r="P113" s="73">
        <f>_xlfn.IFNA(VLOOKUP(RigheOfferte[[#This Row],[Cod Vel]],VeloCatena[],3,FALSE),0)</f>
        <v>0</v>
      </c>
      <c r="Q113" s="89"/>
      <c r="R113" s="71"/>
      <c r="S113" s="71"/>
      <c r="T113" s="71"/>
      <c r="U113" s="71"/>
      <c r="V113" s="74">
        <f>IF(RigheOfferte[[#This Row],[Velocità]]&gt;0,60*RigheOfferte[[#This Row],[Velocità]]/RigheOfferte[[#This Row],[passo]]*RigheOfferte[[#This Row],[nr.pezzi Telaio]],0)</f>
        <v>0</v>
      </c>
      <c r="W113" s="74"/>
      <c r="X11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3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3" s="76"/>
      <c r="AB113" s="71"/>
      <c r="AC113" s="74">
        <f>RigheOfferte[[#This Row],[Superf.pz Mq]]*Resa*RigheOfferte[[#This Row],[MP (€kg)]]</f>
        <v>0</v>
      </c>
      <c r="AD113" s="77"/>
      <c r="AE113" s="77"/>
      <c r="AF113" s="55">
        <f>_xlfn.IFNA(VLOOKUP(RigheOfferte[[#This Row],[Tipo Protezione]],Protezioni[],2,FALSE),0)</f>
        <v>0</v>
      </c>
      <c r="AG113" s="79"/>
      <c r="AH11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3" s="71">
        <f>RigheOfferte[[#This Row],[altri costi]]+RigheOfferte[[#This Row],[costo industriale pz]]</f>
        <v>0</v>
      </c>
      <c r="AJ113" s="81">
        <f>_xlfn.IFNA(INDEX(Ricarichi[],MATCH(YEAR(RigheOfferte[[#This Row],[data]])&amp;RigheOfferte[[#This Row],[Quadrimestre]],QuCostiLav,0),MATCH(RigheOfferte[[#This Row],[Lavorazione]],CodLavorazioni,0)),0)</f>
        <v>0</v>
      </c>
      <c r="AK113" s="80">
        <f>RigheOfferte[[#This Row],[totale costi]]+(RigheOfferte[[#This Row],[totale costi]]*RigheOfferte[[#This Row],[Ricarico]])</f>
        <v>0</v>
      </c>
      <c r="AL113" s="71">
        <f>RigheOfferte[[#This Row],[Prezzo Di Vendita]]*RigheOfferte[[#This Row],[Q.ta'']]</f>
        <v>0</v>
      </c>
      <c r="AM113" s="71">
        <f>IFERROR(RigheOfferte[[#This Row],[Prezzo Di Vendita]]/RigheOfferte[[#This Row],[Superf.pz Mq]],0)</f>
        <v>0</v>
      </c>
    </row>
    <row r="114" spans="1:39" ht="14.4">
      <c r="A114" s="69" t="str">
        <f>IF(LEN('riepilogo prezzi'!$D114&amp;'riepilogo prezzi'!$E114)&gt;0,'riepilogo prezzi'!$D114&amp;"-"&amp;'riepilogo prezzi'!$E114,"")</f>
        <v/>
      </c>
      <c r="B114" s="70" t="str">
        <f>IF(LEN(MONTH(RigheOfferte[[#This Row],[data]]))=1,0&amp;MONTH(RigheOfferte[[#This Row],[data]]),MONTH(RigheOfferte[[#This Row],[data]]))</f>
        <v>01</v>
      </c>
      <c r="C114" s="70" t="str">
        <f>IF(MONTH(RigheOfferte[[#This Row],[data]])&gt;8,"03",IF(MONTH(RigheOfferte[[#This Row],[data]])&gt;4,"02","01"))</f>
        <v>01</v>
      </c>
      <c r="D114" s="71"/>
      <c r="E114" s="71"/>
      <c r="F114" s="83"/>
      <c r="G114" s="71"/>
      <c r="H114" s="69"/>
      <c r="I114" s="71"/>
      <c r="J114" s="82"/>
      <c r="K114" s="84"/>
      <c r="L114" s="88"/>
      <c r="M114" s="71"/>
      <c r="N114" s="71" t="str">
        <f>_xlfn.IFNA(VLOOKUP(RigheOfferte[[#This Row],[Lavorazione]],DescLavorazioni[],2,FALSE),"")</f>
        <v/>
      </c>
      <c r="O114" s="71"/>
      <c r="P114" s="73">
        <f>_xlfn.IFNA(VLOOKUP(RigheOfferte[[#This Row],[Cod Vel]],VeloCatena[],3,FALSE),0)</f>
        <v>0</v>
      </c>
      <c r="Q114" s="89"/>
      <c r="R114" s="71"/>
      <c r="S114" s="71"/>
      <c r="T114" s="71"/>
      <c r="U114" s="71"/>
      <c r="V114" s="74">
        <f>IF(RigheOfferte[[#This Row],[Velocità]]&gt;0,60*RigheOfferte[[#This Row],[Velocità]]/RigheOfferte[[#This Row],[passo]]*RigheOfferte[[#This Row],[nr.pezzi Telaio]],0)</f>
        <v>0</v>
      </c>
      <c r="W114" s="74"/>
      <c r="X11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4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4" s="76"/>
      <c r="AB114" s="71"/>
      <c r="AC114" s="74">
        <f>RigheOfferte[[#This Row],[Superf.pz Mq]]*Resa*RigheOfferte[[#This Row],[MP (€kg)]]</f>
        <v>0</v>
      </c>
      <c r="AD114" s="77"/>
      <c r="AE114" s="77"/>
      <c r="AF114" s="55">
        <f>_xlfn.IFNA(VLOOKUP(RigheOfferte[[#This Row],[Tipo Protezione]],Protezioni[],2,FALSE),0)</f>
        <v>0</v>
      </c>
      <c r="AG114" s="79"/>
      <c r="AH11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4" s="71">
        <f>RigheOfferte[[#This Row],[altri costi]]+RigheOfferte[[#This Row],[costo industriale pz]]</f>
        <v>0</v>
      </c>
      <c r="AJ114" s="81">
        <f>_xlfn.IFNA(INDEX(Ricarichi[],MATCH(YEAR(RigheOfferte[[#This Row],[data]])&amp;RigheOfferte[[#This Row],[Quadrimestre]],QuCostiLav,0),MATCH(RigheOfferte[[#This Row],[Lavorazione]],CodLavorazioni,0)),0)</f>
        <v>0</v>
      </c>
      <c r="AK114" s="80">
        <f>RigheOfferte[[#This Row],[totale costi]]+(RigheOfferte[[#This Row],[totale costi]]*RigheOfferte[[#This Row],[Ricarico]])</f>
        <v>0</v>
      </c>
      <c r="AL114" s="71">
        <f>RigheOfferte[[#This Row],[Prezzo Di Vendita]]*RigheOfferte[[#This Row],[Q.ta'']]</f>
        <v>0</v>
      </c>
      <c r="AM114" s="71">
        <f>IFERROR(RigheOfferte[[#This Row],[Prezzo Di Vendita]]/RigheOfferte[[#This Row],[Superf.pz Mq]],0)</f>
        <v>0</v>
      </c>
    </row>
    <row r="115" spans="1:39" ht="14.4">
      <c r="A115" s="69" t="str">
        <f>IF(LEN('riepilogo prezzi'!$D115&amp;'riepilogo prezzi'!$E115)&gt;0,'riepilogo prezzi'!$D115&amp;"-"&amp;'riepilogo prezzi'!$E115,"")</f>
        <v/>
      </c>
      <c r="B115" s="70" t="str">
        <f>IF(LEN(MONTH(RigheOfferte[[#This Row],[data]]))=1,0&amp;MONTH(RigheOfferte[[#This Row],[data]]),MONTH(RigheOfferte[[#This Row],[data]]))</f>
        <v>01</v>
      </c>
      <c r="C115" s="70" t="str">
        <f>IF(MONTH(RigheOfferte[[#This Row],[data]])&gt;8,"03",IF(MONTH(RigheOfferte[[#This Row],[data]])&gt;4,"02","01"))</f>
        <v>01</v>
      </c>
      <c r="D115" s="71"/>
      <c r="E115" s="71"/>
      <c r="F115" s="83"/>
      <c r="G115" s="71"/>
      <c r="H115" s="69"/>
      <c r="I115" s="71"/>
      <c r="J115" s="82"/>
      <c r="K115" s="84"/>
      <c r="L115" s="88"/>
      <c r="M115" s="71"/>
      <c r="N115" s="71" t="str">
        <f>_xlfn.IFNA(VLOOKUP(RigheOfferte[[#This Row],[Lavorazione]],DescLavorazioni[],2,FALSE),"")</f>
        <v/>
      </c>
      <c r="O115" s="71"/>
      <c r="P115" s="73">
        <f>_xlfn.IFNA(VLOOKUP(RigheOfferte[[#This Row],[Cod Vel]],VeloCatena[],3,FALSE),0)</f>
        <v>0</v>
      </c>
      <c r="Q115" s="89"/>
      <c r="R115" s="71"/>
      <c r="S115" s="71"/>
      <c r="T115" s="71"/>
      <c r="U115" s="71"/>
      <c r="V115" s="74">
        <f>IF(RigheOfferte[[#This Row],[Velocità]]&gt;0,60*RigheOfferte[[#This Row],[Velocità]]/RigheOfferte[[#This Row],[passo]]*RigheOfferte[[#This Row],[nr.pezzi Telaio]],0)</f>
        <v>0</v>
      </c>
      <c r="W115" s="74"/>
      <c r="X11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5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5" s="76"/>
      <c r="AB115" s="71"/>
      <c r="AC115" s="74">
        <f>RigheOfferte[[#This Row],[Superf.pz Mq]]*Resa*RigheOfferte[[#This Row],[MP (€kg)]]</f>
        <v>0</v>
      </c>
      <c r="AD115" s="77"/>
      <c r="AE115" s="77"/>
      <c r="AF115" s="55">
        <f>_xlfn.IFNA(VLOOKUP(RigheOfferte[[#This Row],[Tipo Protezione]],Protezioni[],2,FALSE),0)</f>
        <v>0</v>
      </c>
      <c r="AG115" s="79"/>
      <c r="AH11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5" s="71">
        <f>RigheOfferte[[#This Row],[altri costi]]+RigheOfferte[[#This Row],[costo industriale pz]]</f>
        <v>0</v>
      </c>
      <c r="AJ115" s="81">
        <f>_xlfn.IFNA(INDEX(Ricarichi[],MATCH(YEAR(RigheOfferte[[#This Row],[data]])&amp;RigheOfferte[[#This Row],[Quadrimestre]],QuCostiLav,0),MATCH(RigheOfferte[[#This Row],[Lavorazione]],CodLavorazioni,0)),0)</f>
        <v>0</v>
      </c>
      <c r="AK115" s="80">
        <f>RigheOfferte[[#This Row],[totale costi]]+(RigheOfferte[[#This Row],[totale costi]]*RigheOfferte[[#This Row],[Ricarico]])</f>
        <v>0</v>
      </c>
      <c r="AL115" s="71">
        <f>RigheOfferte[[#This Row],[Prezzo Di Vendita]]*RigheOfferte[[#This Row],[Q.ta'']]</f>
        <v>0</v>
      </c>
      <c r="AM115" s="71">
        <f>IFERROR(RigheOfferte[[#This Row],[Prezzo Di Vendita]]/RigheOfferte[[#This Row],[Superf.pz Mq]],0)</f>
        <v>0</v>
      </c>
    </row>
    <row r="116" spans="1:39" ht="14.4">
      <c r="A116" s="69" t="str">
        <f>IF(LEN('riepilogo prezzi'!$D116&amp;'riepilogo prezzi'!$E116)&gt;0,'riepilogo prezzi'!$D116&amp;"-"&amp;'riepilogo prezzi'!$E116,"")</f>
        <v/>
      </c>
      <c r="B116" s="70" t="str">
        <f>IF(LEN(MONTH(RigheOfferte[[#This Row],[data]]))=1,0&amp;MONTH(RigheOfferte[[#This Row],[data]]),MONTH(RigheOfferte[[#This Row],[data]]))</f>
        <v>01</v>
      </c>
      <c r="C116" s="70" t="str">
        <f>IF(MONTH(RigheOfferte[[#This Row],[data]])&gt;8,"03",IF(MONTH(RigheOfferte[[#This Row],[data]])&gt;4,"02","01"))</f>
        <v>01</v>
      </c>
      <c r="D116" s="71"/>
      <c r="E116" s="71"/>
      <c r="F116" s="83"/>
      <c r="G116" s="71"/>
      <c r="H116" s="69"/>
      <c r="I116" s="71"/>
      <c r="J116" s="22"/>
      <c r="K116" s="72"/>
      <c r="L116" s="71"/>
      <c r="M116" s="71"/>
      <c r="N116" s="71" t="str">
        <f>_xlfn.IFNA(VLOOKUP(RigheOfferte[[#This Row],[Lavorazione]],DescLavorazioni[],2,FALSE),"")</f>
        <v/>
      </c>
      <c r="O116" s="71"/>
      <c r="P116" s="73">
        <f>_xlfn.IFNA(VLOOKUP(RigheOfferte[[#This Row],[Cod Vel]],VeloCatena[],3,FALSE),0)</f>
        <v>0</v>
      </c>
      <c r="Q116" s="89"/>
      <c r="R116" s="71"/>
      <c r="S116" s="71"/>
      <c r="T116" s="71"/>
      <c r="U116" s="71"/>
      <c r="V116" s="74">
        <f>IF(RigheOfferte[[#This Row],[Velocità]]&gt;0,60*RigheOfferte[[#This Row],[Velocità]]/RigheOfferte[[#This Row],[passo]]*RigheOfferte[[#This Row],[nr.pezzi Telaio]],0)</f>
        <v>0</v>
      </c>
      <c r="W116" s="74"/>
      <c r="X11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6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6" s="76"/>
      <c r="AB116" s="71"/>
      <c r="AC116" s="74">
        <f>RigheOfferte[[#This Row],[Superf.pz Mq]]*Resa*RigheOfferte[[#This Row],[MP (€kg)]]</f>
        <v>0</v>
      </c>
      <c r="AD116" s="77"/>
      <c r="AE116" s="77"/>
      <c r="AF116" s="55">
        <f>_xlfn.IFNA(VLOOKUP(RigheOfferte[[#This Row],[Tipo Protezione]],Protezioni[],2,FALSE),0)</f>
        <v>0</v>
      </c>
      <c r="AG116" s="79"/>
      <c r="AH11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6" s="71">
        <f>RigheOfferte[[#This Row],[altri costi]]+RigheOfferte[[#This Row],[costo industriale pz]]</f>
        <v>0</v>
      </c>
      <c r="AJ116" s="81">
        <f>_xlfn.IFNA(INDEX(Ricarichi[],MATCH(YEAR(RigheOfferte[[#This Row],[data]])&amp;RigheOfferte[[#This Row],[Quadrimestre]],QuCostiLav,0),MATCH(RigheOfferte[[#This Row],[Lavorazione]],CodLavorazioni,0)),0)</f>
        <v>0</v>
      </c>
      <c r="AK116" s="80">
        <f>RigheOfferte[[#This Row],[totale costi]]+(RigheOfferte[[#This Row],[totale costi]]*RigheOfferte[[#This Row],[Ricarico]])</f>
        <v>0</v>
      </c>
      <c r="AL116" s="71">
        <f>RigheOfferte[[#This Row],[Prezzo Di Vendita]]*RigheOfferte[[#This Row],[Q.ta'']]</f>
        <v>0</v>
      </c>
      <c r="AM116" s="71">
        <f>IFERROR(RigheOfferte[[#This Row],[Prezzo Di Vendita]]/RigheOfferte[[#This Row],[Superf.pz Mq]],0)</f>
        <v>0</v>
      </c>
    </row>
    <row r="117" spans="1:39" ht="14.4">
      <c r="A117" s="69" t="str">
        <f>IF(LEN('riepilogo prezzi'!$D117&amp;'riepilogo prezzi'!$E117)&gt;0,'riepilogo prezzi'!$D117&amp;"-"&amp;'riepilogo prezzi'!$E117,"")</f>
        <v/>
      </c>
      <c r="B117" s="70" t="str">
        <f>IF(LEN(MONTH(RigheOfferte[[#This Row],[data]]))=1,0&amp;MONTH(RigheOfferte[[#This Row],[data]]),MONTH(RigheOfferte[[#This Row],[data]]))</f>
        <v>01</v>
      </c>
      <c r="C117" s="70" t="str">
        <f>IF(MONTH(RigheOfferte[[#This Row],[data]])&gt;8,"03",IF(MONTH(RigheOfferte[[#This Row],[data]])&gt;4,"02","01"))</f>
        <v>01</v>
      </c>
      <c r="D117" s="71"/>
      <c r="E117" s="71"/>
      <c r="F117" s="83"/>
      <c r="G117" s="71"/>
      <c r="H117" s="69"/>
      <c r="I117" s="71"/>
      <c r="J117" s="22"/>
      <c r="K117" s="72"/>
      <c r="L117" s="71"/>
      <c r="M117" s="71"/>
      <c r="N117" s="71" t="str">
        <f>_xlfn.IFNA(VLOOKUP(RigheOfferte[[#This Row],[Lavorazione]],DescLavorazioni[],2,FALSE),"")</f>
        <v/>
      </c>
      <c r="O117" s="71"/>
      <c r="P117" s="73">
        <f>_xlfn.IFNA(VLOOKUP(RigheOfferte[[#This Row],[Cod Vel]],VeloCatena[],3,FALSE),0)</f>
        <v>0</v>
      </c>
      <c r="Q117" s="89"/>
      <c r="R117" s="71"/>
      <c r="S117" s="71"/>
      <c r="T117" s="71"/>
      <c r="U117" s="71"/>
      <c r="V117" s="74">
        <f>IF(RigheOfferte[[#This Row],[Velocità]]&gt;0,60*RigheOfferte[[#This Row],[Velocità]]/RigheOfferte[[#This Row],[passo]]*RigheOfferte[[#This Row],[nr.pezzi Telaio]],0)</f>
        <v>0</v>
      </c>
      <c r="W117" s="74"/>
      <c r="X11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7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7" s="76"/>
      <c r="AB117" s="71"/>
      <c r="AC117" s="74">
        <f>RigheOfferte[[#This Row],[Superf.pz Mq]]*Resa*RigheOfferte[[#This Row],[MP (€kg)]]</f>
        <v>0</v>
      </c>
      <c r="AD117" s="77"/>
      <c r="AE117" s="77"/>
      <c r="AF117" s="55">
        <f>_xlfn.IFNA(VLOOKUP(RigheOfferte[[#This Row],[Tipo Protezione]],Protezioni[],2,FALSE),0)</f>
        <v>0</v>
      </c>
      <c r="AG117" s="79"/>
      <c r="AH11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7" s="71">
        <f>RigheOfferte[[#This Row],[altri costi]]+RigheOfferte[[#This Row],[costo industriale pz]]</f>
        <v>0</v>
      </c>
      <c r="AJ117" s="81">
        <f>_xlfn.IFNA(INDEX(Ricarichi[],MATCH(YEAR(RigheOfferte[[#This Row],[data]])&amp;RigheOfferte[[#This Row],[Quadrimestre]],QuCostiLav,0),MATCH(RigheOfferte[[#This Row],[Lavorazione]],CodLavorazioni,0)),0)</f>
        <v>0</v>
      </c>
      <c r="AK117" s="80">
        <f>RigheOfferte[[#This Row],[totale costi]]+(RigheOfferte[[#This Row],[totale costi]]*RigheOfferte[[#This Row],[Ricarico]])</f>
        <v>0</v>
      </c>
      <c r="AL117" s="71">
        <f>RigheOfferte[[#This Row],[Prezzo Di Vendita]]*RigheOfferte[[#This Row],[Q.ta'']]</f>
        <v>0</v>
      </c>
      <c r="AM117" s="71">
        <f>IFERROR(RigheOfferte[[#This Row],[Prezzo Di Vendita]]/RigheOfferte[[#This Row],[Superf.pz Mq]],0)</f>
        <v>0</v>
      </c>
    </row>
    <row r="118" spans="1:39" ht="14.4">
      <c r="A118" s="69" t="str">
        <f>IF(LEN('riepilogo prezzi'!$D118&amp;'riepilogo prezzi'!$E118)&gt;0,'riepilogo prezzi'!$D118&amp;"-"&amp;'riepilogo prezzi'!$E118,"")</f>
        <v/>
      </c>
      <c r="B118" s="70" t="str">
        <f>IF(LEN(MONTH(RigheOfferte[[#This Row],[data]]))=1,0&amp;MONTH(RigheOfferte[[#This Row],[data]]),MONTH(RigheOfferte[[#This Row],[data]]))</f>
        <v>01</v>
      </c>
      <c r="C118" s="70" t="str">
        <f>IF(MONTH(RigheOfferte[[#This Row],[data]])&gt;8,"03",IF(MONTH(RigheOfferte[[#This Row],[data]])&gt;4,"02","01"))</f>
        <v>01</v>
      </c>
      <c r="D118" s="71"/>
      <c r="E118" s="71"/>
      <c r="F118" s="83"/>
      <c r="G118" s="71"/>
      <c r="H118" s="69"/>
      <c r="I118" s="71"/>
      <c r="J118" s="22"/>
      <c r="K118" s="72"/>
      <c r="L118" s="71"/>
      <c r="M118" s="71"/>
      <c r="N118" s="71" t="str">
        <f>_xlfn.IFNA(VLOOKUP(RigheOfferte[[#This Row],[Lavorazione]],DescLavorazioni[],2,FALSE),"")</f>
        <v/>
      </c>
      <c r="O118" s="71"/>
      <c r="P118" s="73">
        <f>_xlfn.IFNA(VLOOKUP(RigheOfferte[[#This Row],[Cod Vel]],VeloCatena[],3,FALSE),0)</f>
        <v>0</v>
      </c>
      <c r="Q118" s="89"/>
      <c r="R118" s="71"/>
      <c r="S118" s="71"/>
      <c r="T118" s="71"/>
      <c r="U118" s="71"/>
      <c r="V118" s="74">
        <f>IF(RigheOfferte[[#This Row],[Velocità]]&gt;0,60*RigheOfferte[[#This Row],[Velocità]]/RigheOfferte[[#This Row],[passo]]*RigheOfferte[[#This Row],[nr.pezzi Telaio]],0)</f>
        <v>0</v>
      </c>
      <c r="W118" s="74"/>
      <c r="X11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8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8" s="76"/>
      <c r="AB118" s="71"/>
      <c r="AC118" s="74">
        <f>RigheOfferte[[#This Row],[Superf.pz Mq]]*Resa*RigheOfferte[[#This Row],[MP (€kg)]]</f>
        <v>0</v>
      </c>
      <c r="AD118" s="77"/>
      <c r="AE118" s="77"/>
      <c r="AF118" s="55">
        <f>_xlfn.IFNA(VLOOKUP(RigheOfferte[[#This Row],[Tipo Protezione]],Protezioni[],2,FALSE),0)</f>
        <v>0</v>
      </c>
      <c r="AG118" s="79"/>
      <c r="AH11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8" s="71">
        <f>RigheOfferte[[#This Row],[altri costi]]+RigheOfferte[[#This Row],[costo industriale pz]]</f>
        <v>0</v>
      </c>
      <c r="AJ118" s="81">
        <f>_xlfn.IFNA(INDEX(Ricarichi[],MATCH(YEAR(RigheOfferte[[#This Row],[data]])&amp;RigheOfferte[[#This Row],[Quadrimestre]],QuCostiLav,0),MATCH(RigheOfferte[[#This Row],[Lavorazione]],CodLavorazioni,0)),0)</f>
        <v>0</v>
      </c>
      <c r="AK118" s="80">
        <f>RigheOfferte[[#This Row],[totale costi]]+(RigheOfferte[[#This Row],[totale costi]]*RigheOfferte[[#This Row],[Ricarico]])</f>
        <v>0</v>
      </c>
      <c r="AL118" s="71">
        <f>RigheOfferte[[#This Row],[Prezzo Di Vendita]]*RigheOfferte[[#This Row],[Q.ta'']]</f>
        <v>0</v>
      </c>
      <c r="AM118" s="71">
        <f>IFERROR(RigheOfferte[[#This Row],[Prezzo Di Vendita]]/RigheOfferte[[#This Row],[Superf.pz Mq]],0)</f>
        <v>0</v>
      </c>
    </row>
    <row r="119" spans="1:39" ht="14.4">
      <c r="A119" s="69" t="str">
        <f>IF(LEN('riepilogo prezzi'!$D119&amp;'riepilogo prezzi'!$E119)&gt;0,'riepilogo prezzi'!$D119&amp;"-"&amp;'riepilogo prezzi'!$E119,"")</f>
        <v/>
      </c>
      <c r="B119" s="70" t="str">
        <f>IF(LEN(MONTH(RigheOfferte[[#This Row],[data]]))=1,0&amp;MONTH(RigheOfferte[[#This Row],[data]]),MONTH(RigheOfferte[[#This Row],[data]]))</f>
        <v>01</v>
      </c>
      <c r="C119" s="70" t="str">
        <f>IF(MONTH(RigheOfferte[[#This Row],[data]])&gt;8,"03",IF(MONTH(RigheOfferte[[#This Row],[data]])&gt;4,"02","01"))</f>
        <v>01</v>
      </c>
      <c r="D119" s="71"/>
      <c r="E119" s="71"/>
      <c r="F119" s="83"/>
      <c r="G119" s="71"/>
      <c r="H119" s="69"/>
      <c r="I119" s="71"/>
      <c r="J119" s="22"/>
      <c r="K119" s="72"/>
      <c r="L119" s="71"/>
      <c r="M119" s="71"/>
      <c r="N119" s="71" t="str">
        <f>_xlfn.IFNA(VLOOKUP(RigheOfferte[[#This Row],[Lavorazione]],DescLavorazioni[],2,FALSE),"")</f>
        <v/>
      </c>
      <c r="O119" s="71"/>
      <c r="P119" s="73">
        <f>_xlfn.IFNA(VLOOKUP(RigheOfferte[[#This Row],[Cod Vel]],VeloCatena[],3,FALSE),0)</f>
        <v>0</v>
      </c>
      <c r="Q119" s="89"/>
      <c r="R119" s="71"/>
      <c r="S119" s="71"/>
      <c r="T119" s="71"/>
      <c r="U119" s="71"/>
      <c r="V119" s="74">
        <f>IF(RigheOfferte[[#This Row],[Velocità]]&gt;0,60*RigheOfferte[[#This Row],[Velocità]]/RigheOfferte[[#This Row],[passo]]*RigheOfferte[[#This Row],[nr.pezzi Telaio]],0)</f>
        <v>0</v>
      </c>
      <c r="W119" s="74"/>
      <c r="X11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1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19" s="74">
        <f>_xlfn.IFNA(INDEX(RiepilogoCostiOrari[],MATCH(YEAR(RigheOfferte[[#This Row],[data]])&amp;RigheOfferte[[#This Row],[Quadrimestre]],QuCostiLav,0),MATCH(RigheOfferte[[#This Row],[Lavorazione]],CodLavorazioni,0)),0)</f>
        <v>0</v>
      </c>
      <c r="AA119" s="76"/>
      <c r="AB119" s="71"/>
      <c r="AC119" s="74">
        <f>RigheOfferte[[#This Row],[Superf.pz Mq]]*Resa*RigheOfferte[[#This Row],[MP (€kg)]]</f>
        <v>0</v>
      </c>
      <c r="AD119" s="77"/>
      <c r="AE119" s="77"/>
      <c r="AF119" s="55">
        <f>_xlfn.IFNA(VLOOKUP(RigheOfferte[[#This Row],[Tipo Protezione]],Protezioni[],2,FALSE),0)</f>
        <v>0</v>
      </c>
      <c r="AG119" s="79"/>
      <c r="AH11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19" s="71">
        <f>RigheOfferte[[#This Row],[altri costi]]+RigheOfferte[[#This Row],[costo industriale pz]]</f>
        <v>0</v>
      </c>
      <c r="AJ119" s="81">
        <f>_xlfn.IFNA(INDEX(Ricarichi[],MATCH(YEAR(RigheOfferte[[#This Row],[data]])&amp;RigheOfferte[[#This Row],[Quadrimestre]],QuCostiLav,0),MATCH(RigheOfferte[[#This Row],[Lavorazione]],CodLavorazioni,0)),0)</f>
        <v>0</v>
      </c>
      <c r="AK119" s="80">
        <f>RigheOfferte[[#This Row],[totale costi]]+(RigheOfferte[[#This Row],[totale costi]]*RigheOfferte[[#This Row],[Ricarico]])</f>
        <v>0</v>
      </c>
      <c r="AL119" s="71">
        <f>RigheOfferte[[#This Row],[Prezzo Di Vendita]]*RigheOfferte[[#This Row],[Q.ta'']]</f>
        <v>0</v>
      </c>
      <c r="AM119" s="71">
        <f>IFERROR(RigheOfferte[[#This Row],[Prezzo Di Vendita]]/RigheOfferte[[#This Row],[Superf.pz Mq]],0)</f>
        <v>0</v>
      </c>
    </row>
    <row r="120" spans="1:39" ht="14.4">
      <c r="A120" s="69" t="str">
        <f>IF(LEN('riepilogo prezzi'!$D120&amp;'riepilogo prezzi'!$E120)&gt;0,'riepilogo prezzi'!$D120&amp;"-"&amp;'riepilogo prezzi'!$E120,"")</f>
        <v/>
      </c>
      <c r="B120" s="70" t="str">
        <f>IF(LEN(MONTH(RigheOfferte[[#This Row],[data]]))=1,0&amp;MONTH(RigheOfferte[[#This Row],[data]]),MONTH(RigheOfferte[[#This Row],[data]]))</f>
        <v>01</v>
      </c>
      <c r="C120" s="70" t="str">
        <f>IF(MONTH(RigheOfferte[[#This Row],[data]])&gt;8,"03",IF(MONTH(RigheOfferte[[#This Row],[data]])&gt;4,"02","01"))</f>
        <v>01</v>
      </c>
      <c r="D120" s="71"/>
      <c r="E120" s="71"/>
      <c r="F120" s="83"/>
      <c r="G120" s="71"/>
      <c r="H120" s="69"/>
      <c r="I120" s="71"/>
      <c r="J120" s="22"/>
      <c r="K120" s="72"/>
      <c r="L120" s="71"/>
      <c r="M120" s="71"/>
      <c r="N120" s="71" t="str">
        <f>_xlfn.IFNA(VLOOKUP(RigheOfferte[[#This Row],[Lavorazione]],DescLavorazioni[],2,FALSE),"")</f>
        <v/>
      </c>
      <c r="O120" s="71"/>
      <c r="P120" s="73">
        <f>_xlfn.IFNA(VLOOKUP(RigheOfferte[[#This Row],[Cod Vel]],VeloCatena[],3,FALSE),0)</f>
        <v>0</v>
      </c>
      <c r="Q120" s="89"/>
      <c r="R120" s="71"/>
      <c r="S120" s="71"/>
      <c r="T120" s="71"/>
      <c r="U120" s="71"/>
      <c r="V120" s="74">
        <f>IF(RigheOfferte[[#This Row],[Velocità]]&gt;0,60*RigheOfferte[[#This Row],[Velocità]]/RigheOfferte[[#This Row],[passo]]*RigheOfferte[[#This Row],[nr.pezzi Telaio]],0)</f>
        <v>0</v>
      </c>
      <c r="W120" s="74"/>
      <c r="X12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0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0" s="76"/>
      <c r="AB120" s="71"/>
      <c r="AC120" s="74">
        <f>RigheOfferte[[#This Row],[Superf.pz Mq]]*Resa*RigheOfferte[[#This Row],[MP (€kg)]]</f>
        <v>0</v>
      </c>
      <c r="AD120" s="77"/>
      <c r="AE120" s="77"/>
      <c r="AF120" s="55">
        <f>_xlfn.IFNA(VLOOKUP(RigheOfferte[[#This Row],[Tipo Protezione]],Protezioni[],2,FALSE),0)</f>
        <v>0</v>
      </c>
      <c r="AG120" s="79"/>
      <c r="AH12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0" s="71">
        <f>RigheOfferte[[#This Row],[altri costi]]+RigheOfferte[[#This Row],[costo industriale pz]]</f>
        <v>0</v>
      </c>
      <c r="AJ120" s="81">
        <f>_xlfn.IFNA(INDEX(Ricarichi[],MATCH(YEAR(RigheOfferte[[#This Row],[data]])&amp;RigheOfferte[[#This Row],[Quadrimestre]],QuCostiLav,0),MATCH(RigheOfferte[[#This Row],[Lavorazione]],CodLavorazioni,0)),0)</f>
        <v>0</v>
      </c>
      <c r="AK120" s="80">
        <f>RigheOfferte[[#This Row],[totale costi]]+(RigheOfferte[[#This Row],[totale costi]]*RigheOfferte[[#This Row],[Ricarico]])</f>
        <v>0</v>
      </c>
      <c r="AL120" s="71">
        <f>RigheOfferte[[#This Row],[Prezzo Di Vendita]]*RigheOfferte[[#This Row],[Q.ta'']]</f>
        <v>0</v>
      </c>
      <c r="AM120" s="71">
        <f>IFERROR(RigheOfferte[[#This Row],[Prezzo Di Vendita]]/RigheOfferte[[#This Row],[Superf.pz Mq]],0)</f>
        <v>0</v>
      </c>
    </row>
    <row r="121" spans="1:39" ht="14.4">
      <c r="A121" s="69" t="str">
        <f>IF(LEN('riepilogo prezzi'!$D121&amp;'riepilogo prezzi'!$E121)&gt;0,'riepilogo prezzi'!$D121&amp;"-"&amp;'riepilogo prezzi'!$E121,"")</f>
        <v/>
      </c>
      <c r="B121" s="70" t="str">
        <f>IF(LEN(MONTH(RigheOfferte[[#This Row],[data]]))=1,0&amp;MONTH(RigheOfferte[[#This Row],[data]]),MONTH(RigheOfferte[[#This Row],[data]]))</f>
        <v>01</v>
      </c>
      <c r="C121" s="70" t="str">
        <f>IF(MONTH(RigheOfferte[[#This Row],[data]])&gt;8,"03",IF(MONTH(RigheOfferte[[#This Row],[data]])&gt;4,"02","01"))</f>
        <v>01</v>
      </c>
      <c r="D121" s="71"/>
      <c r="E121" s="71"/>
      <c r="F121" s="83"/>
      <c r="G121" s="71"/>
      <c r="H121" s="69"/>
      <c r="I121" s="71"/>
      <c r="J121" s="22"/>
      <c r="K121" s="72"/>
      <c r="L121" s="71"/>
      <c r="M121" s="71"/>
      <c r="N121" s="71" t="str">
        <f>_xlfn.IFNA(VLOOKUP(RigheOfferte[[#This Row],[Lavorazione]],DescLavorazioni[],2,FALSE),"")</f>
        <v/>
      </c>
      <c r="O121" s="71"/>
      <c r="P121" s="73">
        <f>_xlfn.IFNA(VLOOKUP(RigheOfferte[[#This Row],[Cod Vel]],VeloCatena[],3,FALSE),0)</f>
        <v>0</v>
      </c>
      <c r="Q121" s="89"/>
      <c r="R121" s="71"/>
      <c r="S121" s="71"/>
      <c r="T121" s="71"/>
      <c r="U121" s="71"/>
      <c r="V121" s="74">
        <f>IF(RigheOfferte[[#This Row],[Velocità]]&gt;0,60*RigheOfferte[[#This Row],[Velocità]]/RigheOfferte[[#This Row],[passo]]*RigheOfferte[[#This Row],[nr.pezzi Telaio]],0)</f>
        <v>0</v>
      </c>
      <c r="W121" s="74"/>
      <c r="X12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1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1" s="76"/>
      <c r="AB121" s="71"/>
      <c r="AC121" s="74">
        <f>RigheOfferte[[#This Row],[Superf.pz Mq]]*Resa*RigheOfferte[[#This Row],[MP (€kg)]]</f>
        <v>0</v>
      </c>
      <c r="AD121" s="77"/>
      <c r="AE121" s="77"/>
      <c r="AF121" s="55">
        <f>_xlfn.IFNA(VLOOKUP(RigheOfferte[[#This Row],[Tipo Protezione]],Protezioni[],2,FALSE),0)</f>
        <v>0</v>
      </c>
      <c r="AG121" s="79"/>
      <c r="AH12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1" s="71">
        <f>RigheOfferte[[#This Row],[altri costi]]+RigheOfferte[[#This Row],[costo industriale pz]]</f>
        <v>0</v>
      </c>
      <c r="AJ121" s="81">
        <f>_xlfn.IFNA(INDEX(Ricarichi[],MATCH(YEAR(RigheOfferte[[#This Row],[data]])&amp;RigheOfferte[[#This Row],[Quadrimestre]],QuCostiLav,0),MATCH(RigheOfferte[[#This Row],[Lavorazione]],CodLavorazioni,0)),0)</f>
        <v>0</v>
      </c>
      <c r="AK121" s="80">
        <f>RigheOfferte[[#This Row],[totale costi]]+(RigheOfferte[[#This Row],[totale costi]]*RigheOfferte[[#This Row],[Ricarico]])</f>
        <v>0</v>
      </c>
      <c r="AL121" s="71">
        <f>RigheOfferte[[#This Row],[Prezzo Di Vendita]]*RigheOfferte[[#This Row],[Q.ta'']]</f>
        <v>0</v>
      </c>
      <c r="AM121" s="71">
        <f>IFERROR(RigheOfferte[[#This Row],[Prezzo Di Vendita]]/RigheOfferte[[#This Row],[Superf.pz Mq]],0)</f>
        <v>0</v>
      </c>
    </row>
    <row r="122" spans="1:39" ht="14.4">
      <c r="A122" s="69" t="str">
        <f>IF(LEN('riepilogo prezzi'!$D122&amp;'riepilogo prezzi'!$E122)&gt;0,'riepilogo prezzi'!$D122&amp;"-"&amp;'riepilogo prezzi'!$E122,"")</f>
        <v/>
      </c>
      <c r="B122" s="70" t="str">
        <f>IF(LEN(MONTH(RigheOfferte[[#This Row],[data]]))=1,0&amp;MONTH(RigheOfferte[[#This Row],[data]]),MONTH(RigheOfferte[[#This Row],[data]]))</f>
        <v>01</v>
      </c>
      <c r="C122" s="70" t="str">
        <f>IF(MONTH(RigheOfferte[[#This Row],[data]])&gt;8,"03",IF(MONTH(RigheOfferte[[#This Row],[data]])&gt;4,"02","01"))</f>
        <v>01</v>
      </c>
      <c r="D122" s="71"/>
      <c r="E122" s="71"/>
      <c r="F122" s="83"/>
      <c r="G122" s="71"/>
      <c r="H122" s="71"/>
      <c r="I122" s="71"/>
      <c r="J122" s="22"/>
      <c r="K122" s="72"/>
      <c r="L122" s="71"/>
      <c r="M122" s="71"/>
      <c r="N122" s="71" t="str">
        <f>_xlfn.IFNA(VLOOKUP(RigheOfferte[[#This Row],[Lavorazione]],DescLavorazioni[],2,FALSE),"")</f>
        <v/>
      </c>
      <c r="O122" s="71"/>
      <c r="P122" s="73">
        <f>_xlfn.IFNA(VLOOKUP(RigheOfferte[[#This Row],[Cod Vel]],VeloCatena[],3,FALSE),0)</f>
        <v>0</v>
      </c>
      <c r="Q122" s="71"/>
      <c r="R122" s="71"/>
      <c r="S122" s="71"/>
      <c r="T122" s="71"/>
      <c r="U122" s="71"/>
      <c r="V122" s="74">
        <f>IF(RigheOfferte[[#This Row],[Velocità]]&gt;0,60*RigheOfferte[[#This Row],[Velocità]]/RigheOfferte[[#This Row],[passo]]*RigheOfferte[[#This Row],[nr.pezzi Telaio]],0)</f>
        <v>0</v>
      </c>
      <c r="W122" s="74"/>
      <c r="X12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2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2" s="76"/>
      <c r="AB122" s="71"/>
      <c r="AC122" s="74">
        <f>RigheOfferte[[#This Row],[Superf.pz Mq]]*Resa*RigheOfferte[[#This Row],[MP (€kg)]]</f>
        <v>0</v>
      </c>
      <c r="AD122" s="77"/>
      <c r="AE122" s="77"/>
      <c r="AF122" s="78">
        <f>_xlfn.IFNA(VLOOKUP(RigheOfferte[[#This Row],[Tipo Protezione]],Protezioni[],2,FALSE),0)</f>
        <v>0</v>
      </c>
      <c r="AG122" s="79"/>
      <c r="AH12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2" s="71">
        <f>RigheOfferte[[#This Row],[altri costi]]+RigheOfferte[[#This Row],[costo industriale pz]]</f>
        <v>0</v>
      </c>
      <c r="AJ122" s="81">
        <f>_xlfn.IFNA(INDEX(Ricarichi[],MATCH(YEAR(RigheOfferte[[#This Row],[data]])&amp;RigheOfferte[[#This Row],[Quadrimestre]],QuCostiLav,0),MATCH(RigheOfferte[[#This Row],[Lavorazione]],CodLavorazioni,0)),0)</f>
        <v>0</v>
      </c>
      <c r="AK122" s="80">
        <f>RigheOfferte[[#This Row],[totale costi]]+(RigheOfferte[[#This Row],[totale costi]]*RigheOfferte[[#This Row],[Ricarico]])</f>
        <v>0</v>
      </c>
      <c r="AL122" s="71">
        <f>RigheOfferte[[#This Row],[Prezzo Di Vendita]]*RigheOfferte[[#This Row],[Q.ta'']]</f>
        <v>0</v>
      </c>
      <c r="AM122" s="71">
        <f>IFERROR(RigheOfferte[[#This Row],[Prezzo Di Vendita]]/RigheOfferte[[#This Row],[Superf.pz Mq]],0)</f>
        <v>0</v>
      </c>
    </row>
    <row r="123" spans="1:39" ht="14.4">
      <c r="A123" s="69" t="str">
        <f>IF(LEN('riepilogo prezzi'!$D123&amp;'riepilogo prezzi'!$E123)&gt;0,'riepilogo prezzi'!$D123&amp;"-"&amp;'riepilogo prezzi'!$E123,"")</f>
        <v/>
      </c>
      <c r="B123" s="70" t="str">
        <f>IF(LEN(MONTH(RigheOfferte[[#This Row],[data]]))=1,0&amp;MONTH(RigheOfferte[[#This Row],[data]]),MONTH(RigheOfferte[[#This Row],[data]]))</f>
        <v>01</v>
      </c>
      <c r="C123" s="70" t="str">
        <f>IF(MONTH(RigheOfferte[[#This Row],[data]])&gt;8,"03",IF(MONTH(RigheOfferte[[#This Row],[data]])&gt;4,"02","01"))</f>
        <v>01</v>
      </c>
      <c r="D123" s="71"/>
      <c r="E123" s="71"/>
      <c r="F123" s="83"/>
      <c r="G123" s="71"/>
      <c r="H123" s="69"/>
      <c r="I123" s="71"/>
      <c r="J123" s="22"/>
      <c r="K123" s="72"/>
      <c r="L123" s="71"/>
      <c r="M123" s="71"/>
      <c r="N123" s="71" t="str">
        <f>_xlfn.IFNA(VLOOKUP(RigheOfferte[[#This Row],[Lavorazione]],DescLavorazioni[],2,FALSE),"")</f>
        <v/>
      </c>
      <c r="O123" s="71"/>
      <c r="P123" s="73">
        <f>_xlfn.IFNA(VLOOKUP(RigheOfferte[[#This Row],[Cod Vel]],VeloCatena[],3,FALSE),0)</f>
        <v>0</v>
      </c>
      <c r="Q123" s="71"/>
      <c r="R123" s="71"/>
      <c r="S123" s="71"/>
      <c r="T123" s="71"/>
      <c r="U123" s="71"/>
      <c r="V123" s="74">
        <f>IF(RigheOfferte[[#This Row],[Velocità]]&gt;0,60*RigheOfferte[[#This Row],[Velocità]]/RigheOfferte[[#This Row],[passo]]*RigheOfferte[[#This Row],[nr.pezzi Telaio]],0)</f>
        <v>0</v>
      </c>
      <c r="W123" s="74"/>
      <c r="X12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3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3" s="76"/>
      <c r="AB123" s="71"/>
      <c r="AC123" s="74">
        <f>RigheOfferte[[#This Row],[Superf.pz Mq]]*Resa*RigheOfferte[[#This Row],[MP (€kg)]]</f>
        <v>0</v>
      </c>
      <c r="AD123" s="77"/>
      <c r="AE123" s="77"/>
      <c r="AF123" s="55">
        <f>_xlfn.IFNA(VLOOKUP(RigheOfferte[[#This Row],[Tipo Protezione]],Protezioni[],2,FALSE),0)</f>
        <v>0</v>
      </c>
      <c r="AG123" s="79"/>
      <c r="AH12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3" s="71">
        <f>RigheOfferte[[#This Row],[altri costi]]+RigheOfferte[[#This Row],[costo industriale pz]]</f>
        <v>0</v>
      </c>
      <c r="AJ123" s="81">
        <f>_xlfn.IFNA(INDEX(Ricarichi[],MATCH(YEAR(RigheOfferte[[#This Row],[data]])&amp;RigheOfferte[[#This Row],[Quadrimestre]],QuCostiLav,0),MATCH(RigheOfferte[[#This Row],[Lavorazione]],CodLavorazioni,0)),0)</f>
        <v>0</v>
      </c>
      <c r="AK123" s="80">
        <f>RigheOfferte[[#This Row],[totale costi]]+(RigheOfferte[[#This Row],[totale costi]]*RigheOfferte[[#This Row],[Ricarico]])</f>
        <v>0</v>
      </c>
      <c r="AL123" s="71">
        <f>RigheOfferte[[#This Row],[Prezzo Di Vendita]]*RigheOfferte[[#This Row],[Q.ta'']]</f>
        <v>0</v>
      </c>
      <c r="AM123" s="71">
        <f>IFERROR(RigheOfferte[[#This Row],[Prezzo Di Vendita]]/RigheOfferte[[#This Row],[Superf.pz Mq]],0)</f>
        <v>0</v>
      </c>
    </row>
    <row r="124" spans="1:39" ht="14.4">
      <c r="A124" s="69" t="str">
        <f>IF(LEN('riepilogo prezzi'!$D124&amp;'riepilogo prezzi'!$E124)&gt;0,'riepilogo prezzi'!$D124&amp;"-"&amp;'riepilogo prezzi'!$E124,"")</f>
        <v/>
      </c>
      <c r="B124" s="70" t="str">
        <f>IF(LEN(MONTH(RigheOfferte[[#This Row],[data]]))=1,0&amp;MONTH(RigheOfferte[[#This Row],[data]]),MONTH(RigheOfferte[[#This Row],[data]]))</f>
        <v>01</v>
      </c>
      <c r="C124" s="70" t="str">
        <f>IF(MONTH(RigheOfferte[[#This Row],[data]])&gt;8,"03",IF(MONTH(RigheOfferte[[#This Row],[data]])&gt;4,"02","01"))</f>
        <v>01</v>
      </c>
      <c r="D124" s="71"/>
      <c r="E124" s="71"/>
      <c r="F124" s="83"/>
      <c r="G124" s="71"/>
      <c r="H124" s="69"/>
      <c r="I124" s="71"/>
      <c r="J124" s="22"/>
      <c r="K124" s="72"/>
      <c r="L124" s="71"/>
      <c r="M124" s="71"/>
      <c r="N124" s="71" t="str">
        <f>_xlfn.IFNA(VLOOKUP(RigheOfferte[[#This Row],[Lavorazione]],DescLavorazioni[],2,FALSE),"")</f>
        <v/>
      </c>
      <c r="O124" s="71"/>
      <c r="P124" s="73">
        <f>_xlfn.IFNA(VLOOKUP(RigheOfferte[[#This Row],[Cod Vel]],VeloCatena[],3,FALSE),0)</f>
        <v>0</v>
      </c>
      <c r="Q124" s="71"/>
      <c r="R124" s="71"/>
      <c r="S124" s="71"/>
      <c r="T124" s="71"/>
      <c r="U124" s="71"/>
      <c r="V124" s="74">
        <f>IF(RigheOfferte[[#This Row],[Velocità]]&gt;0,60*RigheOfferte[[#This Row],[Velocità]]/RigheOfferte[[#This Row],[passo]]*RigheOfferte[[#This Row],[nr.pezzi Telaio]],0)</f>
        <v>0</v>
      </c>
      <c r="W124" s="74"/>
      <c r="X12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4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4" s="76"/>
      <c r="AB124" s="71"/>
      <c r="AC124" s="74">
        <f>RigheOfferte[[#This Row],[Superf.pz Mq]]*Resa*RigheOfferte[[#This Row],[MP (€kg)]]</f>
        <v>0</v>
      </c>
      <c r="AD124" s="77"/>
      <c r="AE124" s="77"/>
      <c r="AF124" s="55">
        <f>_xlfn.IFNA(VLOOKUP(RigheOfferte[[#This Row],[Tipo Protezione]],Protezioni[],2,FALSE),0)</f>
        <v>0</v>
      </c>
      <c r="AG124" s="79"/>
      <c r="AH12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4" s="71">
        <f>RigheOfferte[[#This Row],[altri costi]]+RigheOfferte[[#This Row],[costo industriale pz]]</f>
        <v>0</v>
      </c>
      <c r="AJ124" s="81">
        <f>_xlfn.IFNA(INDEX(Ricarichi[],MATCH(YEAR(RigheOfferte[[#This Row],[data]])&amp;RigheOfferte[[#This Row],[Quadrimestre]],QuCostiLav,0),MATCH(RigheOfferte[[#This Row],[Lavorazione]],CodLavorazioni,0)),0)</f>
        <v>0</v>
      </c>
      <c r="AK124" s="80">
        <f>RigheOfferte[[#This Row],[totale costi]]+(RigheOfferte[[#This Row],[totale costi]]*RigheOfferte[[#This Row],[Ricarico]])</f>
        <v>0</v>
      </c>
      <c r="AL124" s="71">
        <f>RigheOfferte[[#This Row],[Prezzo Di Vendita]]*RigheOfferte[[#This Row],[Q.ta'']]</f>
        <v>0</v>
      </c>
      <c r="AM124" s="71">
        <f>IFERROR(RigheOfferte[[#This Row],[Prezzo Di Vendita]]/RigheOfferte[[#This Row],[Superf.pz Mq]],0)</f>
        <v>0</v>
      </c>
    </row>
    <row r="125" spans="1:39" ht="14.4">
      <c r="A125" s="69" t="str">
        <f>IF(LEN('riepilogo prezzi'!$D125&amp;'riepilogo prezzi'!$E125)&gt;0,'riepilogo prezzi'!$D125&amp;"-"&amp;'riepilogo prezzi'!$E125,"")</f>
        <v/>
      </c>
      <c r="B125" s="70" t="str">
        <f>IF(LEN(MONTH(RigheOfferte[[#This Row],[data]]))=1,0&amp;MONTH(RigheOfferte[[#This Row],[data]]),MONTH(RigheOfferte[[#This Row],[data]]))</f>
        <v>01</v>
      </c>
      <c r="C125" s="70" t="str">
        <f>IF(MONTH(RigheOfferte[[#This Row],[data]])&gt;8,"03",IF(MONTH(RigheOfferte[[#This Row],[data]])&gt;4,"02","01"))</f>
        <v>01</v>
      </c>
      <c r="D125" s="71"/>
      <c r="E125" s="71"/>
      <c r="F125" s="83"/>
      <c r="G125" s="71"/>
      <c r="H125" s="69"/>
      <c r="I125" s="71"/>
      <c r="J125" s="22"/>
      <c r="K125" s="72"/>
      <c r="L125" s="71"/>
      <c r="M125" s="71"/>
      <c r="N125" s="71" t="str">
        <f>_xlfn.IFNA(VLOOKUP(RigheOfferte[[#This Row],[Lavorazione]],DescLavorazioni[],2,FALSE),"")</f>
        <v/>
      </c>
      <c r="O125" s="71"/>
      <c r="P125" s="73">
        <f>_xlfn.IFNA(VLOOKUP(RigheOfferte[[#This Row],[Cod Vel]],VeloCatena[],3,FALSE),0)</f>
        <v>0</v>
      </c>
      <c r="Q125" s="71"/>
      <c r="R125" s="71"/>
      <c r="S125" s="71"/>
      <c r="T125" s="71"/>
      <c r="U125" s="71"/>
      <c r="V125" s="74">
        <f>IF(RigheOfferte[[#This Row],[Velocità]]&gt;0,60*RigheOfferte[[#This Row],[Velocità]]/RigheOfferte[[#This Row],[passo]]*RigheOfferte[[#This Row],[nr.pezzi Telaio]],0)</f>
        <v>0</v>
      </c>
      <c r="W125" s="74"/>
      <c r="X12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5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5" s="76"/>
      <c r="AB125" s="71"/>
      <c r="AC125" s="74">
        <f>RigheOfferte[[#This Row],[Superf.pz Mq]]*Resa*RigheOfferte[[#This Row],[MP (€kg)]]</f>
        <v>0</v>
      </c>
      <c r="AD125" s="77"/>
      <c r="AE125" s="77"/>
      <c r="AF125" s="55">
        <f>_xlfn.IFNA(VLOOKUP(RigheOfferte[[#This Row],[Tipo Protezione]],Protezioni[],2,FALSE),0)</f>
        <v>0</v>
      </c>
      <c r="AG125" s="79"/>
      <c r="AH12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5" s="71">
        <f>RigheOfferte[[#This Row],[altri costi]]+RigheOfferte[[#This Row],[costo industriale pz]]</f>
        <v>0</v>
      </c>
      <c r="AJ125" s="81">
        <f>_xlfn.IFNA(INDEX(Ricarichi[],MATCH(YEAR(RigheOfferte[[#This Row],[data]])&amp;RigheOfferte[[#This Row],[Quadrimestre]],QuCostiLav,0),MATCH(RigheOfferte[[#This Row],[Lavorazione]],CodLavorazioni,0)),0)</f>
        <v>0</v>
      </c>
      <c r="AK125" s="80">
        <f>RigheOfferte[[#This Row],[totale costi]]+(RigheOfferte[[#This Row],[totale costi]]*RigheOfferte[[#This Row],[Ricarico]])</f>
        <v>0</v>
      </c>
      <c r="AL125" s="71">
        <f>RigheOfferte[[#This Row],[Prezzo Di Vendita]]*RigheOfferte[[#This Row],[Q.ta'']]</f>
        <v>0</v>
      </c>
      <c r="AM125" s="71">
        <f>IFERROR(RigheOfferte[[#This Row],[Prezzo Di Vendita]]/RigheOfferte[[#This Row],[Superf.pz Mq]],0)</f>
        <v>0</v>
      </c>
    </row>
    <row r="126" spans="1:39" ht="14.4">
      <c r="A126" s="69" t="str">
        <f>IF(LEN('riepilogo prezzi'!$D126&amp;'riepilogo prezzi'!$E126)&gt;0,'riepilogo prezzi'!$D126&amp;"-"&amp;'riepilogo prezzi'!$E126,"")</f>
        <v/>
      </c>
      <c r="B126" s="70" t="str">
        <f>IF(LEN(MONTH(RigheOfferte[[#This Row],[data]]))=1,0&amp;MONTH(RigheOfferte[[#This Row],[data]]),MONTH(RigheOfferte[[#This Row],[data]]))</f>
        <v>01</v>
      </c>
      <c r="C126" s="70" t="str">
        <f>IF(MONTH(RigheOfferte[[#This Row],[data]])&gt;8,"03",IF(MONTH(RigheOfferte[[#This Row],[data]])&gt;4,"02","01"))</f>
        <v>01</v>
      </c>
      <c r="D126" s="71"/>
      <c r="E126" s="71"/>
      <c r="F126" s="83"/>
      <c r="G126" s="71"/>
      <c r="H126" s="69"/>
      <c r="I126" s="71"/>
      <c r="J126" s="22"/>
      <c r="K126" s="72"/>
      <c r="L126" s="71"/>
      <c r="M126" s="71"/>
      <c r="N126" s="71" t="str">
        <f>_xlfn.IFNA(VLOOKUP(RigheOfferte[[#This Row],[Lavorazione]],DescLavorazioni[],2,FALSE),"")</f>
        <v/>
      </c>
      <c r="O126" s="71"/>
      <c r="P126" s="73">
        <f>_xlfn.IFNA(VLOOKUP(RigheOfferte[[#This Row],[Cod Vel]],VeloCatena[],3,FALSE),0)</f>
        <v>0</v>
      </c>
      <c r="Q126" s="71"/>
      <c r="R126" s="71"/>
      <c r="S126" s="71"/>
      <c r="T126" s="71"/>
      <c r="U126" s="71"/>
      <c r="V126" s="74">
        <f>IF(RigheOfferte[[#This Row],[Velocità]]&gt;0,60*RigheOfferte[[#This Row],[Velocità]]/RigheOfferte[[#This Row],[passo]]*RigheOfferte[[#This Row],[nr.pezzi Telaio]],0)</f>
        <v>0</v>
      </c>
      <c r="W126" s="74"/>
      <c r="X12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6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6" s="76"/>
      <c r="AB126" s="71"/>
      <c r="AC126" s="74">
        <f>RigheOfferte[[#This Row],[Superf.pz Mq]]*Resa*RigheOfferte[[#This Row],[MP (€kg)]]</f>
        <v>0</v>
      </c>
      <c r="AD126" s="77"/>
      <c r="AE126" s="77"/>
      <c r="AF126" s="55">
        <f>_xlfn.IFNA(VLOOKUP(RigheOfferte[[#This Row],[Tipo Protezione]],Protezioni[],2,FALSE),0)</f>
        <v>0</v>
      </c>
      <c r="AG126" s="79"/>
      <c r="AH12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6" s="71">
        <f>RigheOfferte[[#This Row],[altri costi]]+RigheOfferte[[#This Row],[costo industriale pz]]</f>
        <v>0</v>
      </c>
      <c r="AJ126" s="81">
        <f>_xlfn.IFNA(INDEX(Ricarichi[],MATCH(YEAR(RigheOfferte[[#This Row],[data]])&amp;RigheOfferte[[#This Row],[Quadrimestre]],QuCostiLav,0),MATCH(RigheOfferte[[#This Row],[Lavorazione]],CodLavorazioni,0)),0)</f>
        <v>0</v>
      </c>
      <c r="AK126" s="80">
        <f>RigheOfferte[[#This Row],[totale costi]]+(RigheOfferte[[#This Row],[totale costi]]*RigheOfferte[[#This Row],[Ricarico]])</f>
        <v>0</v>
      </c>
      <c r="AL126" s="71">
        <f>RigheOfferte[[#This Row],[Prezzo Di Vendita]]*RigheOfferte[[#This Row],[Q.ta'']]</f>
        <v>0</v>
      </c>
      <c r="AM126" s="71">
        <f>IFERROR(RigheOfferte[[#This Row],[Prezzo Di Vendita]]/RigheOfferte[[#This Row],[Superf.pz Mq]],0)</f>
        <v>0</v>
      </c>
    </row>
    <row r="127" spans="1:39" ht="14.4">
      <c r="A127" s="69" t="str">
        <f>IF(LEN('riepilogo prezzi'!$D127&amp;'riepilogo prezzi'!$E127)&gt;0,'riepilogo prezzi'!$D127&amp;"-"&amp;'riepilogo prezzi'!$E127,"")</f>
        <v/>
      </c>
      <c r="B127" s="70" t="str">
        <f>IF(LEN(MONTH(RigheOfferte[[#This Row],[data]]))=1,0&amp;MONTH(RigheOfferte[[#This Row],[data]]),MONTH(RigheOfferte[[#This Row],[data]]))</f>
        <v>01</v>
      </c>
      <c r="C127" s="70" t="str">
        <f>IF(MONTH(RigheOfferte[[#This Row],[data]])&gt;8,"03",IF(MONTH(RigheOfferte[[#This Row],[data]])&gt;4,"02","01"))</f>
        <v>01</v>
      </c>
      <c r="D127" s="71"/>
      <c r="E127" s="71"/>
      <c r="F127" s="83"/>
      <c r="G127" s="71"/>
      <c r="H127" s="71"/>
      <c r="I127" s="71"/>
      <c r="J127" s="22"/>
      <c r="K127" s="72"/>
      <c r="L127" s="71"/>
      <c r="M127" s="71"/>
      <c r="N127" s="71" t="str">
        <f>_xlfn.IFNA(VLOOKUP(RigheOfferte[[#This Row],[Lavorazione]],DescLavorazioni[],2,FALSE),"")</f>
        <v/>
      </c>
      <c r="O127" s="71"/>
      <c r="P127" s="73">
        <f>_xlfn.IFNA(VLOOKUP(RigheOfferte[[#This Row],[Cod Vel]],VeloCatena[],3,FALSE),0)</f>
        <v>0</v>
      </c>
      <c r="Q127" s="71"/>
      <c r="R127" s="71"/>
      <c r="S127" s="71"/>
      <c r="T127" s="71"/>
      <c r="U127" s="71"/>
      <c r="V127" s="74">
        <f>IF(RigheOfferte[[#This Row],[Velocità]]&gt;0,60*RigheOfferte[[#This Row],[Velocità]]/RigheOfferte[[#This Row],[passo]]*RigheOfferte[[#This Row],[nr.pezzi Telaio]],0)</f>
        <v>0</v>
      </c>
      <c r="W127" s="74"/>
      <c r="X12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7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7" s="76"/>
      <c r="AB127" s="71"/>
      <c r="AC127" s="74">
        <f>RigheOfferte[[#This Row],[Superf.pz Mq]]*Resa*RigheOfferte[[#This Row],[MP (€kg)]]</f>
        <v>0</v>
      </c>
      <c r="AD127" s="77"/>
      <c r="AE127" s="77"/>
      <c r="AF127" s="55">
        <f>_xlfn.IFNA(VLOOKUP(RigheOfferte[[#This Row],[Tipo Protezione]],Protezioni[],2,FALSE),0)</f>
        <v>0</v>
      </c>
      <c r="AG127" s="79"/>
      <c r="AH12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7" s="71">
        <f>RigheOfferte[[#This Row],[altri costi]]+RigheOfferte[[#This Row],[costo industriale pz]]</f>
        <v>0</v>
      </c>
      <c r="AJ127" s="81">
        <f>_xlfn.IFNA(INDEX(Ricarichi[],MATCH(YEAR(RigheOfferte[[#This Row],[data]])&amp;RigheOfferte[[#This Row],[Quadrimestre]],QuCostiLav,0),MATCH(RigheOfferte[[#This Row],[Lavorazione]],CodLavorazioni,0)),0)</f>
        <v>0</v>
      </c>
      <c r="AK127" s="80">
        <f>RigheOfferte[[#This Row],[totale costi]]+(RigheOfferte[[#This Row],[totale costi]]*RigheOfferte[[#This Row],[Ricarico]])</f>
        <v>0</v>
      </c>
      <c r="AL127" s="71">
        <f>RigheOfferte[[#This Row],[Prezzo Di Vendita]]*RigheOfferte[[#This Row],[Q.ta'']]</f>
        <v>0</v>
      </c>
      <c r="AM127" s="71">
        <f>IFERROR(RigheOfferte[[#This Row],[Prezzo Di Vendita]]/RigheOfferte[[#This Row],[Superf.pz Mq]],0)</f>
        <v>0</v>
      </c>
    </row>
    <row r="128" spans="1:39" ht="14.4">
      <c r="A128" s="69" t="str">
        <f>IF(LEN('riepilogo prezzi'!$D128&amp;'riepilogo prezzi'!$E128)&gt;0,'riepilogo prezzi'!$D128&amp;"-"&amp;'riepilogo prezzi'!$E128,"")</f>
        <v/>
      </c>
      <c r="B128" s="70" t="str">
        <f>IF(LEN(MONTH(RigheOfferte[[#This Row],[data]]))=1,0&amp;MONTH(RigheOfferte[[#This Row],[data]]),MONTH(RigheOfferte[[#This Row],[data]]))</f>
        <v>01</v>
      </c>
      <c r="C128" s="70" t="str">
        <f>IF(MONTH(RigheOfferte[[#This Row],[data]])&gt;8,"03",IF(MONTH(RigheOfferte[[#This Row],[data]])&gt;4,"02","01"))</f>
        <v>01</v>
      </c>
      <c r="D128" s="71"/>
      <c r="E128" s="71"/>
      <c r="F128" s="83"/>
      <c r="G128" s="71"/>
      <c r="H128" s="71"/>
      <c r="I128" s="71"/>
      <c r="J128" s="22"/>
      <c r="K128" s="72"/>
      <c r="L128" s="71"/>
      <c r="M128" s="71"/>
      <c r="N128" s="71" t="str">
        <f>_xlfn.IFNA(VLOOKUP(RigheOfferte[[#This Row],[Lavorazione]],DescLavorazioni[],2,FALSE),"")</f>
        <v/>
      </c>
      <c r="O128" s="71"/>
      <c r="P128" s="73">
        <f>_xlfn.IFNA(VLOOKUP(RigheOfferte[[#This Row],[Cod Vel]],VeloCatena[],3,FALSE),0)</f>
        <v>0</v>
      </c>
      <c r="Q128" s="71"/>
      <c r="R128" s="71"/>
      <c r="S128" s="71"/>
      <c r="T128" s="71"/>
      <c r="U128" s="71"/>
      <c r="V128" s="74">
        <f>IF(RigheOfferte[[#This Row],[Velocità]]&gt;0,60*RigheOfferte[[#This Row],[Velocità]]/RigheOfferte[[#This Row],[passo]]*RigheOfferte[[#This Row],[nr.pezzi Telaio]],0)</f>
        <v>0</v>
      </c>
      <c r="W128" s="74"/>
      <c r="X12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8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8" s="76"/>
      <c r="AB128" s="71"/>
      <c r="AC128" s="74">
        <f>RigheOfferte[[#This Row],[Superf.pz Mq]]*Resa*RigheOfferte[[#This Row],[MP (€kg)]]</f>
        <v>0</v>
      </c>
      <c r="AD128" s="77"/>
      <c r="AE128" s="77"/>
      <c r="AF128" s="55">
        <f>_xlfn.IFNA(VLOOKUP(RigheOfferte[[#This Row],[Tipo Protezione]],Protezioni[],2,FALSE),0)</f>
        <v>0</v>
      </c>
      <c r="AG128" s="79"/>
      <c r="AH12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8" s="71">
        <f>RigheOfferte[[#This Row],[altri costi]]+RigheOfferte[[#This Row],[costo industriale pz]]</f>
        <v>0</v>
      </c>
      <c r="AJ128" s="81">
        <f>_xlfn.IFNA(INDEX(Ricarichi[],MATCH(YEAR(RigheOfferte[[#This Row],[data]])&amp;RigheOfferte[[#This Row],[Quadrimestre]],QuCostiLav,0),MATCH(RigheOfferte[[#This Row],[Lavorazione]],CodLavorazioni,0)),0)</f>
        <v>0</v>
      </c>
      <c r="AK128" s="80">
        <f>RigheOfferte[[#This Row],[totale costi]]+(RigheOfferte[[#This Row],[totale costi]]*RigheOfferte[[#This Row],[Ricarico]])</f>
        <v>0</v>
      </c>
      <c r="AL128" s="71">
        <f>RigheOfferte[[#This Row],[Prezzo Di Vendita]]*RigheOfferte[[#This Row],[Q.ta'']]</f>
        <v>0</v>
      </c>
      <c r="AM128" s="71">
        <f>IFERROR(RigheOfferte[[#This Row],[Prezzo Di Vendita]]/RigheOfferte[[#This Row],[Superf.pz Mq]],0)</f>
        <v>0</v>
      </c>
    </row>
    <row r="129" spans="1:39" ht="14.4">
      <c r="A129" s="69" t="str">
        <f>IF(LEN('riepilogo prezzi'!$D129&amp;'riepilogo prezzi'!$E129)&gt;0,'riepilogo prezzi'!$D129&amp;"-"&amp;'riepilogo prezzi'!$E129,"")</f>
        <v/>
      </c>
      <c r="B129" s="70" t="str">
        <f>IF(LEN(MONTH(RigheOfferte[[#This Row],[data]]))=1,0&amp;MONTH(RigheOfferte[[#This Row],[data]]),MONTH(RigheOfferte[[#This Row],[data]]))</f>
        <v>01</v>
      </c>
      <c r="C129" s="70" t="str">
        <f>IF(MONTH(RigheOfferte[[#This Row],[data]])&gt;8,"03",IF(MONTH(RigheOfferte[[#This Row],[data]])&gt;4,"02","01"))</f>
        <v>01</v>
      </c>
      <c r="D129" s="71"/>
      <c r="E129" s="71"/>
      <c r="F129" s="83"/>
      <c r="G129" s="71"/>
      <c r="H129" s="71"/>
      <c r="I129" s="71"/>
      <c r="J129" s="22"/>
      <c r="K129" s="72"/>
      <c r="L129" s="71"/>
      <c r="M129" s="71"/>
      <c r="N129" s="71" t="str">
        <f>_xlfn.IFNA(VLOOKUP(RigheOfferte[[#This Row],[Lavorazione]],DescLavorazioni[],2,FALSE),"")</f>
        <v/>
      </c>
      <c r="O129" s="71"/>
      <c r="P129" s="73">
        <f>_xlfn.IFNA(VLOOKUP(RigheOfferte[[#This Row],[Cod Vel]],VeloCatena[],3,FALSE),0)</f>
        <v>0</v>
      </c>
      <c r="Q129" s="71"/>
      <c r="R129" s="71"/>
      <c r="S129" s="71"/>
      <c r="T129" s="71"/>
      <c r="U129" s="71"/>
      <c r="V129" s="74">
        <f>IF(RigheOfferte[[#This Row],[Velocità]]&gt;0,60*RigheOfferte[[#This Row],[Velocità]]/RigheOfferte[[#This Row],[passo]]*RigheOfferte[[#This Row],[nr.pezzi Telaio]],0)</f>
        <v>0</v>
      </c>
      <c r="W129" s="74"/>
      <c r="X12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2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29" s="74">
        <f>_xlfn.IFNA(INDEX(RiepilogoCostiOrari[],MATCH(YEAR(RigheOfferte[[#This Row],[data]])&amp;RigheOfferte[[#This Row],[Quadrimestre]],QuCostiLav,0),MATCH(RigheOfferte[[#This Row],[Lavorazione]],CodLavorazioni,0)),0)</f>
        <v>0</v>
      </c>
      <c r="AA129" s="76"/>
      <c r="AB129" s="71"/>
      <c r="AC129" s="74">
        <f>RigheOfferte[[#This Row],[Superf.pz Mq]]*Resa*RigheOfferte[[#This Row],[MP (€kg)]]</f>
        <v>0</v>
      </c>
      <c r="AD129" s="77"/>
      <c r="AE129" s="77"/>
      <c r="AF129" s="55">
        <f>_xlfn.IFNA(VLOOKUP(RigheOfferte[[#This Row],[Tipo Protezione]],Protezioni[],2,FALSE),0)</f>
        <v>0</v>
      </c>
      <c r="AG129" s="79"/>
      <c r="AH12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29" s="71">
        <f>RigheOfferte[[#This Row],[altri costi]]+RigheOfferte[[#This Row],[costo industriale pz]]</f>
        <v>0</v>
      </c>
      <c r="AJ129" s="81">
        <f>_xlfn.IFNA(INDEX(Ricarichi[],MATCH(YEAR(RigheOfferte[[#This Row],[data]])&amp;RigheOfferte[[#This Row],[Quadrimestre]],QuCostiLav,0),MATCH(RigheOfferte[[#This Row],[Lavorazione]],CodLavorazioni,0)),0)</f>
        <v>0</v>
      </c>
      <c r="AK129" s="80">
        <f>RigheOfferte[[#This Row],[totale costi]]+(RigheOfferte[[#This Row],[totale costi]]*RigheOfferte[[#This Row],[Ricarico]])</f>
        <v>0</v>
      </c>
      <c r="AL129" s="71">
        <f>RigheOfferte[[#This Row],[Prezzo Di Vendita]]*RigheOfferte[[#This Row],[Q.ta'']]</f>
        <v>0</v>
      </c>
      <c r="AM129" s="71">
        <f>IFERROR(RigheOfferte[[#This Row],[Prezzo Di Vendita]]/RigheOfferte[[#This Row],[Superf.pz Mq]],0)</f>
        <v>0</v>
      </c>
    </row>
    <row r="130" spans="1:39" ht="14.4">
      <c r="A130" s="69" t="str">
        <f>IF(LEN('riepilogo prezzi'!$D130&amp;'riepilogo prezzi'!$E130)&gt;0,'riepilogo prezzi'!$D130&amp;"-"&amp;'riepilogo prezzi'!$E130,"")</f>
        <v/>
      </c>
      <c r="B130" s="70" t="str">
        <f>IF(LEN(MONTH(RigheOfferte[[#This Row],[data]]))=1,0&amp;MONTH(RigheOfferte[[#This Row],[data]]),MONTH(RigheOfferte[[#This Row],[data]]))</f>
        <v>01</v>
      </c>
      <c r="C130" s="70" t="str">
        <f>IF(MONTH(RigheOfferte[[#This Row],[data]])&gt;8,"03",IF(MONTH(RigheOfferte[[#This Row],[data]])&gt;4,"02","01"))</f>
        <v>01</v>
      </c>
      <c r="D130" s="71"/>
      <c r="E130" s="71"/>
      <c r="F130" s="83"/>
      <c r="G130" s="71"/>
      <c r="H130" s="71"/>
      <c r="I130" s="71"/>
      <c r="J130" s="22"/>
      <c r="K130" s="72"/>
      <c r="L130" s="71"/>
      <c r="M130" s="71"/>
      <c r="N130" s="71" t="str">
        <f>_xlfn.IFNA(VLOOKUP(RigheOfferte[[#This Row],[Lavorazione]],DescLavorazioni[],2,FALSE),"")</f>
        <v/>
      </c>
      <c r="O130" s="71"/>
      <c r="P130" s="73">
        <f>_xlfn.IFNA(VLOOKUP(RigheOfferte[[#This Row],[Cod Vel]],VeloCatena[],3,FALSE),0)</f>
        <v>0</v>
      </c>
      <c r="Q130" s="71"/>
      <c r="R130" s="71"/>
      <c r="S130" s="71"/>
      <c r="T130" s="71"/>
      <c r="U130" s="71"/>
      <c r="V130" s="74">
        <f>IF(RigheOfferte[[#This Row],[Velocità]]&gt;0,60*RigheOfferte[[#This Row],[Velocità]]/RigheOfferte[[#This Row],[passo]]*RigheOfferte[[#This Row],[nr.pezzi Telaio]],0)</f>
        <v>0</v>
      </c>
      <c r="W130" s="74"/>
      <c r="X13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30" s="74">
        <f>_xlfn.IFNA(INDEX(RiepilogoCostiOrari[],MATCH(YEAR(RigheOfferte[[#This Row],[data]])&amp;RigheOfferte[[#This Row],[Quadrimestre]],QuCostiLav,0),MATCH(RigheOfferte[[#This Row],[Lavorazione]],CodLavorazioni,0)),0)</f>
        <v>0</v>
      </c>
      <c r="AA130" s="76"/>
      <c r="AB130" s="71"/>
      <c r="AC130" s="74">
        <f>RigheOfferte[[#This Row],[Superf.pz Mq]]*Resa*RigheOfferte[[#This Row],[MP (€kg)]]</f>
        <v>0</v>
      </c>
      <c r="AD130" s="77"/>
      <c r="AE130" s="77"/>
      <c r="AF130" s="55">
        <f>_xlfn.IFNA(VLOOKUP(RigheOfferte[[#This Row],[Tipo Protezione]],Protezioni[],2,FALSE),0)</f>
        <v>0</v>
      </c>
      <c r="AG130" s="79"/>
      <c r="AH13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0" s="71">
        <f>RigheOfferte[[#This Row],[altri costi]]+RigheOfferte[[#This Row],[costo industriale pz]]</f>
        <v>0</v>
      </c>
      <c r="AJ130" s="81">
        <f>_xlfn.IFNA(INDEX(Ricarichi[],MATCH(YEAR(RigheOfferte[[#This Row],[data]])&amp;RigheOfferte[[#This Row],[Quadrimestre]],QuCostiLav,0),MATCH(RigheOfferte[[#This Row],[Lavorazione]],CodLavorazioni,0)),0)</f>
        <v>0</v>
      </c>
      <c r="AK130" s="80">
        <f>RigheOfferte[[#This Row],[totale costi]]+(RigheOfferte[[#This Row],[totale costi]]*RigheOfferte[[#This Row],[Ricarico]])</f>
        <v>0</v>
      </c>
      <c r="AL130" s="71">
        <f>RigheOfferte[[#This Row],[Prezzo Di Vendita]]*RigheOfferte[[#This Row],[Q.ta'']]</f>
        <v>0</v>
      </c>
      <c r="AM130" s="71">
        <f>IFERROR(RigheOfferte[[#This Row],[Prezzo Di Vendita]]/RigheOfferte[[#This Row],[Superf.pz Mq]],0)</f>
        <v>0</v>
      </c>
    </row>
    <row r="131" spans="1:39" ht="14.4">
      <c r="A131" s="69" t="str">
        <f>IF(LEN('riepilogo prezzi'!$D131&amp;'riepilogo prezzi'!$E131)&gt;0,'riepilogo prezzi'!$D131&amp;"-"&amp;'riepilogo prezzi'!$E131,"")</f>
        <v/>
      </c>
      <c r="B131" s="70" t="str">
        <f>IF(LEN(MONTH(RigheOfferte[[#This Row],[data]]))=1,0&amp;MONTH(RigheOfferte[[#This Row],[data]]),MONTH(RigheOfferte[[#This Row],[data]]))</f>
        <v>01</v>
      </c>
      <c r="C131" s="70" t="str">
        <f>IF(MONTH(RigheOfferte[[#This Row],[data]])&gt;8,"03",IF(MONTH(RigheOfferte[[#This Row],[data]])&gt;4,"02","01"))</f>
        <v>01</v>
      </c>
      <c r="D131" s="71"/>
      <c r="E131" s="71"/>
      <c r="F131" s="83"/>
      <c r="G131" s="71"/>
      <c r="H131" s="69"/>
      <c r="I131" s="71"/>
      <c r="J131" s="82"/>
      <c r="K131" s="72"/>
      <c r="L131" s="71"/>
      <c r="M131" s="71"/>
      <c r="N131" s="71" t="str">
        <f>_xlfn.IFNA(VLOOKUP(RigheOfferte[[#This Row],[Lavorazione]],DescLavorazioni[],2,FALSE),"")</f>
        <v/>
      </c>
      <c r="O131" s="71"/>
      <c r="P131" s="73">
        <f>_xlfn.IFNA(VLOOKUP(RigheOfferte[[#This Row],[Cod Vel]],VeloCatena[],3,FALSE),0)</f>
        <v>0</v>
      </c>
      <c r="Q131" s="71"/>
      <c r="R131" s="71"/>
      <c r="S131" s="71"/>
      <c r="T131" s="71"/>
      <c r="U131" s="71"/>
      <c r="V131" s="74">
        <f>IF(RigheOfferte[[#This Row],[Velocità]]&gt;0,60*RigheOfferte[[#This Row],[Velocità]]/RigheOfferte[[#This Row],[passo]]*RigheOfferte[[#This Row],[nr.pezzi Telaio]],0)</f>
        <v>0</v>
      </c>
      <c r="W131" s="74"/>
      <c r="X13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31" s="74">
        <f>_xlfn.IFNA(INDEX(RiepilogoCostiOrari[],MATCH(YEAR(RigheOfferte[[#This Row],[data]])&amp;RigheOfferte[[#This Row],[Quadrimestre]],QuCostiLav,0),MATCH(RigheOfferte[[#This Row],[Lavorazione]],CodLavorazioni,0)),0)</f>
        <v>0</v>
      </c>
      <c r="AA131" s="76"/>
      <c r="AB131" s="71"/>
      <c r="AC131" s="74">
        <f>RigheOfferte[[#This Row],[Superf.pz Mq]]*Resa*RigheOfferte[[#This Row],[MP (€kg)]]</f>
        <v>0</v>
      </c>
      <c r="AD131" s="77"/>
      <c r="AE131" s="77"/>
      <c r="AF131" s="55">
        <f>_xlfn.IFNA(VLOOKUP(RigheOfferte[[#This Row],[Tipo Protezione]],Protezioni[],2,FALSE),0)</f>
        <v>0</v>
      </c>
      <c r="AG131" s="79"/>
      <c r="AH13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1" s="71">
        <f>RigheOfferte[[#This Row],[altri costi]]+RigheOfferte[[#This Row],[costo industriale pz]]</f>
        <v>0</v>
      </c>
      <c r="AJ131" s="81">
        <f>_xlfn.IFNA(INDEX(Ricarichi[],MATCH(YEAR(RigheOfferte[[#This Row],[data]])&amp;RigheOfferte[[#This Row],[Quadrimestre]],QuCostiLav,0),MATCH(RigheOfferte[[#This Row],[Lavorazione]],CodLavorazioni,0)),0)</f>
        <v>0</v>
      </c>
      <c r="AK131" s="80">
        <f>RigheOfferte[[#This Row],[totale costi]]+(RigheOfferte[[#This Row],[totale costi]]*RigheOfferte[[#This Row],[Ricarico]])</f>
        <v>0</v>
      </c>
      <c r="AL131" s="71">
        <f>RigheOfferte[[#This Row],[Prezzo Di Vendita]]*RigheOfferte[[#This Row],[Q.ta'']]</f>
        <v>0</v>
      </c>
      <c r="AM131" s="71">
        <f>IFERROR(RigheOfferte[[#This Row],[Prezzo Di Vendita]]/RigheOfferte[[#This Row],[Superf.pz Mq]],0)</f>
        <v>0</v>
      </c>
    </row>
    <row r="132" spans="1:39" ht="14.4">
      <c r="A132" s="69" t="str">
        <f>IF(LEN('riepilogo prezzi'!$D132&amp;'riepilogo prezzi'!$E132)&gt;0,'riepilogo prezzi'!$D132&amp;"-"&amp;'riepilogo prezzi'!$E132,"")</f>
        <v/>
      </c>
      <c r="B132" s="70" t="str">
        <f>IF(LEN(MONTH(RigheOfferte[[#This Row],[data]]))=1,0&amp;MONTH(RigheOfferte[[#This Row],[data]]),MONTH(RigheOfferte[[#This Row],[data]]))</f>
        <v>01</v>
      </c>
      <c r="C132" s="70" t="str">
        <f>IF(MONTH(RigheOfferte[[#This Row],[data]])&gt;8,"03",IF(MONTH(RigheOfferte[[#This Row],[data]])&gt;4,"02","01"))</f>
        <v>01</v>
      </c>
      <c r="D132" s="71"/>
      <c r="E132" s="71"/>
      <c r="F132" s="83"/>
      <c r="G132" s="71"/>
      <c r="H132" s="69"/>
      <c r="I132" s="71"/>
      <c r="J132" s="82"/>
      <c r="K132" s="72"/>
      <c r="L132" s="71"/>
      <c r="M132" s="71"/>
      <c r="N132" s="71" t="str">
        <f>_xlfn.IFNA(VLOOKUP(RigheOfferte[[#This Row],[Lavorazione]],DescLavorazioni[],2,FALSE),"")</f>
        <v/>
      </c>
      <c r="O132" s="71"/>
      <c r="P132" s="73">
        <f>_xlfn.IFNA(VLOOKUP(RigheOfferte[[#This Row],[Cod Vel]],VeloCatena[],3,FALSE),0)</f>
        <v>0</v>
      </c>
      <c r="Q132" s="71"/>
      <c r="R132" s="71"/>
      <c r="S132" s="71"/>
      <c r="T132" s="71"/>
      <c r="U132" s="71"/>
      <c r="V132" s="74">
        <f>IF(RigheOfferte[[#This Row],[Velocità]]&gt;0,60*RigheOfferte[[#This Row],[Velocità]]/RigheOfferte[[#This Row],[passo]]*RigheOfferte[[#This Row],[nr.pezzi Telaio]],0)</f>
        <v>0</v>
      </c>
      <c r="W132" s="74"/>
      <c r="X13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32" s="74">
        <f>_xlfn.IFNA(INDEX(RiepilogoCostiOrari[],MATCH(YEAR(RigheOfferte[[#This Row],[data]])&amp;RigheOfferte[[#This Row],[Quadrimestre]],QuCostiLav,0),MATCH(RigheOfferte[[#This Row],[Lavorazione]],CodLavorazioni,0)),0)</f>
        <v>0</v>
      </c>
      <c r="AA132" s="76"/>
      <c r="AB132" s="71"/>
      <c r="AC132" s="74">
        <f>RigheOfferte[[#This Row],[Superf.pz Mq]]*Resa*RigheOfferte[[#This Row],[MP (€kg)]]</f>
        <v>0</v>
      </c>
      <c r="AD132" s="77"/>
      <c r="AE132" s="77"/>
      <c r="AF132" s="55">
        <f>_xlfn.IFNA(VLOOKUP(RigheOfferte[[#This Row],[Tipo Protezione]],Protezioni[],2,FALSE),0)</f>
        <v>0</v>
      </c>
      <c r="AG132" s="79"/>
      <c r="AH13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2" s="71">
        <f>RigheOfferte[[#This Row],[altri costi]]+RigheOfferte[[#This Row],[costo industriale pz]]</f>
        <v>0</v>
      </c>
      <c r="AJ132" s="81">
        <f>_xlfn.IFNA(INDEX(Ricarichi[],MATCH(YEAR(RigheOfferte[[#This Row],[data]])&amp;RigheOfferte[[#This Row],[Quadrimestre]],QuCostiLav,0),MATCH(RigheOfferte[[#This Row],[Lavorazione]],CodLavorazioni,0)),0)</f>
        <v>0</v>
      </c>
      <c r="AK132" s="80">
        <f>RigheOfferte[[#This Row],[totale costi]]+(RigheOfferte[[#This Row],[totale costi]]*RigheOfferte[[#This Row],[Ricarico]])</f>
        <v>0</v>
      </c>
      <c r="AL132" s="71">
        <f>RigheOfferte[[#This Row],[Prezzo Di Vendita]]*RigheOfferte[[#This Row],[Q.ta'']]</f>
        <v>0</v>
      </c>
      <c r="AM132" s="71">
        <f>IFERROR(RigheOfferte[[#This Row],[Prezzo Di Vendita]]/RigheOfferte[[#This Row],[Superf.pz Mq]],0)</f>
        <v>0</v>
      </c>
    </row>
    <row r="133" spans="1:39" ht="14.4">
      <c r="A133" s="69" t="str">
        <f>IF(LEN('riepilogo prezzi'!$D133&amp;'riepilogo prezzi'!$E133)&gt;0,'riepilogo prezzi'!$D133&amp;"-"&amp;'riepilogo prezzi'!$E133,"")</f>
        <v/>
      </c>
      <c r="B133" s="70" t="str">
        <f>IF(LEN(MONTH(RigheOfferte[[#This Row],[data]]))=1,0&amp;MONTH(RigheOfferte[[#This Row],[data]]),MONTH(RigheOfferte[[#This Row],[data]]))</f>
        <v>01</v>
      </c>
      <c r="C133" s="70" t="str">
        <f>IF(MONTH(RigheOfferte[[#This Row],[data]])&gt;8,"03",IF(MONTH(RigheOfferte[[#This Row],[data]])&gt;4,"02","01"))</f>
        <v>01</v>
      </c>
      <c r="D133" s="71"/>
      <c r="E133" s="71"/>
      <c r="F133" s="83"/>
      <c r="G133" s="71"/>
      <c r="H133" s="71"/>
      <c r="I133" s="71"/>
      <c r="J133" s="82"/>
      <c r="K133" s="72"/>
      <c r="L133" s="71"/>
      <c r="M133" s="71"/>
      <c r="N133" s="71" t="str">
        <f>_xlfn.IFNA(VLOOKUP(RigheOfferte[[#This Row],[Lavorazione]],DescLavorazioni[],2,FALSE),"")</f>
        <v/>
      </c>
      <c r="O133" s="71"/>
      <c r="P133" s="73">
        <f>_xlfn.IFNA(VLOOKUP(RigheOfferte[[#This Row],[Cod Vel]],VeloCatena[],3,FALSE),0)</f>
        <v>0</v>
      </c>
      <c r="Q133" s="20"/>
      <c r="R133" s="71"/>
      <c r="S133" s="71"/>
      <c r="T133" s="71"/>
      <c r="U133" s="71"/>
      <c r="V133" s="74">
        <f>IF(RigheOfferte[[#This Row],[Velocità]]&gt;0,60*RigheOfferte[[#This Row],[Velocità]]/RigheOfferte[[#This Row],[passo]]*RigheOfferte[[#This Row],[nr.pezzi Telaio]],0)</f>
        <v>0</v>
      </c>
      <c r="W133" s="74"/>
      <c r="X13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33" s="74">
        <f>_xlfn.IFNA(INDEX(RiepilogoCostiOrari[],MATCH(YEAR(RigheOfferte[[#This Row],[data]])&amp;RigheOfferte[[#This Row],[Quadrimestre]],QuCostiLav,0),MATCH(RigheOfferte[[#This Row],[Lavorazione]],CodLavorazioni,0)),0)</f>
        <v>0</v>
      </c>
      <c r="AA133" s="71"/>
      <c r="AB133" s="71"/>
      <c r="AC133" s="74">
        <f>RigheOfferte[[#This Row],[Superf.pz Mq]]*Resa*RigheOfferte[[#This Row],[MP (€kg)]]</f>
        <v>0</v>
      </c>
      <c r="AD133" s="77"/>
      <c r="AE133" s="77"/>
      <c r="AF133" s="55">
        <f>_xlfn.IFNA(VLOOKUP(RigheOfferte[[#This Row],[Tipo Protezione]],Protezioni[],2,FALSE),0)</f>
        <v>0</v>
      </c>
      <c r="AG133" s="79"/>
      <c r="AH13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3" s="71">
        <f>RigheOfferte[[#This Row],[altri costi]]+RigheOfferte[[#This Row],[costo industriale pz]]</f>
        <v>0</v>
      </c>
      <c r="AJ133" s="81">
        <f>_xlfn.IFNA(INDEX(Ricarichi[],MATCH(YEAR(RigheOfferte[[#This Row],[data]])&amp;RigheOfferte[[#This Row],[Quadrimestre]],QuCostiLav,0),MATCH(RigheOfferte[[#This Row],[Lavorazione]],CodLavorazioni,0)),0)</f>
        <v>0</v>
      </c>
      <c r="AK133" s="80">
        <f>RigheOfferte[[#This Row],[totale costi]]+(RigheOfferte[[#This Row],[totale costi]]*RigheOfferte[[#This Row],[Ricarico]])</f>
        <v>0</v>
      </c>
      <c r="AL133" s="71">
        <f>RigheOfferte[[#This Row],[Prezzo Di Vendita]]*RigheOfferte[[#This Row],[Q.ta'']]</f>
        <v>0</v>
      </c>
      <c r="AM133" s="71">
        <f>IFERROR(RigheOfferte[[#This Row],[Prezzo Di Vendita]]/RigheOfferte[[#This Row],[Superf.pz Mq]],0)</f>
        <v>0</v>
      </c>
    </row>
    <row r="134" spans="1:39" ht="14.4">
      <c r="A134" s="69" t="str">
        <f>IF(LEN('riepilogo prezzi'!$D134&amp;'riepilogo prezzi'!$E134)&gt;0,'riepilogo prezzi'!$D134&amp;"-"&amp;'riepilogo prezzi'!$E134,"")</f>
        <v/>
      </c>
      <c r="B134" s="70" t="str">
        <f>IF(LEN(MONTH(RigheOfferte[[#This Row],[data]]))=1,0&amp;MONTH(RigheOfferte[[#This Row],[data]]),MONTH(RigheOfferte[[#This Row],[data]]))</f>
        <v>01</v>
      </c>
      <c r="C134" s="70" t="str">
        <f>IF(MONTH(RigheOfferte[[#This Row],[data]])&gt;8,"03",IF(MONTH(RigheOfferte[[#This Row],[data]])&gt;4,"02","01"))</f>
        <v>01</v>
      </c>
      <c r="D134" s="71"/>
      <c r="E134" s="71"/>
      <c r="F134" s="83"/>
      <c r="G134" s="71"/>
      <c r="H134" s="71"/>
      <c r="I134" s="71"/>
      <c r="J134" s="82"/>
      <c r="K134" s="72"/>
      <c r="L134" s="71"/>
      <c r="M134" s="71"/>
      <c r="N134" s="71" t="str">
        <f>_xlfn.IFNA(VLOOKUP(RigheOfferte[[#This Row],[Lavorazione]],DescLavorazioni[],2,FALSE),"")</f>
        <v/>
      </c>
      <c r="O134" s="71"/>
      <c r="P134" s="73">
        <f>_xlfn.IFNA(VLOOKUP(RigheOfferte[[#This Row],[Cod Vel]],VeloCatena[],3,FALSE),0)</f>
        <v>0</v>
      </c>
      <c r="Q134" s="20"/>
      <c r="R134" s="71"/>
      <c r="S134" s="71"/>
      <c r="T134" s="71"/>
      <c r="U134" s="71"/>
      <c r="V134" s="74">
        <f>IF(RigheOfferte[[#This Row],[Velocità]]&gt;0,60*RigheOfferte[[#This Row],[Velocità]]/RigheOfferte[[#This Row],[passo]]*RigheOfferte[[#This Row],[nr.pezzi Telaio]],0)</f>
        <v>0</v>
      </c>
      <c r="W134" s="74"/>
      <c r="X13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34" s="74">
        <f>_xlfn.IFNA(INDEX(RiepilogoCostiOrari[],MATCH(YEAR(RigheOfferte[[#This Row],[data]])&amp;RigheOfferte[[#This Row],[Quadrimestre]],QuCostiLav,0),MATCH(RigheOfferte[[#This Row],[Lavorazione]],CodLavorazioni,0)),0)</f>
        <v>0</v>
      </c>
      <c r="AA134" s="71"/>
      <c r="AB134" s="71"/>
      <c r="AC134" s="74">
        <f>RigheOfferte[[#This Row],[Superf.pz Mq]]*Resa*RigheOfferte[[#This Row],[MP (€kg)]]</f>
        <v>0</v>
      </c>
      <c r="AD134" s="77"/>
      <c r="AE134" s="77"/>
      <c r="AF134" s="55">
        <f>_xlfn.IFNA(VLOOKUP(RigheOfferte[[#This Row],[Tipo Protezione]],Protezioni[],2,FALSE),0)</f>
        <v>0</v>
      </c>
      <c r="AG134" s="79"/>
      <c r="AH13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4" s="71">
        <f>RigheOfferte[[#This Row],[altri costi]]+RigheOfferte[[#This Row],[costo industriale pz]]</f>
        <v>0</v>
      </c>
      <c r="AJ134" s="81">
        <f>_xlfn.IFNA(INDEX(Ricarichi[],MATCH(YEAR(RigheOfferte[[#This Row],[data]])&amp;RigheOfferte[[#This Row],[Quadrimestre]],QuCostiLav,0),MATCH(RigheOfferte[[#This Row],[Lavorazione]],CodLavorazioni,0)),0)</f>
        <v>0</v>
      </c>
      <c r="AK134" s="80">
        <f>RigheOfferte[[#This Row],[totale costi]]+(RigheOfferte[[#This Row],[totale costi]]*RigheOfferte[[#This Row],[Ricarico]])</f>
        <v>0</v>
      </c>
      <c r="AL134" s="71">
        <f>RigheOfferte[[#This Row],[Prezzo Di Vendita]]*RigheOfferte[[#This Row],[Q.ta'']]</f>
        <v>0</v>
      </c>
      <c r="AM134" s="71">
        <f>IFERROR(RigheOfferte[[#This Row],[Prezzo Di Vendita]]/RigheOfferte[[#This Row],[Superf.pz Mq]],0)</f>
        <v>0</v>
      </c>
    </row>
    <row r="135" spans="1:39" ht="14.4">
      <c r="A135" s="60" t="str">
        <f>IF(LEN('riepilogo prezzi'!$D135&amp;'riepilogo prezzi'!$E135)&gt;0,'riepilogo prezzi'!$D135&amp;"-"&amp;'riepilogo prezzi'!$E135,"")</f>
        <v/>
      </c>
      <c r="B135" s="19" t="str">
        <f>IF(LEN(MONTH(RigheOfferte[[#This Row],[data]]))=1,0&amp;MONTH(RigheOfferte[[#This Row],[data]]),MONTH(RigheOfferte[[#This Row],[data]]))</f>
        <v>01</v>
      </c>
      <c r="C135" s="19" t="str">
        <f>IF(MONTH(RigheOfferte[[#This Row],[data]])&gt;8,"03",IF(MONTH(RigheOfferte[[#This Row],[data]])&gt;4,"02","01"))</f>
        <v>01</v>
      </c>
      <c r="D135" s="71"/>
      <c r="E135" s="71"/>
      <c r="F135" s="83"/>
      <c r="G135" s="71"/>
      <c r="H135" s="71"/>
      <c r="I135" s="71"/>
      <c r="J135" s="82"/>
      <c r="K135" s="72"/>
      <c r="L135" s="71"/>
      <c r="M135" s="20"/>
      <c r="N135" s="20" t="str">
        <f>_xlfn.IFNA(VLOOKUP(RigheOfferte[[#This Row],[Lavorazione]],DescLavorazioni[],2,FALSE),"")</f>
        <v/>
      </c>
      <c r="O135" s="20"/>
      <c r="P135" s="63">
        <f>_xlfn.IFNA(VLOOKUP(RigheOfferte[[#This Row],[Cod Vel]],VeloCatena[],3,FALSE),0)</f>
        <v>0</v>
      </c>
      <c r="Q135" s="20"/>
      <c r="R135" s="20"/>
      <c r="S135" s="20"/>
      <c r="T135" s="71"/>
      <c r="U135" s="71"/>
      <c r="V135" s="23">
        <f>IF(RigheOfferte[[#This Row],[Velocità]]&gt;0,60*RigheOfferte[[#This Row],[Velocità]]/RigheOfferte[[#This Row],[passo]]*RigheOfferte[[#This Row],[nr.pezzi Telaio]],0)</f>
        <v>0</v>
      </c>
      <c r="W135" s="23"/>
      <c r="X135" s="64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5" s="23">
        <f>IFERROR(IF(OR(RigheOfferte[[#This Row],[Lavorazione]]="L1",RigheOfferte[[#This Row],[Lavorazione]]="L2",RigheOfferte[[#This Row],[Lavorazione]]="L3"),VLOOKUP(RigheOfferte[[#This Row],[lotto]],Lotti[],2,FALSE),0),0)</f>
        <v>0</v>
      </c>
      <c r="Z135" s="23">
        <f>_xlfn.IFNA(INDEX(RiepilogoCostiOrari[],MATCH(YEAR(RigheOfferte[[#This Row],[data]])&amp;RigheOfferte[[#This Row],[Quadrimestre]],QuCostiLav,0),MATCH(RigheOfferte[[#This Row],[Lavorazione]],CodLavorazioni,0)),0)</f>
        <v>0</v>
      </c>
      <c r="AA135" s="20"/>
      <c r="AB135" s="20"/>
      <c r="AC135" s="23">
        <f>RigheOfferte[[#This Row],[Superf.pz Mq]]*Resa*RigheOfferte[[#This Row],[MP (€kg)]]</f>
        <v>0</v>
      </c>
      <c r="AD135" s="25"/>
      <c r="AE135" s="25"/>
      <c r="AF135" s="55">
        <f>_xlfn.IFNA(VLOOKUP(RigheOfferte[[#This Row],[Tipo Protezione]],Protezioni[],2,FALSE),0)</f>
        <v>0</v>
      </c>
      <c r="AG135" s="27"/>
      <c r="AH135" s="66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5" s="20">
        <f>RigheOfferte[[#This Row],[altri costi]]+RigheOfferte[[#This Row],[costo industriale pz]]</f>
        <v>0</v>
      </c>
      <c r="AJ135" s="28">
        <f>_xlfn.IFNA(INDEX(Ricarichi[],MATCH(YEAR(RigheOfferte[[#This Row],[data]])&amp;RigheOfferte[[#This Row],[Quadrimestre]],QuCostiLav,0),MATCH(RigheOfferte[[#This Row],[Lavorazione]],CodLavorazioni,0)),0)</f>
        <v>0</v>
      </c>
      <c r="AK135" s="66">
        <f>RigheOfferte[[#This Row],[totale costi]]+(RigheOfferte[[#This Row],[totale costi]]*RigheOfferte[[#This Row],[Ricarico]])</f>
        <v>0</v>
      </c>
      <c r="AL135" s="20">
        <f>RigheOfferte[[#This Row],[Prezzo Di Vendita]]*RigheOfferte[[#This Row],[Q.ta'']]</f>
        <v>0</v>
      </c>
      <c r="AM135" s="20">
        <f>IFERROR(RigheOfferte[[#This Row],[Prezzo Di Vendita]]/RigheOfferte[[#This Row],[Superf.pz Mq]],0)</f>
        <v>0</v>
      </c>
    </row>
    <row r="136" spans="1:39" ht="14.4">
      <c r="A136" s="60" t="str">
        <f>IF(LEN('riepilogo prezzi'!$D136&amp;'riepilogo prezzi'!$E136)&gt;0,'riepilogo prezzi'!$D136&amp;"-"&amp;'riepilogo prezzi'!$E136,"")</f>
        <v/>
      </c>
      <c r="B136" s="19" t="str">
        <f>IF(LEN(MONTH(RigheOfferte[[#This Row],[data]]))=1,0&amp;MONTH(RigheOfferte[[#This Row],[data]]),MONTH(RigheOfferte[[#This Row],[data]]))</f>
        <v>01</v>
      </c>
      <c r="C136" s="19" t="str">
        <f>IF(MONTH(RigheOfferte[[#This Row],[data]])&gt;8,"03",IF(MONTH(RigheOfferte[[#This Row],[data]])&gt;4,"02","01"))</f>
        <v>01</v>
      </c>
      <c r="D136" s="71"/>
      <c r="E136" s="71"/>
      <c r="F136" s="83"/>
      <c r="G136" s="71"/>
      <c r="H136" s="71"/>
      <c r="I136" s="71"/>
      <c r="J136" s="82"/>
      <c r="K136" s="72"/>
      <c r="L136" s="71"/>
      <c r="M136" s="20"/>
      <c r="N136" s="20" t="str">
        <f>_xlfn.IFNA(VLOOKUP(RigheOfferte[[#This Row],[Lavorazione]],DescLavorazioni[],2,FALSE),"")</f>
        <v/>
      </c>
      <c r="O136" s="20"/>
      <c r="P136" s="63">
        <f>_xlfn.IFNA(VLOOKUP(RigheOfferte[[#This Row],[Cod Vel]],VeloCatena[],3,FALSE),0)</f>
        <v>0</v>
      </c>
      <c r="Q136" s="20"/>
      <c r="R136" s="20"/>
      <c r="S136" s="20"/>
      <c r="T136" s="20"/>
      <c r="U136" s="20"/>
      <c r="V136" s="23">
        <f>IF(RigheOfferte[[#This Row],[Velocità]]&gt;0,60*RigheOfferte[[#This Row],[Velocità]]/RigheOfferte[[#This Row],[passo]]*RigheOfferte[[#This Row],[nr.pezzi Telaio]],0)</f>
        <v>0</v>
      </c>
      <c r="W136" s="23"/>
      <c r="X136" s="64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6" s="23">
        <f>IFERROR(IF(OR(RigheOfferte[[#This Row],[Lavorazione]]="L1",RigheOfferte[[#This Row],[Lavorazione]]="L2",RigheOfferte[[#This Row],[Lavorazione]]="L3"),VLOOKUP(RigheOfferte[[#This Row],[lotto]],Lotti[],2,FALSE),0),0)</f>
        <v>0</v>
      </c>
      <c r="Z136" s="23">
        <f>_xlfn.IFNA(INDEX(RiepilogoCostiOrari[],MATCH(YEAR(RigheOfferte[[#This Row],[data]])&amp;RigheOfferte[[#This Row],[Quadrimestre]],QuCostiLav,0),MATCH(RigheOfferte[[#This Row],[Lavorazione]],CodLavorazioni,0)),0)</f>
        <v>0</v>
      </c>
      <c r="AA136" s="20"/>
      <c r="AB136" s="20"/>
      <c r="AC136" s="23">
        <f>RigheOfferte[[#This Row],[Superf.pz Mq]]*Resa*RigheOfferte[[#This Row],[MP (€kg)]]</f>
        <v>0</v>
      </c>
      <c r="AD136" s="25"/>
      <c r="AE136" s="25"/>
      <c r="AF136" s="55">
        <f>_xlfn.IFNA(VLOOKUP(RigheOfferte[[#This Row],[Tipo Protezione]],Protezioni[],2,FALSE),0)</f>
        <v>0</v>
      </c>
      <c r="AG136" s="27"/>
      <c r="AH136" s="66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6" s="20">
        <f>RigheOfferte[[#This Row],[altri costi]]+RigheOfferte[[#This Row],[costo industriale pz]]</f>
        <v>0</v>
      </c>
      <c r="AJ136" s="28">
        <f>_xlfn.IFNA(INDEX(Ricarichi[],MATCH(YEAR(RigheOfferte[[#This Row],[data]])&amp;RigheOfferte[[#This Row],[Quadrimestre]],QuCostiLav,0),MATCH(RigheOfferte[[#This Row],[Lavorazione]],CodLavorazioni,0)),0)</f>
        <v>0</v>
      </c>
      <c r="AK136" s="66">
        <f>RigheOfferte[[#This Row],[totale costi]]+(RigheOfferte[[#This Row],[totale costi]]*RigheOfferte[[#This Row],[Ricarico]])</f>
        <v>0</v>
      </c>
      <c r="AL136" s="20">
        <f>RigheOfferte[[#This Row],[Prezzo Di Vendita]]*RigheOfferte[[#This Row],[Q.ta'']]</f>
        <v>0</v>
      </c>
      <c r="AM136" s="20">
        <f>IFERROR(RigheOfferte[[#This Row],[Prezzo Di Vendita]]/RigheOfferte[[#This Row],[Superf.pz Mq]],0)</f>
        <v>0</v>
      </c>
    </row>
    <row r="137" spans="1:39" ht="13.8" customHeight="1">
      <c r="A137" s="69" t="str">
        <f>IF(LEN('riepilogo prezzi'!$D137&amp;'riepilogo prezzi'!$E137)&gt;0,'riepilogo prezzi'!$D137&amp;"-"&amp;'riepilogo prezzi'!$E137,"")</f>
        <v/>
      </c>
      <c r="B137" s="70" t="str">
        <f>IF(LEN(MONTH(RigheOfferte[[#This Row],[data]]))=1,0&amp;MONTH(RigheOfferte[[#This Row],[data]]),MONTH(RigheOfferte[[#This Row],[data]]))</f>
        <v>01</v>
      </c>
      <c r="C137" s="70" t="str">
        <f>IF(MONTH(RigheOfferte[[#This Row],[data]])&gt;8,"03",IF(MONTH(RigheOfferte[[#This Row],[data]])&gt;4,"02","01"))</f>
        <v>01</v>
      </c>
      <c r="D137" s="71"/>
      <c r="E137" s="71"/>
      <c r="F137" s="83"/>
      <c r="G137" s="20"/>
      <c r="H137" s="60"/>
      <c r="I137" s="71"/>
      <c r="J137" s="22"/>
      <c r="K137" s="62"/>
      <c r="L137" s="20"/>
      <c r="M137" s="71"/>
      <c r="N137" s="71" t="str">
        <f>_xlfn.IFNA(VLOOKUP(RigheOfferte[[#This Row],[Lavorazione]],DescLavorazioni[],2,FALSE),"")</f>
        <v/>
      </c>
      <c r="O137" s="71"/>
      <c r="P137" s="73">
        <f>_xlfn.IFNA(VLOOKUP(RigheOfferte[[#This Row],[Cod Vel]],VeloCatena[],3,FALSE),0)</f>
        <v>0</v>
      </c>
      <c r="Q137" s="20"/>
      <c r="R137" s="71"/>
      <c r="S137" s="71"/>
      <c r="T137" s="71"/>
      <c r="U137" s="71"/>
      <c r="V137" s="74">
        <f>IF(RigheOfferte[[#This Row],[Velocità]]&gt;0,60*RigheOfferte[[#This Row],[Velocità]]/RigheOfferte[[#This Row],[passo]]*RigheOfferte[[#This Row],[nr.pezzi Telaio]],0)</f>
        <v>0</v>
      </c>
      <c r="W137" s="74"/>
      <c r="X13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37" s="74">
        <f>_xlfn.IFNA(INDEX(RiepilogoCostiOrari[],MATCH(YEAR(RigheOfferte[[#This Row],[data]])&amp;RigheOfferte[[#This Row],[Quadrimestre]],QuCostiLav,0),MATCH(RigheOfferte[[#This Row],[Lavorazione]],CodLavorazioni,0)),0)</f>
        <v>0</v>
      </c>
      <c r="AA137" s="76"/>
      <c r="AB137" s="71"/>
      <c r="AC137" s="74">
        <f>RigheOfferte[[#This Row],[Superf.pz Mq]]*Resa*RigheOfferte[[#This Row],[MP (€kg)]]</f>
        <v>0</v>
      </c>
      <c r="AD137" s="77"/>
      <c r="AE137" s="77"/>
      <c r="AF137" s="55">
        <f>_xlfn.IFNA(VLOOKUP(RigheOfferte[[#This Row],[Tipo Protezione]],Protezioni[],2,FALSE),0)</f>
        <v>0</v>
      </c>
      <c r="AG137" s="79"/>
      <c r="AH13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7" s="71">
        <f>RigheOfferte[[#This Row],[altri costi]]+RigheOfferte[[#This Row],[costo industriale pz]]</f>
        <v>0</v>
      </c>
      <c r="AJ137" s="81">
        <f>_xlfn.IFNA(INDEX(Ricarichi[],MATCH(YEAR(RigheOfferte[[#This Row],[data]])&amp;RigheOfferte[[#This Row],[Quadrimestre]],QuCostiLav,0),MATCH(RigheOfferte[[#This Row],[Lavorazione]],CodLavorazioni,0)),0)</f>
        <v>0</v>
      </c>
      <c r="AK137" s="80">
        <f>RigheOfferte[[#This Row],[totale costi]]+(RigheOfferte[[#This Row],[totale costi]]*RigheOfferte[[#This Row],[Ricarico]])</f>
        <v>0</v>
      </c>
      <c r="AL137" s="71">
        <f>RigheOfferte[[#This Row],[Prezzo Di Vendita]]*RigheOfferte[[#This Row],[Q.ta'']]</f>
        <v>0</v>
      </c>
      <c r="AM137" s="71">
        <f>IFERROR(RigheOfferte[[#This Row],[Prezzo Di Vendita]]/RigheOfferte[[#This Row],[Superf.pz Mq]],0)</f>
        <v>0</v>
      </c>
    </row>
    <row r="138" spans="1:39" ht="13.8" customHeight="1">
      <c r="A138" s="69" t="str">
        <f>IF(LEN('riepilogo prezzi'!$D138&amp;'riepilogo prezzi'!$E138)&gt;0,'riepilogo prezzi'!$D138&amp;"-"&amp;'riepilogo prezzi'!$E138,"")</f>
        <v/>
      </c>
      <c r="B138" s="70" t="str">
        <f>IF(LEN(MONTH(RigheOfferte[[#This Row],[data]]))=1,0&amp;MONTH(RigheOfferte[[#This Row],[data]]),MONTH(RigheOfferte[[#This Row],[data]]))</f>
        <v>01</v>
      </c>
      <c r="C138" s="70" t="str">
        <f>IF(MONTH(RigheOfferte[[#This Row],[data]])&gt;8,"03",IF(MONTH(RigheOfferte[[#This Row],[data]])&gt;4,"02","01"))</f>
        <v>01</v>
      </c>
      <c r="D138" s="71"/>
      <c r="E138" s="71"/>
      <c r="F138" s="83"/>
      <c r="G138" s="20"/>
      <c r="H138" s="60"/>
      <c r="I138" s="71"/>
      <c r="J138" s="22"/>
      <c r="K138" s="62"/>
      <c r="L138" s="20"/>
      <c r="M138" s="71"/>
      <c r="N138" s="71" t="str">
        <f>_xlfn.IFNA(VLOOKUP(RigheOfferte[[#This Row],[Lavorazione]],DescLavorazioni[],2,FALSE),"")</f>
        <v/>
      </c>
      <c r="O138" s="71"/>
      <c r="P138" s="73">
        <f>_xlfn.IFNA(VLOOKUP(RigheOfferte[[#This Row],[Cod Vel]],VeloCatena[],3,FALSE),0)</f>
        <v>0</v>
      </c>
      <c r="Q138" s="20"/>
      <c r="R138" s="71"/>
      <c r="S138" s="71"/>
      <c r="T138" s="71"/>
      <c r="U138" s="71"/>
      <c r="V138" s="74">
        <f>IF(RigheOfferte[[#This Row],[Velocità]]&gt;0,60*RigheOfferte[[#This Row],[Velocità]]/RigheOfferte[[#This Row],[passo]]*RigheOfferte[[#This Row],[nr.pezzi Telaio]],0)</f>
        <v>0</v>
      </c>
      <c r="W138" s="74"/>
      <c r="X13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38" s="74">
        <f>_xlfn.IFNA(INDEX(RiepilogoCostiOrari[],MATCH(YEAR(RigheOfferte[[#This Row],[data]])&amp;RigheOfferte[[#This Row],[Quadrimestre]],QuCostiLav,0),MATCH(RigheOfferte[[#This Row],[Lavorazione]],CodLavorazioni,0)),0)</f>
        <v>0</v>
      </c>
      <c r="AA138" s="76"/>
      <c r="AB138" s="71"/>
      <c r="AC138" s="74">
        <f>RigheOfferte[[#This Row],[Superf.pz Mq]]*Resa*RigheOfferte[[#This Row],[MP (€kg)]]</f>
        <v>0</v>
      </c>
      <c r="AD138" s="77"/>
      <c r="AE138" s="77"/>
      <c r="AF138" s="55">
        <f>_xlfn.IFNA(VLOOKUP(RigheOfferte[[#This Row],[Tipo Protezione]],Protezioni[],2,FALSE),0)</f>
        <v>0</v>
      </c>
      <c r="AG138" s="79"/>
      <c r="AH13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8" s="71">
        <f>RigheOfferte[[#This Row],[altri costi]]+RigheOfferte[[#This Row],[costo industriale pz]]</f>
        <v>0</v>
      </c>
      <c r="AJ138" s="81">
        <f>_xlfn.IFNA(INDEX(Ricarichi[],MATCH(YEAR(RigheOfferte[[#This Row],[data]])&amp;RigheOfferte[[#This Row],[Quadrimestre]],QuCostiLav,0),MATCH(RigheOfferte[[#This Row],[Lavorazione]],CodLavorazioni,0)),0)</f>
        <v>0</v>
      </c>
      <c r="AK138" s="80">
        <f>RigheOfferte[[#This Row],[totale costi]]+(RigheOfferte[[#This Row],[totale costi]]*RigheOfferte[[#This Row],[Ricarico]])</f>
        <v>0</v>
      </c>
      <c r="AL138" s="71">
        <f>RigheOfferte[[#This Row],[Prezzo Di Vendita]]*RigheOfferte[[#This Row],[Q.ta'']]</f>
        <v>0</v>
      </c>
      <c r="AM138" s="71">
        <f>IFERROR(RigheOfferte[[#This Row],[Prezzo Di Vendita]]/RigheOfferte[[#This Row],[Superf.pz Mq]],0)</f>
        <v>0</v>
      </c>
    </row>
    <row r="139" spans="1:39" ht="14.4" customHeight="1">
      <c r="A139" s="69" t="str">
        <f>IF(LEN('riepilogo prezzi'!$D139&amp;'riepilogo prezzi'!$E139)&gt;0,'riepilogo prezzi'!$D139&amp;"-"&amp;'riepilogo prezzi'!$E139,"")</f>
        <v/>
      </c>
      <c r="B139" s="70" t="str">
        <f>IF(LEN(MONTH(RigheOfferte[[#This Row],[data]]))=1,0&amp;MONTH(RigheOfferte[[#This Row],[data]]),MONTH(RigheOfferte[[#This Row],[data]]))</f>
        <v>01</v>
      </c>
      <c r="C139" s="70" t="str">
        <f>IF(MONTH(RigheOfferte[[#This Row],[data]])&gt;8,"03",IF(MONTH(RigheOfferte[[#This Row],[data]])&gt;4,"02","01"))</f>
        <v>01</v>
      </c>
      <c r="D139" s="71"/>
      <c r="E139" s="71"/>
      <c r="F139" s="83"/>
      <c r="G139" s="20"/>
      <c r="H139" s="60"/>
      <c r="I139" s="71"/>
      <c r="J139" s="22"/>
      <c r="K139" s="62"/>
      <c r="L139" s="20"/>
      <c r="M139" s="71"/>
      <c r="N139" s="71" t="str">
        <f>_xlfn.IFNA(VLOOKUP(RigheOfferte[[#This Row],[Lavorazione]],DescLavorazioni[],2,FALSE),"")</f>
        <v/>
      </c>
      <c r="O139" s="71"/>
      <c r="P139" s="73">
        <f>_xlfn.IFNA(VLOOKUP(RigheOfferte[[#This Row],[Cod Vel]],VeloCatena[],3,FALSE),0)</f>
        <v>0</v>
      </c>
      <c r="Q139" s="20"/>
      <c r="R139" s="71"/>
      <c r="S139" s="71"/>
      <c r="T139" s="71"/>
      <c r="U139" s="71"/>
      <c r="V139" s="74">
        <f>IF(RigheOfferte[[#This Row],[Velocità]]&gt;0,60*RigheOfferte[[#This Row],[Velocità]]/RigheOfferte[[#This Row],[passo]]*RigheOfferte[[#This Row],[nr.pezzi Telaio]],0)</f>
        <v>0</v>
      </c>
      <c r="W139" s="74"/>
      <c r="X13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3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39" s="74">
        <f>_xlfn.IFNA(INDEX(RiepilogoCostiOrari[],MATCH(YEAR(RigheOfferte[[#This Row],[data]])&amp;RigheOfferte[[#This Row],[Quadrimestre]],QuCostiLav,0),MATCH(RigheOfferte[[#This Row],[Lavorazione]],CodLavorazioni,0)),0)</f>
        <v>0</v>
      </c>
      <c r="AA139" s="76"/>
      <c r="AB139" s="71"/>
      <c r="AC139" s="74">
        <f>RigheOfferte[[#This Row],[Superf.pz Mq]]*Resa*RigheOfferte[[#This Row],[MP (€kg)]]</f>
        <v>0</v>
      </c>
      <c r="AD139" s="77"/>
      <c r="AE139" s="77"/>
      <c r="AF139" s="55">
        <f>_xlfn.IFNA(VLOOKUP(RigheOfferte[[#This Row],[Tipo Protezione]],Protezioni[],2,FALSE),0)</f>
        <v>0</v>
      </c>
      <c r="AG139" s="79"/>
      <c r="AH13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39" s="71">
        <f>RigheOfferte[[#This Row],[altri costi]]+RigheOfferte[[#This Row],[costo industriale pz]]</f>
        <v>0</v>
      </c>
      <c r="AJ139" s="81">
        <f>_xlfn.IFNA(INDEX(Ricarichi[],MATCH(YEAR(RigheOfferte[[#This Row],[data]])&amp;RigheOfferte[[#This Row],[Quadrimestre]],QuCostiLav,0),MATCH(RigheOfferte[[#This Row],[Lavorazione]],CodLavorazioni,0)),0)</f>
        <v>0</v>
      </c>
      <c r="AK139" s="80">
        <f>RigheOfferte[[#This Row],[totale costi]]+(RigheOfferte[[#This Row],[totale costi]]*RigheOfferte[[#This Row],[Ricarico]])</f>
        <v>0</v>
      </c>
      <c r="AL139" s="71">
        <f>RigheOfferte[[#This Row],[Prezzo Di Vendita]]*RigheOfferte[[#This Row],[Q.ta'']]</f>
        <v>0</v>
      </c>
      <c r="AM139" s="71">
        <f>IFERROR(RigheOfferte[[#This Row],[Prezzo Di Vendita]]/RigheOfferte[[#This Row],[Superf.pz Mq]],0)</f>
        <v>0</v>
      </c>
    </row>
    <row r="140" spans="1:39" ht="15" customHeight="1">
      <c r="A140" s="69" t="str">
        <f>IF(LEN('riepilogo prezzi'!$D140&amp;'riepilogo prezzi'!$E140)&gt;0,'riepilogo prezzi'!$D140&amp;"-"&amp;'riepilogo prezzi'!$E140,"")</f>
        <v/>
      </c>
      <c r="B140" s="70" t="str">
        <f>IF(LEN(MONTH(RigheOfferte[[#This Row],[data]]))=1,0&amp;MONTH(RigheOfferte[[#This Row],[data]]),MONTH(RigheOfferte[[#This Row],[data]]))</f>
        <v>01</v>
      </c>
      <c r="C140" s="70" t="str">
        <f>IF(MONTH(RigheOfferte[[#This Row],[data]])&gt;8,"03",IF(MONTH(RigheOfferte[[#This Row],[data]])&gt;4,"02","01"))</f>
        <v>01</v>
      </c>
      <c r="D140" s="71"/>
      <c r="E140" s="71"/>
      <c r="F140" s="83"/>
      <c r="G140" s="20"/>
      <c r="H140" s="60"/>
      <c r="I140" s="71"/>
      <c r="J140" s="22"/>
      <c r="K140" s="62"/>
      <c r="L140" s="20"/>
      <c r="M140" s="71"/>
      <c r="N140" s="71" t="str">
        <f>_xlfn.IFNA(VLOOKUP(RigheOfferte[[#This Row],[Lavorazione]],DescLavorazioni[],2,FALSE),"")</f>
        <v/>
      </c>
      <c r="O140" s="71"/>
      <c r="P140" s="73">
        <f>_xlfn.IFNA(VLOOKUP(RigheOfferte[[#This Row],[Cod Vel]],VeloCatena[],3,FALSE),0)</f>
        <v>0</v>
      </c>
      <c r="Q140" s="20"/>
      <c r="R140" s="71"/>
      <c r="S140" s="71"/>
      <c r="T140" s="71"/>
      <c r="U140" s="71"/>
      <c r="V140" s="74">
        <f>IF(RigheOfferte[[#This Row],[Velocità]]&gt;0,60*RigheOfferte[[#This Row],[Velocità]]/RigheOfferte[[#This Row],[passo]]*RigheOfferte[[#This Row],[nr.pezzi Telaio]],0)</f>
        <v>0</v>
      </c>
      <c r="W140" s="74"/>
      <c r="X14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0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0" s="76"/>
      <c r="AB140" s="71"/>
      <c r="AC140" s="74">
        <f>RigheOfferte[[#This Row],[Superf.pz Mq]]*Resa*RigheOfferte[[#This Row],[MP (€kg)]]</f>
        <v>0</v>
      </c>
      <c r="AD140" s="77"/>
      <c r="AE140" s="77"/>
      <c r="AF140" s="55">
        <f>_xlfn.IFNA(VLOOKUP(RigheOfferte[[#This Row],[Tipo Protezione]],Protezioni[],2,FALSE),0)</f>
        <v>0</v>
      </c>
      <c r="AG140" s="79"/>
      <c r="AH14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0" s="71">
        <f>RigheOfferte[[#This Row],[altri costi]]+RigheOfferte[[#This Row],[costo industriale pz]]</f>
        <v>0</v>
      </c>
      <c r="AJ140" s="81">
        <f>_xlfn.IFNA(INDEX(Ricarichi[],MATCH(YEAR(RigheOfferte[[#This Row],[data]])&amp;RigheOfferte[[#This Row],[Quadrimestre]],QuCostiLav,0),MATCH(RigheOfferte[[#This Row],[Lavorazione]],CodLavorazioni,0)),0)</f>
        <v>0</v>
      </c>
      <c r="AK140" s="80">
        <f>RigheOfferte[[#This Row],[totale costi]]+(RigheOfferte[[#This Row],[totale costi]]*RigheOfferte[[#This Row],[Ricarico]])</f>
        <v>0</v>
      </c>
      <c r="AL140" s="71">
        <f>RigheOfferte[[#This Row],[Prezzo Di Vendita]]*RigheOfferte[[#This Row],[Q.ta'']]</f>
        <v>0</v>
      </c>
      <c r="AM140" s="71">
        <f>IFERROR(RigheOfferte[[#This Row],[Prezzo Di Vendita]]/RigheOfferte[[#This Row],[Superf.pz Mq]],0)</f>
        <v>0</v>
      </c>
    </row>
    <row r="141" spans="1:39" ht="15" customHeight="1">
      <c r="A141" s="69" t="str">
        <f>IF(LEN('riepilogo prezzi'!$D141&amp;'riepilogo prezzi'!$E141)&gt;0,'riepilogo prezzi'!$D141&amp;"-"&amp;'riepilogo prezzi'!$E141,"")</f>
        <v/>
      </c>
      <c r="B141" s="70" t="str">
        <f>IF(LEN(MONTH(RigheOfferte[[#This Row],[data]]))=1,0&amp;MONTH(RigheOfferte[[#This Row],[data]]),MONTH(RigheOfferte[[#This Row],[data]]))</f>
        <v>01</v>
      </c>
      <c r="C141" s="70" t="str">
        <f>IF(MONTH(RigheOfferte[[#This Row],[data]])&gt;8,"03",IF(MONTH(RigheOfferte[[#This Row],[data]])&gt;4,"02","01"))</f>
        <v>01</v>
      </c>
      <c r="D141" s="71"/>
      <c r="E141" s="71"/>
      <c r="F141" s="83"/>
      <c r="G141" s="20"/>
      <c r="H141" s="60"/>
      <c r="I141" s="71"/>
      <c r="J141" s="22"/>
      <c r="K141" s="62"/>
      <c r="L141" s="20"/>
      <c r="M141" s="71"/>
      <c r="N141" s="71" t="str">
        <f>_xlfn.IFNA(VLOOKUP(RigheOfferte[[#This Row],[Lavorazione]],DescLavorazioni[],2,FALSE),"")</f>
        <v/>
      </c>
      <c r="O141" s="71"/>
      <c r="P141" s="73">
        <f>_xlfn.IFNA(VLOOKUP(RigheOfferte[[#This Row],[Cod Vel]],VeloCatena[],3,FALSE),0)</f>
        <v>0</v>
      </c>
      <c r="Q141" s="20"/>
      <c r="R141" s="71"/>
      <c r="S141" s="71"/>
      <c r="T141" s="71"/>
      <c r="U141" s="71"/>
      <c r="V141" s="74">
        <f>IF(RigheOfferte[[#This Row],[Velocità]]&gt;0,60*RigheOfferte[[#This Row],[Velocità]]/RigheOfferte[[#This Row],[passo]]*RigheOfferte[[#This Row],[nr.pezzi Telaio]],0)</f>
        <v>0</v>
      </c>
      <c r="W141" s="74"/>
      <c r="X141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1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1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1" s="76"/>
      <c r="AB141" s="71"/>
      <c r="AC141" s="74">
        <f>RigheOfferte[[#This Row],[Superf.pz Mq]]*Resa*RigheOfferte[[#This Row],[MP (€kg)]]</f>
        <v>0</v>
      </c>
      <c r="AD141" s="77"/>
      <c r="AE141" s="77"/>
      <c r="AF141" s="55">
        <f>_xlfn.IFNA(VLOOKUP(RigheOfferte[[#This Row],[Tipo Protezione]],Protezioni[],2,FALSE),0)</f>
        <v>0</v>
      </c>
      <c r="AG141" s="79"/>
      <c r="AH141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1" s="71">
        <f>RigheOfferte[[#This Row],[altri costi]]+RigheOfferte[[#This Row],[costo industriale pz]]</f>
        <v>0</v>
      </c>
      <c r="AJ141" s="81">
        <f>_xlfn.IFNA(INDEX(Ricarichi[],MATCH(YEAR(RigheOfferte[[#This Row],[data]])&amp;RigheOfferte[[#This Row],[Quadrimestre]],QuCostiLav,0),MATCH(RigheOfferte[[#This Row],[Lavorazione]],CodLavorazioni,0)),0)</f>
        <v>0</v>
      </c>
      <c r="AK141" s="80">
        <f>RigheOfferte[[#This Row],[totale costi]]+(RigheOfferte[[#This Row],[totale costi]]*RigheOfferte[[#This Row],[Ricarico]])</f>
        <v>0</v>
      </c>
      <c r="AL141" s="71">
        <f>RigheOfferte[[#This Row],[Prezzo Di Vendita]]*RigheOfferte[[#This Row],[Q.ta'']]</f>
        <v>0</v>
      </c>
      <c r="AM141" s="71">
        <f>IFERROR(RigheOfferte[[#This Row],[Prezzo Di Vendita]]/RigheOfferte[[#This Row],[Superf.pz Mq]],0)</f>
        <v>0</v>
      </c>
    </row>
    <row r="142" spans="1:39" ht="14.4">
      <c r="A142" s="69" t="str">
        <f>IF(LEN('riepilogo prezzi'!$D142&amp;'riepilogo prezzi'!$E142)&gt;0,'riepilogo prezzi'!$D142&amp;"-"&amp;'riepilogo prezzi'!$E142,"")</f>
        <v/>
      </c>
      <c r="B142" s="70" t="str">
        <f>IF(LEN(MONTH(RigheOfferte[[#This Row],[data]]))=1,0&amp;MONTH(RigheOfferte[[#This Row],[data]]),MONTH(RigheOfferte[[#This Row],[data]]))</f>
        <v>01</v>
      </c>
      <c r="C142" s="70" t="str">
        <f>IF(MONTH(RigheOfferte[[#This Row],[data]])&gt;8,"03",IF(MONTH(RigheOfferte[[#This Row],[data]])&gt;4,"02","01"))</f>
        <v>01</v>
      </c>
      <c r="D142" s="71"/>
      <c r="E142" s="71"/>
      <c r="F142" s="83"/>
      <c r="G142" s="71"/>
      <c r="H142" s="71"/>
      <c r="I142" s="71"/>
      <c r="J142" s="22"/>
      <c r="K142" s="72"/>
      <c r="L142" s="71"/>
      <c r="M142" s="71"/>
      <c r="N142" s="71" t="str">
        <f>_xlfn.IFNA(VLOOKUP(RigheOfferte[[#This Row],[Lavorazione]],DescLavorazioni[],2,FALSE),"")</f>
        <v/>
      </c>
      <c r="O142" s="71"/>
      <c r="P142" s="73">
        <f>_xlfn.IFNA(VLOOKUP(RigheOfferte[[#This Row],[Cod Vel]],VeloCatena[],3,FALSE),0)</f>
        <v>0</v>
      </c>
      <c r="Q142" s="71"/>
      <c r="R142" s="71"/>
      <c r="S142" s="71"/>
      <c r="T142" s="71"/>
      <c r="U142" s="71"/>
      <c r="V142" s="74">
        <f>IF(RigheOfferte[[#This Row],[Velocità]]&gt;0,60*RigheOfferte[[#This Row],[Velocità]]/RigheOfferte[[#This Row],[passo]]*RigheOfferte[[#This Row],[nr.pezzi Telaio]],0)</f>
        <v>0</v>
      </c>
      <c r="W142" s="74"/>
      <c r="X142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2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2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2" s="76"/>
      <c r="AB142" s="71"/>
      <c r="AC142" s="74">
        <f>RigheOfferte[[#This Row],[Superf.pz Mq]]*Resa*RigheOfferte[[#This Row],[MP (€kg)]]</f>
        <v>0</v>
      </c>
      <c r="AD142" s="77"/>
      <c r="AE142" s="77"/>
      <c r="AF142" s="55">
        <f>_xlfn.IFNA(VLOOKUP(RigheOfferte[[#This Row],[Tipo Protezione]],Protezioni[],2,FALSE),0)</f>
        <v>0</v>
      </c>
      <c r="AG142" s="79"/>
      <c r="AH142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2" s="71">
        <f>RigheOfferte[[#This Row],[altri costi]]+RigheOfferte[[#This Row],[costo industriale pz]]</f>
        <v>0</v>
      </c>
      <c r="AJ142" s="81">
        <f>_xlfn.IFNA(INDEX(Ricarichi[],MATCH(YEAR(RigheOfferte[[#This Row],[data]])&amp;RigheOfferte[[#This Row],[Quadrimestre]],QuCostiLav,0),MATCH(RigheOfferte[[#This Row],[Lavorazione]],CodLavorazioni,0)),0)</f>
        <v>0</v>
      </c>
      <c r="AK142" s="80">
        <f>RigheOfferte[[#This Row],[totale costi]]+(RigheOfferte[[#This Row],[totale costi]]*RigheOfferte[[#This Row],[Ricarico]])</f>
        <v>0</v>
      </c>
      <c r="AL142" s="71">
        <f>RigheOfferte[[#This Row],[Prezzo Di Vendita]]*RigheOfferte[[#This Row],[Q.ta'']]</f>
        <v>0</v>
      </c>
      <c r="AM142" s="71">
        <f>IFERROR(RigheOfferte[[#This Row],[Prezzo Di Vendita]]/RigheOfferte[[#This Row],[Superf.pz Mq]],0)</f>
        <v>0</v>
      </c>
    </row>
    <row r="143" spans="1:39" ht="14.4">
      <c r="A143" s="69" t="str">
        <f>IF(LEN('riepilogo prezzi'!$D143&amp;'riepilogo prezzi'!$E143)&gt;0,'riepilogo prezzi'!$D143&amp;"-"&amp;'riepilogo prezzi'!$E143,"")</f>
        <v/>
      </c>
      <c r="B143" s="70" t="str">
        <f>IF(LEN(MONTH(RigheOfferte[[#This Row],[data]]))=1,0&amp;MONTH(RigheOfferte[[#This Row],[data]]),MONTH(RigheOfferte[[#This Row],[data]]))</f>
        <v>01</v>
      </c>
      <c r="C143" s="70" t="str">
        <f>IF(MONTH(RigheOfferte[[#This Row],[data]])&gt;8,"03",IF(MONTH(RigheOfferte[[#This Row],[data]])&gt;4,"02","01"))</f>
        <v>01</v>
      </c>
      <c r="D143" s="71"/>
      <c r="E143" s="71"/>
      <c r="F143" s="83"/>
      <c r="G143" s="71"/>
      <c r="H143" s="71"/>
      <c r="I143" s="71"/>
      <c r="J143" s="22"/>
      <c r="K143" s="72"/>
      <c r="L143" s="71"/>
      <c r="M143" s="71"/>
      <c r="N143" s="71" t="str">
        <f>_xlfn.IFNA(VLOOKUP(RigheOfferte[[#This Row],[Lavorazione]],DescLavorazioni[],2,FALSE),"")</f>
        <v/>
      </c>
      <c r="O143" s="71"/>
      <c r="P143" s="73">
        <f>_xlfn.IFNA(VLOOKUP(RigheOfferte[[#This Row],[Cod Vel]],VeloCatena[],3,FALSE),0)</f>
        <v>0</v>
      </c>
      <c r="Q143" s="71"/>
      <c r="R143" s="71"/>
      <c r="S143" s="71"/>
      <c r="T143" s="71"/>
      <c r="U143" s="71"/>
      <c r="V143" s="74">
        <f>IF(RigheOfferte[[#This Row],[Velocità]]&gt;0,60*RigheOfferte[[#This Row],[Velocità]]/RigheOfferte[[#This Row],[passo]]*RigheOfferte[[#This Row],[nr.pezzi Telaio]],0)</f>
        <v>0</v>
      </c>
      <c r="W143" s="74"/>
      <c r="X143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3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3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3" s="76"/>
      <c r="AB143" s="71"/>
      <c r="AC143" s="74">
        <f>RigheOfferte[[#This Row],[Superf.pz Mq]]*Resa*RigheOfferte[[#This Row],[MP (€kg)]]</f>
        <v>0</v>
      </c>
      <c r="AD143" s="77"/>
      <c r="AE143" s="77"/>
      <c r="AF143" s="55">
        <f>_xlfn.IFNA(VLOOKUP(RigheOfferte[[#This Row],[Tipo Protezione]],Protezioni[],2,FALSE),0)</f>
        <v>0</v>
      </c>
      <c r="AG143" s="79"/>
      <c r="AH143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3" s="71">
        <f>RigheOfferte[[#This Row],[altri costi]]+RigheOfferte[[#This Row],[costo industriale pz]]</f>
        <v>0</v>
      </c>
      <c r="AJ143" s="81">
        <f>_xlfn.IFNA(INDEX(Ricarichi[],MATCH(YEAR(RigheOfferte[[#This Row],[data]])&amp;RigheOfferte[[#This Row],[Quadrimestre]],QuCostiLav,0),MATCH(RigheOfferte[[#This Row],[Lavorazione]],CodLavorazioni,0)),0)</f>
        <v>0</v>
      </c>
      <c r="AK143" s="80">
        <f>RigheOfferte[[#This Row],[totale costi]]+(RigheOfferte[[#This Row],[totale costi]]*RigheOfferte[[#This Row],[Ricarico]])</f>
        <v>0</v>
      </c>
      <c r="AL143" s="71">
        <f>RigheOfferte[[#This Row],[Prezzo Di Vendita]]*RigheOfferte[[#This Row],[Q.ta'']]</f>
        <v>0</v>
      </c>
      <c r="AM143" s="71">
        <f>IFERROR(RigheOfferte[[#This Row],[Prezzo Di Vendita]]/RigheOfferte[[#This Row],[Superf.pz Mq]],0)</f>
        <v>0</v>
      </c>
    </row>
    <row r="144" spans="1:39" ht="14.4">
      <c r="A144" s="69" t="str">
        <f>IF(LEN('riepilogo prezzi'!$D144&amp;'riepilogo prezzi'!$E144)&gt;0,'riepilogo prezzi'!$D144&amp;"-"&amp;'riepilogo prezzi'!$E144,"")</f>
        <v/>
      </c>
      <c r="B144" s="70" t="str">
        <f>IF(LEN(MONTH(RigheOfferte[[#This Row],[data]]))=1,0&amp;MONTH(RigheOfferte[[#This Row],[data]]),MONTH(RigheOfferte[[#This Row],[data]]))</f>
        <v>01</v>
      </c>
      <c r="C144" s="70" t="str">
        <f>IF(MONTH(RigheOfferte[[#This Row],[data]])&gt;8,"03",IF(MONTH(RigheOfferte[[#This Row],[data]])&gt;4,"02","01"))</f>
        <v>01</v>
      </c>
      <c r="D144" s="71"/>
      <c r="E144" s="71"/>
      <c r="F144" s="83"/>
      <c r="G144" s="71"/>
      <c r="H144" s="71"/>
      <c r="I144" s="71"/>
      <c r="J144" s="22"/>
      <c r="K144" s="72"/>
      <c r="L144" s="71"/>
      <c r="M144" s="71"/>
      <c r="N144" s="71" t="str">
        <f>_xlfn.IFNA(VLOOKUP(RigheOfferte[[#This Row],[Lavorazione]],DescLavorazioni[],2,FALSE),"")</f>
        <v/>
      </c>
      <c r="O144" s="71"/>
      <c r="P144" s="73">
        <f>_xlfn.IFNA(VLOOKUP(RigheOfferte[[#This Row],[Cod Vel]],VeloCatena[],3,FALSE),0)</f>
        <v>0</v>
      </c>
      <c r="Q144" s="71"/>
      <c r="R144" s="71"/>
      <c r="S144" s="71"/>
      <c r="T144" s="71"/>
      <c r="U144" s="71"/>
      <c r="V144" s="74">
        <f>IF(RigheOfferte[[#This Row],[Velocità]]&gt;0,60*RigheOfferte[[#This Row],[Velocità]]/RigheOfferte[[#This Row],[passo]]*RigheOfferte[[#This Row],[nr.pezzi Telaio]],0)</f>
        <v>0</v>
      </c>
      <c r="W144" s="74"/>
      <c r="X144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4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4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4" s="76"/>
      <c r="AB144" s="71"/>
      <c r="AC144" s="74">
        <f>RigheOfferte[[#This Row],[Superf.pz Mq]]*Resa*RigheOfferte[[#This Row],[MP (€kg)]]</f>
        <v>0</v>
      </c>
      <c r="AD144" s="77"/>
      <c r="AE144" s="77"/>
      <c r="AF144" s="55">
        <f>_xlfn.IFNA(VLOOKUP(RigheOfferte[[#This Row],[Tipo Protezione]],Protezioni[],2,FALSE),0)</f>
        <v>0</v>
      </c>
      <c r="AG144" s="79"/>
      <c r="AH144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4" s="71">
        <f>RigheOfferte[[#This Row],[altri costi]]+RigheOfferte[[#This Row],[costo industriale pz]]</f>
        <v>0</v>
      </c>
      <c r="AJ144" s="81">
        <f>_xlfn.IFNA(INDEX(Ricarichi[],MATCH(YEAR(RigheOfferte[[#This Row],[data]])&amp;RigheOfferte[[#This Row],[Quadrimestre]],QuCostiLav,0),MATCH(RigheOfferte[[#This Row],[Lavorazione]],CodLavorazioni,0)),0)</f>
        <v>0</v>
      </c>
      <c r="AK144" s="80">
        <f>RigheOfferte[[#This Row],[totale costi]]+(RigheOfferte[[#This Row],[totale costi]]*RigheOfferte[[#This Row],[Ricarico]])</f>
        <v>0</v>
      </c>
      <c r="AL144" s="71">
        <f>RigheOfferte[[#This Row],[Prezzo Di Vendita]]*RigheOfferte[[#This Row],[Q.ta'']]</f>
        <v>0</v>
      </c>
      <c r="AM144" s="71">
        <f>IFERROR(RigheOfferte[[#This Row],[Prezzo Di Vendita]]/RigheOfferte[[#This Row],[Superf.pz Mq]],0)</f>
        <v>0</v>
      </c>
    </row>
    <row r="145" spans="1:39" ht="14.4">
      <c r="A145" s="69" t="str">
        <f>IF(LEN('riepilogo prezzi'!$D145&amp;'riepilogo prezzi'!$E145)&gt;0,'riepilogo prezzi'!$D145&amp;"-"&amp;'riepilogo prezzi'!$E145,"")</f>
        <v/>
      </c>
      <c r="B145" s="70" t="str">
        <f>IF(LEN(MONTH(RigheOfferte[[#This Row],[data]]))=1,0&amp;MONTH(RigheOfferte[[#This Row],[data]]),MONTH(RigheOfferte[[#This Row],[data]]))</f>
        <v>01</v>
      </c>
      <c r="C145" s="70" t="str">
        <f>IF(MONTH(RigheOfferte[[#This Row],[data]])&gt;8,"03",IF(MONTH(RigheOfferte[[#This Row],[data]])&gt;4,"02","01"))</f>
        <v>01</v>
      </c>
      <c r="D145" s="71"/>
      <c r="E145" s="71"/>
      <c r="F145" s="83"/>
      <c r="G145" s="71"/>
      <c r="H145" s="71"/>
      <c r="I145" s="71"/>
      <c r="J145" s="22"/>
      <c r="K145" s="72"/>
      <c r="L145" s="71"/>
      <c r="M145" s="71"/>
      <c r="N145" s="71" t="str">
        <f>_xlfn.IFNA(VLOOKUP(RigheOfferte[[#This Row],[Lavorazione]],DescLavorazioni[],2,FALSE),"")</f>
        <v/>
      </c>
      <c r="O145" s="71"/>
      <c r="P145" s="73">
        <f>_xlfn.IFNA(VLOOKUP(RigheOfferte[[#This Row],[Cod Vel]],VeloCatena[],3,FALSE),0)</f>
        <v>0</v>
      </c>
      <c r="Q145" s="71"/>
      <c r="R145" s="71"/>
      <c r="S145" s="71"/>
      <c r="T145" s="71"/>
      <c r="U145" s="71"/>
      <c r="V145" s="74">
        <f>IF(RigheOfferte[[#This Row],[Velocità]]&gt;0,60*RigheOfferte[[#This Row],[Velocità]]/RigheOfferte[[#This Row],[passo]]*RigheOfferte[[#This Row],[nr.pezzi Telaio]],0)</f>
        <v>0</v>
      </c>
      <c r="W145" s="74"/>
      <c r="X14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5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5" s="76"/>
      <c r="AB145" s="71"/>
      <c r="AC145" s="74">
        <f>RigheOfferte[[#This Row],[Superf.pz Mq]]*Resa*RigheOfferte[[#This Row],[MP (€kg)]]</f>
        <v>0</v>
      </c>
      <c r="AD145" s="77"/>
      <c r="AE145" s="77"/>
      <c r="AF145" s="55">
        <f>_xlfn.IFNA(VLOOKUP(RigheOfferte[[#This Row],[Tipo Protezione]],Protezioni[],2,FALSE),0)</f>
        <v>0</v>
      </c>
      <c r="AG145" s="79"/>
      <c r="AH14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5" s="71">
        <f>RigheOfferte[[#This Row],[altri costi]]+RigheOfferte[[#This Row],[costo industriale pz]]</f>
        <v>0</v>
      </c>
      <c r="AJ145" s="81">
        <f>_xlfn.IFNA(INDEX(Ricarichi[],MATCH(YEAR(RigheOfferte[[#This Row],[data]])&amp;RigheOfferte[[#This Row],[Quadrimestre]],QuCostiLav,0),MATCH(RigheOfferte[[#This Row],[Lavorazione]],CodLavorazioni,0)),0)</f>
        <v>0</v>
      </c>
      <c r="AK145" s="80">
        <f>RigheOfferte[[#This Row],[totale costi]]+(RigheOfferte[[#This Row],[totale costi]]*RigheOfferte[[#This Row],[Ricarico]])</f>
        <v>0</v>
      </c>
      <c r="AL145" s="71">
        <f>RigheOfferte[[#This Row],[Prezzo Di Vendita]]*RigheOfferte[[#This Row],[Q.ta'']]</f>
        <v>0</v>
      </c>
      <c r="AM145" s="71">
        <f>IFERROR(RigheOfferte[[#This Row],[Prezzo Di Vendita]]/RigheOfferte[[#This Row],[Superf.pz Mq]],0)</f>
        <v>0</v>
      </c>
    </row>
    <row r="146" spans="1:39" ht="14.4">
      <c r="A146" s="69" t="str">
        <f>IF(LEN('riepilogo prezzi'!$D146&amp;'riepilogo prezzi'!$E146)&gt;0,'riepilogo prezzi'!$D146&amp;"-"&amp;'riepilogo prezzi'!$E146,"")</f>
        <v/>
      </c>
      <c r="B146" s="70" t="str">
        <f>IF(LEN(MONTH(RigheOfferte[[#This Row],[data]]))=1,0&amp;MONTH(RigheOfferte[[#This Row],[data]]),MONTH(RigheOfferte[[#This Row],[data]]))</f>
        <v>01</v>
      </c>
      <c r="C146" s="70" t="str">
        <f>IF(MONTH(RigheOfferte[[#This Row],[data]])&gt;8,"03",IF(MONTH(RigheOfferte[[#This Row],[data]])&gt;4,"02","01"))</f>
        <v>01</v>
      </c>
      <c r="D146" s="71"/>
      <c r="E146" s="71"/>
      <c r="F146" s="83"/>
      <c r="G146" s="71"/>
      <c r="H146" s="71"/>
      <c r="I146" s="71"/>
      <c r="J146" s="22"/>
      <c r="K146" s="72"/>
      <c r="L146" s="71"/>
      <c r="M146" s="71"/>
      <c r="N146" s="71" t="str">
        <f>_xlfn.IFNA(VLOOKUP(RigheOfferte[[#This Row],[Lavorazione]],DescLavorazioni[],2,FALSE),"")</f>
        <v/>
      </c>
      <c r="O146" s="71"/>
      <c r="P146" s="73">
        <f>_xlfn.IFNA(VLOOKUP(RigheOfferte[[#This Row],[Cod Vel]],VeloCatena[],3,FALSE),0)</f>
        <v>0</v>
      </c>
      <c r="Q146" s="71"/>
      <c r="R146" s="71"/>
      <c r="S146" s="71"/>
      <c r="T146" s="71"/>
      <c r="U146" s="71"/>
      <c r="V146" s="74">
        <f>IF(RigheOfferte[[#This Row],[Velocità]]&gt;0,60*RigheOfferte[[#This Row],[Velocità]]/RigheOfferte[[#This Row],[passo]]*RigheOfferte[[#This Row],[nr.pezzi Telaio]],0)</f>
        <v>0</v>
      </c>
      <c r="W146" s="74"/>
      <c r="X14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6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6" s="76"/>
      <c r="AB146" s="71"/>
      <c r="AC146" s="74">
        <f>RigheOfferte[[#This Row],[Superf.pz Mq]]*Resa*RigheOfferte[[#This Row],[MP (€kg)]]</f>
        <v>0</v>
      </c>
      <c r="AD146" s="77"/>
      <c r="AE146" s="77"/>
      <c r="AF146" s="55">
        <f>_xlfn.IFNA(VLOOKUP(RigheOfferte[[#This Row],[Tipo Protezione]],Protezioni[],2,FALSE),0)</f>
        <v>0</v>
      </c>
      <c r="AG146" s="79"/>
      <c r="AH14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6" s="71">
        <f>RigheOfferte[[#This Row],[altri costi]]+RigheOfferte[[#This Row],[costo industriale pz]]</f>
        <v>0</v>
      </c>
      <c r="AJ146" s="81">
        <f>_xlfn.IFNA(INDEX(Ricarichi[],MATCH(YEAR(RigheOfferte[[#This Row],[data]])&amp;RigheOfferte[[#This Row],[Quadrimestre]],QuCostiLav,0),MATCH(RigheOfferte[[#This Row],[Lavorazione]],CodLavorazioni,0)),0)</f>
        <v>0</v>
      </c>
      <c r="AK146" s="80">
        <f>RigheOfferte[[#This Row],[totale costi]]+(RigheOfferte[[#This Row],[totale costi]]*RigheOfferte[[#This Row],[Ricarico]])</f>
        <v>0</v>
      </c>
      <c r="AL146" s="71">
        <f>RigheOfferte[[#This Row],[Prezzo Di Vendita]]*RigheOfferte[[#This Row],[Q.ta'']]</f>
        <v>0</v>
      </c>
      <c r="AM146" s="71">
        <f>IFERROR(RigheOfferte[[#This Row],[Prezzo Di Vendita]]/RigheOfferte[[#This Row],[Superf.pz Mq]],0)</f>
        <v>0</v>
      </c>
    </row>
    <row r="147" spans="1:39" ht="14.4">
      <c r="A147" s="69" t="str">
        <f>IF(LEN('riepilogo prezzi'!$D147&amp;'riepilogo prezzi'!$E147)&gt;0,'riepilogo prezzi'!$D147&amp;"-"&amp;'riepilogo prezzi'!$E147,"")</f>
        <v/>
      </c>
      <c r="B147" s="70" t="str">
        <f>IF(LEN(MONTH(RigheOfferte[[#This Row],[data]]))=1,0&amp;MONTH(RigheOfferte[[#This Row],[data]]),MONTH(RigheOfferte[[#This Row],[data]]))</f>
        <v>01</v>
      </c>
      <c r="C147" s="70" t="str">
        <f>IF(MONTH(RigheOfferte[[#This Row],[data]])&gt;8,"03",IF(MONTH(RigheOfferte[[#This Row],[data]])&gt;4,"02","01"))</f>
        <v>01</v>
      </c>
      <c r="D147" s="71"/>
      <c r="E147" s="71"/>
      <c r="F147" s="83"/>
      <c r="G147" s="71"/>
      <c r="H147" s="71"/>
      <c r="I147" s="71"/>
      <c r="J147" s="82"/>
      <c r="K147" s="72"/>
      <c r="L147" s="71"/>
      <c r="M147" s="71"/>
      <c r="N147" s="71" t="str">
        <f>_xlfn.IFNA(VLOOKUP(RigheOfferte[[#This Row],[Lavorazione]],DescLavorazioni[],2,FALSE),"")</f>
        <v/>
      </c>
      <c r="O147" s="71"/>
      <c r="P147" s="73">
        <f>_xlfn.IFNA(VLOOKUP(RigheOfferte[[#This Row],[Cod Vel]],VeloCatena[],3,FALSE),0)</f>
        <v>0</v>
      </c>
      <c r="Q147" s="71"/>
      <c r="R147" s="71"/>
      <c r="S147" s="71"/>
      <c r="T147" s="71"/>
      <c r="U147" s="71"/>
      <c r="V147" s="74">
        <f>IF(RigheOfferte[[#This Row],[Velocità]]&gt;0,60*RigheOfferte[[#This Row],[Velocità]]/RigheOfferte[[#This Row],[passo]]*RigheOfferte[[#This Row],[nr.pezzi Telaio]],0)</f>
        <v>0</v>
      </c>
      <c r="W147" s="74"/>
      <c r="X14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7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7" s="76"/>
      <c r="AB147" s="71"/>
      <c r="AC147" s="74">
        <f>RigheOfferte[[#This Row],[Superf.pz Mq]]*Resa*RigheOfferte[[#This Row],[MP (€kg)]]</f>
        <v>0</v>
      </c>
      <c r="AD147" s="77"/>
      <c r="AE147" s="77"/>
      <c r="AF147" s="55">
        <f>_xlfn.IFNA(VLOOKUP(RigheOfferte[[#This Row],[Tipo Protezione]],Protezioni[],2,FALSE),0)</f>
        <v>0</v>
      </c>
      <c r="AG147" s="79"/>
      <c r="AH14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7" s="71">
        <f>RigheOfferte[[#This Row],[altri costi]]+RigheOfferte[[#This Row],[costo industriale pz]]</f>
        <v>0</v>
      </c>
      <c r="AJ147" s="81">
        <f>_xlfn.IFNA(INDEX(Ricarichi[],MATCH(YEAR(RigheOfferte[[#This Row],[data]])&amp;RigheOfferte[[#This Row],[Quadrimestre]],QuCostiLav,0),MATCH(RigheOfferte[[#This Row],[Lavorazione]],CodLavorazioni,0)),0)</f>
        <v>0</v>
      </c>
      <c r="AK147" s="80">
        <f>RigheOfferte[[#This Row],[totale costi]]+(RigheOfferte[[#This Row],[totale costi]]*RigheOfferte[[#This Row],[Ricarico]])</f>
        <v>0</v>
      </c>
      <c r="AL147" s="71">
        <f>RigheOfferte[[#This Row],[Prezzo Di Vendita]]*RigheOfferte[[#This Row],[Q.ta'']]</f>
        <v>0</v>
      </c>
      <c r="AM147" s="71">
        <f>IFERROR(RigheOfferte[[#This Row],[Prezzo Di Vendita]]/RigheOfferte[[#This Row],[Superf.pz Mq]],0)</f>
        <v>0</v>
      </c>
    </row>
    <row r="148" spans="1:39" ht="14.4">
      <c r="A148" s="69" t="str">
        <f>IF(LEN('riepilogo prezzi'!$D148&amp;'riepilogo prezzi'!$E148)&gt;0,'riepilogo prezzi'!$D148&amp;"-"&amp;'riepilogo prezzi'!$E148,"")</f>
        <v/>
      </c>
      <c r="B148" s="70" t="str">
        <f>IF(LEN(MONTH(RigheOfferte[[#This Row],[data]]))=1,0&amp;MONTH(RigheOfferte[[#This Row],[data]]),MONTH(RigheOfferte[[#This Row],[data]]))</f>
        <v>01</v>
      </c>
      <c r="C148" s="70" t="str">
        <f>IF(MONTH(RigheOfferte[[#This Row],[data]])&gt;8,"03",IF(MONTH(RigheOfferte[[#This Row],[data]])&gt;4,"02","01"))</f>
        <v>01</v>
      </c>
      <c r="D148" s="71"/>
      <c r="E148" s="71"/>
      <c r="F148" s="83"/>
      <c r="G148" s="71"/>
      <c r="H148" s="71"/>
      <c r="I148" s="71"/>
      <c r="J148" s="82"/>
      <c r="K148" s="72"/>
      <c r="L148" s="71"/>
      <c r="M148" s="71"/>
      <c r="N148" s="71" t="str">
        <f>_xlfn.IFNA(VLOOKUP(RigheOfferte[[#This Row],[Lavorazione]],DescLavorazioni[],2,FALSE),"")</f>
        <v/>
      </c>
      <c r="O148" s="71"/>
      <c r="P148" s="73">
        <f>_xlfn.IFNA(VLOOKUP(RigheOfferte[[#This Row],[Cod Vel]],VeloCatena[],3,FALSE),0)</f>
        <v>0</v>
      </c>
      <c r="Q148" s="71"/>
      <c r="R148" s="71"/>
      <c r="S148" s="71"/>
      <c r="T148" s="71"/>
      <c r="U148" s="71"/>
      <c r="V148" s="74">
        <f>IF(RigheOfferte[[#This Row],[Velocità]]&gt;0,60*RigheOfferte[[#This Row],[Velocità]]/RigheOfferte[[#This Row],[passo]]*RigheOfferte[[#This Row],[nr.pezzi Telaio]],0)</f>
        <v>0</v>
      </c>
      <c r="W148" s="74"/>
      <c r="X14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8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8" s="76"/>
      <c r="AB148" s="71"/>
      <c r="AC148" s="74">
        <f>RigheOfferte[[#This Row],[Superf.pz Mq]]*Resa*RigheOfferte[[#This Row],[MP (€kg)]]</f>
        <v>0</v>
      </c>
      <c r="AD148" s="77"/>
      <c r="AE148" s="77"/>
      <c r="AF148" s="55">
        <f>_xlfn.IFNA(VLOOKUP(RigheOfferte[[#This Row],[Tipo Protezione]],Protezioni[],2,FALSE),0)</f>
        <v>0</v>
      </c>
      <c r="AG148" s="79"/>
      <c r="AH14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8" s="71">
        <f>RigheOfferte[[#This Row],[altri costi]]+RigheOfferte[[#This Row],[costo industriale pz]]</f>
        <v>0</v>
      </c>
      <c r="AJ148" s="81">
        <f>_xlfn.IFNA(INDEX(Ricarichi[],MATCH(YEAR(RigheOfferte[[#This Row],[data]])&amp;RigheOfferte[[#This Row],[Quadrimestre]],QuCostiLav,0),MATCH(RigheOfferte[[#This Row],[Lavorazione]],CodLavorazioni,0)),0)</f>
        <v>0</v>
      </c>
      <c r="AK148" s="80">
        <f>RigheOfferte[[#This Row],[totale costi]]+(RigheOfferte[[#This Row],[totale costi]]*RigheOfferte[[#This Row],[Ricarico]])</f>
        <v>0</v>
      </c>
      <c r="AL148" s="71">
        <f>RigheOfferte[[#This Row],[Prezzo Di Vendita]]*RigheOfferte[[#This Row],[Q.ta'']]</f>
        <v>0</v>
      </c>
      <c r="AM148" s="71">
        <f>IFERROR(RigheOfferte[[#This Row],[Prezzo Di Vendita]]/RigheOfferte[[#This Row],[Superf.pz Mq]],0)</f>
        <v>0</v>
      </c>
    </row>
    <row r="149" spans="1:39" ht="14.4">
      <c r="A149" s="69" t="str">
        <f>IF(LEN('riepilogo prezzi'!$D149&amp;'riepilogo prezzi'!$E149)&gt;0,'riepilogo prezzi'!$D149&amp;"-"&amp;'riepilogo prezzi'!$E149,"")</f>
        <v/>
      </c>
      <c r="B149" s="70" t="str">
        <f>IF(LEN(MONTH(RigheOfferte[[#This Row],[data]]))=1,0&amp;MONTH(RigheOfferte[[#This Row],[data]]),MONTH(RigheOfferte[[#This Row],[data]]))</f>
        <v>01</v>
      </c>
      <c r="C149" s="70" t="str">
        <f>IF(MONTH(RigheOfferte[[#This Row],[data]])&gt;8,"03",IF(MONTH(RigheOfferte[[#This Row],[data]])&gt;4,"02","01"))</f>
        <v>01</v>
      </c>
      <c r="D149" s="71"/>
      <c r="E149" s="71"/>
      <c r="F149" s="83"/>
      <c r="G149" s="71"/>
      <c r="H149" s="71"/>
      <c r="I149" s="71"/>
      <c r="J149" s="82"/>
      <c r="K149" s="72"/>
      <c r="L149" s="71"/>
      <c r="M149" s="71"/>
      <c r="N149" s="71" t="str">
        <f>_xlfn.IFNA(VLOOKUP(RigheOfferte[[#This Row],[Lavorazione]],DescLavorazioni[],2,FALSE),"")</f>
        <v/>
      </c>
      <c r="O149" s="71"/>
      <c r="P149" s="73">
        <f>_xlfn.IFNA(VLOOKUP(RigheOfferte[[#This Row],[Cod Vel]],VeloCatena[],3,FALSE),0)</f>
        <v>0</v>
      </c>
      <c r="Q149" s="71"/>
      <c r="R149" s="71"/>
      <c r="S149" s="71"/>
      <c r="T149" s="71"/>
      <c r="U149" s="71"/>
      <c r="V149" s="74">
        <f>IF(RigheOfferte[[#This Row],[Velocità]]&gt;0,60*RigheOfferte[[#This Row],[Velocità]]/RigheOfferte[[#This Row],[passo]]*RigheOfferte[[#This Row],[nr.pezzi Telaio]],0)</f>
        <v>0</v>
      </c>
      <c r="W149" s="74"/>
      <c r="X14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4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49" s="74">
        <f>_xlfn.IFNA(INDEX(RiepilogoCostiOrari[],MATCH(YEAR(RigheOfferte[[#This Row],[data]])&amp;RigheOfferte[[#This Row],[Quadrimestre]],QuCostiLav,0),MATCH(RigheOfferte[[#This Row],[Lavorazione]],CodLavorazioni,0)),0)</f>
        <v>0</v>
      </c>
      <c r="AA149" s="76"/>
      <c r="AB149" s="71"/>
      <c r="AC149" s="74">
        <f>RigheOfferte[[#This Row],[Superf.pz Mq]]*Resa*RigheOfferte[[#This Row],[MP (€kg)]]</f>
        <v>0</v>
      </c>
      <c r="AD149" s="77"/>
      <c r="AE149" s="77"/>
      <c r="AF149" s="55">
        <f>_xlfn.IFNA(VLOOKUP(RigheOfferte[[#This Row],[Tipo Protezione]],Protezioni[],2,FALSE),0)</f>
        <v>0</v>
      </c>
      <c r="AG149" s="79"/>
      <c r="AH14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49" s="71">
        <f>RigheOfferte[[#This Row],[altri costi]]+RigheOfferte[[#This Row],[costo industriale pz]]</f>
        <v>0</v>
      </c>
      <c r="AJ149" s="81">
        <f>_xlfn.IFNA(INDEX(Ricarichi[],MATCH(YEAR(RigheOfferte[[#This Row],[data]])&amp;RigheOfferte[[#This Row],[Quadrimestre]],QuCostiLav,0),MATCH(RigheOfferte[[#This Row],[Lavorazione]],CodLavorazioni,0)),0)</f>
        <v>0</v>
      </c>
      <c r="AK149" s="80">
        <f>RigheOfferte[[#This Row],[totale costi]]+(RigheOfferte[[#This Row],[totale costi]]*RigheOfferte[[#This Row],[Ricarico]])</f>
        <v>0</v>
      </c>
      <c r="AL149" s="71">
        <f>RigheOfferte[[#This Row],[Prezzo Di Vendita]]*RigheOfferte[[#This Row],[Q.ta'']]</f>
        <v>0</v>
      </c>
      <c r="AM149" s="71">
        <f>IFERROR(RigheOfferte[[#This Row],[Prezzo Di Vendita]]/RigheOfferte[[#This Row],[Superf.pz Mq]],0)</f>
        <v>0</v>
      </c>
    </row>
    <row r="150" spans="1:39" ht="14.4">
      <c r="A150" s="69" t="str">
        <f>IF(LEN('riepilogo prezzi'!$D150&amp;'riepilogo prezzi'!$E150)&gt;0,'riepilogo prezzi'!$D150&amp;"-"&amp;'riepilogo prezzi'!$E150,"")</f>
        <v/>
      </c>
      <c r="B150" s="70" t="str">
        <f>IF(LEN(MONTH(RigheOfferte[[#This Row],[data]]))=1,0&amp;MONTH(RigheOfferte[[#This Row],[data]]),MONTH(RigheOfferte[[#This Row],[data]]))</f>
        <v>01</v>
      </c>
      <c r="C150" s="70" t="str">
        <f>IF(MONTH(RigheOfferte[[#This Row],[data]])&gt;8,"03",IF(MONTH(RigheOfferte[[#This Row],[data]])&gt;4,"02","01"))</f>
        <v>01</v>
      </c>
      <c r="D150" s="71"/>
      <c r="E150" s="71"/>
      <c r="F150" s="83"/>
      <c r="G150" s="71"/>
      <c r="H150" s="71"/>
      <c r="I150" s="71"/>
      <c r="J150" s="82"/>
      <c r="K150" s="72"/>
      <c r="L150" s="71"/>
      <c r="M150" s="71"/>
      <c r="N150" s="71" t="str">
        <f>_xlfn.IFNA(VLOOKUP(RigheOfferte[[#This Row],[Lavorazione]],DescLavorazioni[],2,FALSE),"")</f>
        <v/>
      </c>
      <c r="O150" s="71"/>
      <c r="P150" s="73">
        <f>_xlfn.IFNA(VLOOKUP(RigheOfferte[[#This Row],[Cod Vel]],VeloCatena[],3,FALSE),0)</f>
        <v>0</v>
      </c>
      <c r="Q150" s="71"/>
      <c r="R150" s="71"/>
      <c r="S150" s="71"/>
      <c r="T150" s="71"/>
      <c r="U150" s="71"/>
      <c r="V150" s="74">
        <f>IF(RigheOfferte[[#This Row],[Velocità]]&gt;0,60*RigheOfferte[[#This Row],[Velocità]]/RigheOfferte[[#This Row],[passo]]*RigheOfferte[[#This Row],[nr.pezzi Telaio]],0)</f>
        <v>0</v>
      </c>
      <c r="W150" s="74"/>
      <c r="X150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0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50" s="74">
        <f>_xlfn.IFNA(INDEX(RiepilogoCostiOrari[],MATCH(YEAR(RigheOfferte[[#This Row],[data]])&amp;RigheOfferte[[#This Row],[Quadrimestre]],QuCostiLav,0),MATCH(RigheOfferte[[#This Row],[Lavorazione]],CodLavorazioni,0)),0)</f>
        <v>0</v>
      </c>
      <c r="AA150" s="76"/>
      <c r="AB150" s="71"/>
      <c r="AC150" s="74">
        <f>RigheOfferte[[#This Row],[Superf.pz Mq]]*Resa*RigheOfferte[[#This Row],[MP (€kg)]]</f>
        <v>0</v>
      </c>
      <c r="AD150" s="77"/>
      <c r="AE150" s="77"/>
      <c r="AF150" s="55">
        <f>_xlfn.IFNA(VLOOKUP(RigheOfferte[[#This Row],[Tipo Protezione]],Protezioni[],2,FALSE),0)</f>
        <v>0</v>
      </c>
      <c r="AG150" s="79"/>
      <c r="AH150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0" s="71">
        <f>RigheOfferte[[#This Row],[altri costi]]+RigheOfferte[[#This Row],[costo industriale pz]]</f>
        <v>0</v>
      </c>
      <c r="AJ150" s="81">
        <f>_xlfn.IFNA(INDEX(Ricarichi[],MATCH(YEAR(RigheOfferte[[#This Row],[data]])&amp;RigheOfferte[[#This Row],[Quadrimestre]],QuCostiLav,0),MATCH(RigheOfferte[[#This Row],[Lavorazione]],CodLavorazioni,0)),0)</f>
        <v>0</v>
      </c>
      <c r="AK150" s="80">
        <f>RigheOfferte[[#This Row],[totale costi]]+(RigheOfferte[[#This Row],[totale costi]]*RigheOfferte[[#This Row],[Ricarico]])</f>
        <v>0</v>
      </c>
      <c r="AL150" s="71">
        <f>RigheOfferte[[#This Row],[Prezzo Di Vendita]]*RigheOfferte[[#This Row],[Q.ta'']]</f>
        <v>0</v>
      </c>
      <c r="AM150" s="71">
        <f>IFERROR(RigheOfferte[[#This Row],[Prezzo Di Vendita]]/RigheOfferte[[#This Row],[Superf.pz Mq]],0)</f>
        <v>0</v>
      </c>
    </row>
    <row r="151" spans="1:39" ht="14.4">
      <c r="A151" s="60" t="str">
        <f>IF(LEN('riepilogo prezzi'!$D151&amp;'riepilogo prezzi'!$E151)&gt;0,'riepilogo prezzi'!$D151&amp;"-"&amp;'riepilogo prezzi'!$E151,"")</f>
        <v/>
      </c>
      <c r="B151" s="19" t="str">
        <f>IF(LEN(MONTH(RigheOfferte[[#This Row],[data]]))=1,0&amp;MONTH(RigheOfferte[[#This Row],[data]]),MONTH(RigheOfferte[[#This Row],[data]]))</f>
        <v>01</v>
      </c>
      <c r="C151" s="19" t="str">
        <f>IF(MONTH(RigheOfferte[[#This Row],[data]])&gt;8,"03",IF(MONTH(RigheOfferte[[#This Row],[data]])&gt;4,"02","01"))</f>
        <v>01</v>
      </c>
      <c r="D151" s="20"/>
      <c r="E151" s="20"/>
      <c r="F151" s="61"/>
      <c r="G151" s="20"/>
      <c r="H151" s="60"/>
      <c r="I151" s="71"/>
      <c r="J151" s="22"/>
      <c r="K151" s="72"/>
      <c r="L151" s="71"/>
      <c r="M151" s="71"/>
      <c r="N151" s="20" t="str">
        <f>_xlfn.IFNA(VLOOKUP(RigheOfferte[[#This Row],[Lavorazione]],DescLavorazioni[],2,FALSE),"")</f>
        <v/>
      </c>
      <c r="O151" s="71"/>
      <c r="P151" s="63">
        <f>_xlfn.IFNA(VLOOKUP(RigheOfferte[[#This Row],[Cod Vel]],VeloCatena[],3,FALSE),0)</f>
        <v>0</v>
      </c>
      <c r="Q151" s="20"/>
      <c r="R151" s="71"/>
      <c r="S151" s="20"/>
      <c r="T151" s="20"/>
      <c r="U151" s="20"/>
      <c r="V151" s="23">
        <f>IF(RigheOfferte[[#This Row],[Velocità]]&gt;0,60*RigheOfferte[[#This Row],[Velocità]]/RigheOfferte[[#This Row],[passo]]*RigheOfferte[[#This Row],[nr.pezzi Telaio]],0)</f>
        <v>0</v>
      </c>
      <c r="W151" s="23"/>
      <c r="X151" s="64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1" s="23">
        <f>IFERROR(IF(OR(RigheOfferte[[#This Row],[Lavorazione]]="L1",RigheOfferte[[#This Row],[Lavorazione]]="L2",RigheOfferte[[#This Row],[Lavorazione]]="L3"),VLOOKUP(RigheOfferte[[#This Row],[lotto]],Lotti[],2,FALSE),0),0)</f>
        <v>0</v>
      </c>
      <c r="Z151" s="23">
        <f>_xlfn.IFNA(INDEX(RiepilogoCostiOrari[],MATCH(YEAR(RigheOfferte[[#This Row],[data]])&amp;RigheOfferte[[#This Row],[Quadrimestre]],QuCostiLav,0),MATCH(RigheOfferte[[#This Row],[Lavorazione]],CodLavorazioni,0)),0)</f>
        <v>0</v>
      </c>
      <c r="AA151" s="76"/>
      <c r="AB151" s="20"/>
      <c r="AC151" s="23">
        <f>RigheOfferte[[#This Row],[Superf.pz Mq]]*Resa*RigheOfferte[[#This Row],[MP (€kg)]]</f>
        <v>0</v>
      </c>
      <c r="AD151" s="25"/>
      <c r="AE151" s="25"/>
      <c r="AF151" s="55">
        <f>_xlfn.IFNA(VLOOKUP(RigheOfferte[[#This Row],[Tipo Protezione]],Protezioni[],2,FALSE),0)</f>
        <v>0</v>
      </c>
      <c r="AG151" s="27"/>
      <c r="AH151" s="66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1" s="20">
        <f>RigheOfferte[[#This Row],[altri costi]]+RigheOfferte[[#This Row],[costo industriale pz]]</f>
        <v>0</v>
      </c>
      <c r="AJ151" s="28">
        <f>_xlfn.IFNA(INDEX(Ricarichi[],MATCH(YEAR(RigheOfferte[[#This Row],[data]])&amp;RigheOfferte[[#This Row],[Quadrimestre]],QuCostiLav,0),MATCH(RigheOfferte[[#This Row],[Lavorazione]],CodLavorazioni,0)),0)</f>
        <v>0</v>
      </c>
      <c r="AK151" s="66">
        <f>RigheOfferte[[#This Row],[totale costi]]+(RigheOfferte[[#This Row],[totale costi]]*RigheOfferte[[#This Row],[Ricarico]])</f>
        <v>0</v>
      </c>
      <c r="AL151" s="20">
        <f>RigheOfferte[[#This Row],[Prezzo Di Vendita]]*RigheOfferte[[#This Row],[Q.ta'']]</f>
        <v>0</v>
      </c>
      <c r="AM151" s="20">
        <f>IFERROR(RigheOfferte[[#This Row],[Prezzo Di Vendita]]/RigheOfferte[[#This Row],[Superf.pz Mq]],0)</f>
        <v>0</v>
      </c>
    </row>
    <row r="152" spans="1:39" ht="14.4">
      <c r="A152" s="60" t="str">
        <f>IF(LEN('riepilogo prezzi'!$D152&amp;'riepilogo prezzi'!$E152)&gt;0,'riepilogo prezzi'!$D152&amp;"-"&amp;'riepilogo prezzi'!$E152,"")</f>
        <v/>
      </c>
      <c r="B152" s="19" t="str">
        <f>IF(LEN(MONTH(RigheOfferte[[#This Row],[data]]))=1,0&amp;MONTH(RigheOfferte[[#This Row],[data]]),MONTH(RigheOfferte[[#This Row],[data]]))</f>
        <v>01</v>
      </c>
      <c r="C152" s="19" t="str">
        <f>IF(MONTH(RigheOfferte[[#This Row],[data]])&gt;8,"03",IF(MONTH(RigheOfferte[[#This Row],[data]])&gt;4,"02","01"))</f>
        <v>01</v>
      </c>
      <c r="D152" s="20"/>
      <c r="E152" s="20"/>
      <c r="F152" s="61"/>
      <c r="G152" s="20"/>
      <c r="H152" s="60"/>
      <c r="I152" s="71"/>
      <c r="J152" s="22"/>
      <c r="K152" s="72"/>
      <c r="L152" s="71"/>
      <c r="M152" s="71"/>
      <c r="N152" s="20" t="str">
        <f>_xlfn.IFNA(VLOOKUP(RigheOfferte[[#This Row],[Lavorazione]],DescLavorazioni[],2,FALSE),"")</f>
        <v/>
      </c>
      <c r="O152" s="71"/>
      <c r="P152" s="63">
        <f>_xlfn.IFNA(VLOOKUP(RigheOfferte[[#This Row],[Cod Vel]],VeloCatena[],3,FALSE),0)</f>
        <v>0</v>
      </c>
      <c r="Q152" s="20"/>
      <c r="R152" s="71"/>
      <c r="S152" s="20"/>
      <c r="T152" s="20"/>
      <c r="U152" s="20"/>
      <c r="V152" s="23">
        <f>IF(RigheOfferte[[#This Row],[Velocità]]&gt;0,60*RigheOfferte[[#This Row],[Velocità]]/RigheOfferte[[#This Row],[passo]]*RigheOfferte[[#This Row],[nr.pezzi Telaio]],0)</f>
        <v>0</v>
      </c>
      <c r="W152" s="23"/>
      <c r="X152" s="64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2" s="23">
        <f>IFERROR(IF(OR(RigheOfferte[[#This Row],[Lavorazione]]="L1",RigheOfferte[[#This Row],[Lavorazione]]="L2",RigheOfferte[[#This Row],[Lavorazione]]="L3"),VLOOKUP(RigheOfferte[[#This Row],[lotto]],Lotti[],2,FALSE),0),0)</f>
        <v>0</v>
      </c>
      <c r="Z152" s="23">
        <f>_xlfn.IFNA(INDEX(RiepilogoCostiOrari[],MATCH(YEAR(RigheOfferte[[#This Row],[data]])&amp;RigheOfferte[[#This Row],[Quadrimestre]],QuCostiLav,0),MATCH(RigheOfferte[[#This Row],[Lavorazione]],CodLavorazioni,0)),0)</f>
        <v>0</v>
      </c>
      <c r="AA152" s="76"/>
      <c r="AB152" s="20"/>
      <c r="AC152" s="23">
        <f>RigheOfferte[[#This Row],[Superf.pz Mq]]*Resa*RigheOfferte[[#This Row],[MP (€kg)]]</f>
        <v>0</v>
      </c>
      <c r="AD152" s="25"/>
      <c r="AE152" s="25"/>
      <c r="AF152" s="55">
        <f>_xlfn.IFNA(VLOOKUP(RigheOfferte[[#This Row],[Tipo Protezione]],Protezioni[],2,FALSE),0)</f>
        <v>0</v>
      </c>
      <c r="AG152" s="27"/>
      <c r="AH152" s="66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2" s="20">
        <f>RigheOfferte[[#This Row],[altri costi]]+RigheOfferte[[#This Row],[costo industriale pz]]</f>
        <v>0</v>
      </c>
      <c r="AJ152" s="28">
        <f>_xlfn.IFNA(INDEX(Ricarichi[],MATCH(YEAR(RigheOfferte[[#This Row],[data]])&amp;RigheOfferte[[#This Row],[Quadrimestre]],QuCostiLav,0),MATCH(RigheOfferte[[#This Row],[Lavorazione]],CodLavorazioni,0)),0)</f>
        <v>0</v>
      </c>
      <c r="AK152" s="66">
        <f>RigheOfferte[[#This Row],[totale costi]]+(RigheOfferte[[#This Row],[totale costi]]*RigheOfferte[[#This Row],[Ricarico]])</f>
        <v>0</v>
      </c>
      <c r="AL152" s="20">
        <f>RigheOfferte[[#This Row],[Prezzo Di Vendita]]*RigheOfferte[[#This Row],[Q.ta'']]</f>
        <v>0</v>
      </c>
      <c r="AM152" s="20">
        <f>IFERROR(RigheOfferte[[#This Row],[Prezzo Di Vendita]]/RigheOfferte[[#This Row],[Superf.pz Mq]],0)</f>
        <v>0</v>
      </c>
    </row>
    <row r="153" spans="1:39" ht="14.4">
      <c r="A153" s="60" t="str">
        <f>IF(LEN('riepilogo prezzi'!$D153&amp;'riepilogo prezzi'!$E153)&gt;0,'riepilogo prezzi'!$D153&amp;"-"&amp;'riepilogo prezzi'!$E153,"")</f>
        <v/>
      </c>
      <c r="B153" s="19" t="str">
        <f>IF(LEN(MONTH(RigheOfferte[[#This Row],[data]]))=1,0&amp;MONTH(RigheOfferte[[#This Row],[data]]),MONTH(RigheOfferte[[#This Row],[data]]))</f>
        <v>01</v>
      </c>
      <c r="C153" s="19" t="str">
        <f>IF(MONTH(RigheOfferte[[#This Row],[data]])&gt;8,"03",IF(MONTH(RigheOfferte[[#This Row],[data]])&gt;4,"02","01"))</f>
        <v>01</v>
      </c>
      <c r="D153" s="20"/>
      <c r="E153" s="20"/>
      <c r="F153" s="61"/>
      <c r="G153" s="20"/>
      <c r="H153" s="60"/>
      <c r="I153" s="71"/>
      <c r="J153" s="22"/>
      <c r="K153" s="72"/>
      <c r="L153" s="71"/>
      <c r="M153" s="71"/>
      <c r="N153" s="20" t="str">
        <f>_xlfn.IFNA(VLOOKUP(RigheOfferte[[#This Row],[Lavorazione]],DescLavorazioni[],2,FALSE),"")</f>
        <v/>
      </c>
      <c r="O153" s="71"/>
      <c r="P153" s="63">
        <f>_xlfn.IFNA(VLOOKUP(RigheOfferte[[#This Row],[Cod Vel]],VeloCatena[],3,FALSE),0)</f>
        <v>0</v>
      </c>
      <c r="Q153" s="20"/>
      <c r="R153" s="71"/>
      <c r="S153" s="20"/>
      <c r="T153" s="20"/>
      <c r="U153" s="20"/>
      <c r="V153" s="23">
        <f>IF(RigheOfferte[[#This Row],[Velocità]]&gt;0,60*RigheOfferte[[#This Row],[Velocità]]/RigheOfferte[[#This Row],[passo]]*RigheOfferte[[#This Row],[nr.pezzi Telaio]],0)</f>
        <v>0</v>
      </c>
      <c r="W153" s="23"/>
      <c r="X153" s="64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3" s="23">
        <f>IFERROR(IF(OR(RigheOfferte[[#This Row],[Lavorazione]]="L1",RigheOfferte[[#This Row],[Lavorazione]]="L2",RigheOfferte[[#This Row],[Lavorazione]]="L3"),VLOOKUP(RigheOfferte[[#This Row],[lotto]],Lotti[],2,FALSE),0),0)</f>
        <v>0</v>
      </c>
      <c r="Z153" s="23">
        <f>_xlfn.IFNA(INDEX(RiepilogoCostiOrari[],MATCH(YEAR(RigheOfferte[[#This Row],[data]])&amp;RigheOfferte[[#This Row],[Quadrimestre]],QuCostiLav,0),MATCH(RigheOfferte[[#This Row],[Lavorazione]],CodLavorazioni,0)),0)</f>
        <v>0</v>
      </c>
      <c r="AA153" s="76"/>
      <c r="AB153" s="20"/>
      <c r="AC153" s="23">
        <f>RigheOfferte[[#This Row],[Superf.pz Mq]]*Resa*RigheOfferte[[#This Row],[MP (€kg)]]</f>
        <v>0</v>
      </c>
      <c r="AD153" s="25"/>
      <c r="AE153" s="25"/>
      <c r="AF153" s="55">
        <f>_xlfn.IFNA(VLOOKUP(RigheOfferte[[#This Row],[Tipo Protezione]],Protezioni[],2,FALSE),0)</f>
        <v>0</v>
      </c>
      <c r="AG153" s="27"/>
      <c r="AH153" s="66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3" s="20">
        <f>RigheOfferte[[#This Row],[altri costi]]+RigheOfferte[[#This Row],[costo industriale pz]]</f>
        <v>0</v>
      </c>
      <c r="AJ153" s="28">
        <f>_xlfn.IFNA(INDEX(Ricarichi[],MATCH(YEAR(RigheOfferte[[#This Row],[data]])&amp;RigheOfferte[[#This Row],[Quadrimestre]],QuCostiLav,0),MATCH(RigheOfferte[[#This Row],[Lavorazione]],CodLavorazioni,0)),0)</f>
        <v>0</v>
      </c>
      <c r="AK153" s="66">
        <f>RigheOfferte[[#This Row],[totale costi]]+(RigheOfferte[[#This Row],[totale costi]]*RigheOfferte[[#This Row],[Ricarico]])</f>
        <v>0</v>
      </c>
      <c r="AL153" s="20">
        <f>RigheOfferte[[#This Row],[Prezzo Di Vendita]]*RigheOfferte[[#This Row],[Q.ta'']]</f>
        <v>0</v>
      </c>
      <c r="AM153" s="20">
        <f>IFERROR(RigheOfferte[[#This Row],[Prezzo Di Vendita]]/RigheOfferte[[#This Row],[Superf.pz Mq]],0)</f>
        <v>0</v>
      </c>
    </row>
    <row r="154" spans="1:39" ht="14.4">
      <c r="A154" s="60" t="str">
        <f>IF(LEN('riepilogo prezzi'!$D154&amp;'riepilogo prezzi'!$E154)&gt;0,'riepilogo prezzi'!$D154&amp;"-"&amp;'riepilogo prezzi'!$E154,"")</f>
        <v/>
      </c>
      <c r="B154" s="19" t="str">
        <f>IF(LEN(MONTH(RigheOfferte[[#This Row],[data]]))=1,0&amp;MONTH(RigheOfferte[[#This Row],[data]]),MONTH(RigheOfferte[[#This Row],[data]]))</f>
        <v>01</v>
      </c>
      <c r="C154" s="19" t="str">
        <f>IF(MONTH(RigheOfferte[[#This Row],[data]])&gt;8,"03",IF(MONTH(RigheOfferte[[#This Row],[data]])&gt;4,"02","01"))</f>
        <v>01</v>
      </c>
      <c r="D154" s="20"/>
      <c r="E154" s="20"/>
      <c r="F154" s="61"/>
      <c r="G154" s="20"/>
      <c r="H154" s="60"/>
      <c r="I154" s="71"/>
      <c r="J154" s="95"/>
      <c r="K154" s="72"/>
      <c r="L154" s="71"/>
      <c r="M154" s="71"/>
      <c r="N154" s="20" t="str">
        <f>_xlfn.IFNA(VLOOKUP(RigheOfferte[[#This Row],[Lavorazione]],DescLavorazioni[],2,FALSE),"")</f>
        <v/>
      </c>
      <c r="O154" s="71"/>
      <c r="P154" s="63">
        <f>_xlfn.IFNA(VLOOKUP(RigheOfferte[[#This Row],[Cod Vel]],VeloCatena[],3,FALSE),0)</f>
        <v>0</v>
      </c>
      <c r="Q154" s="20"/>
      <c r="R154" s="71"/>
      <c r="S154" s="20"/>
      <c r="T154" s="20"/>
      <c r="U154" s="20"/>
      <c r="V154" s="23">
        <f>IF(RigheOfferte[[#This Row],[Velocità]]&gt;0,60*RigheOfferte[[#This Row],[Velocità]]/RigheOfferte[[#This Row],[passo]]*RigheOfferte[[#This Row],[nr.pezzi Telaio]],0)</f>
        <v>0</v>
      </c>
      <c r="W154" s="23"/>
      <c r="X154" s="64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4" s="23">
        <f>IFERROR(IF(OR(RigheOfferte[[#This Row],[Lavorazione]]="L1",RigheOfferte[[#This Row],[Lavorazione]]="L2",RigheOfferte[[#This Row],[Lavorazione]]="L3"),VLOOKUP(RigheOfferte[[#This Row],[lotto]],Lotti[],2,FALSE),0),0)</f>
        <v>0</v>
      </c>
      <c r="Z154" s="23">
        <f>_xlfn.IFNA(INDEX(RiepilogoCostiOrari[],MATCH(YEAR(RigheOfferte[[#This Row],[data]])&amp;RigheOfferte[[#This Row],[Quadrimestre]],QuCostiLav,0),MATCH(RigheOfferte[[#This Row],[Lavorazione]],CodLavorazioni,0)),0)</f>
        <v>0</v>
      </c>
      <c r="AA154" s="76"/>
      <c r="AB154" s="20"/>
      <c r="AC154" s="23">
        <f>RigheOfferte[[#This Row],[Superf.pz Mq]]*Resa*RigheOfferte[[#This Row],[MP (€kg)]]</f>
        <v>0</v>
      </c>
      <c r="AD154" s="92"/>
      <c r="AE154" s="92"/>
      <c r="AF154" s="55">
        <f>_xlfn.IFNA(VLOOKUP(RigheOfferte[[#This Row],[Tipo Protezione]],Protezioni[],2,FALSE),0)</f>
        <v>0</v>
      </c>
      <c r="AG154" s="93"/>
      <c r="AH154" s="66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4" s="20">
        <f>RigheOfferte[[#This Row],[altri costi]]+RigheOfferte[[#This Row],[costo industriale pz]]</f>
        <v>0</v>
      </c>
      <c r="AJ154" s="94">
        <f>_xlfn.IFNA(INDEX(Ricarichi[],MATCH(YEAR(RigheOfferte[[#This Row],[data]])&amp;RigheOfferte[[#This Row],[Quadrimestre]],QuCostiLav,0),MATCH(RigheOfferte[[#This Row],[Lavorazione]],CodLavorazioni,0)),0)</f>
        <v>0</v>
      </c>
      <c r="AK154" s="66">
        <f>RigheOfferte[[#This Row],[totale costi]]+(RigheOfferte[[#This Row],[totale costi]]*RigheOfferte[[#This Row],[Ricarico]])</f>
        <v>0</v>
      </c>
      <c r="AL154" s="20">
        <f>RigheOfferte[[#This Row],[Prezzo Di Vendita]]*RigheOfferte[[#This Row],[Q.ta'']]</f>
        <v>0</v>
      </c>
      <c r="AM154" s="20">
        <f>IFERROR(RigheOfferte[[#This Row],[Prezzo Di Vendita]]/RigheOfferte[[#This Row],[Superf.pz Mq]],0)</f>
        <v>0</v>
      </c>
    </row>
    <row r="155" spans="1:39" ht="14.4">
      <c r="A155" s="69" t="str">
        <f>IF(LEN('riepilogo prezzi'!$D155&amp;'riepilogo prezzi'!$E155)&gt;0,'riepilogo prezzi'!$D155&amp;"-"&amp;'riepilogo prezzi'!$E155,"")</f>
        <v/>
      </c>
      <c r="B155" s="70" t="str">
        <f>IF(LEN(MONTH(RigheOfferte[[#This Row],[data]]))=1,0&amp;MONTH(RigheOfferte[[#This Row],[data]]),MONTH(RigheOfferte[[#This Row],[data]]))</f>
        <v>01</v>
      </c>
      <c r="C155" s="70" t="str">
        <f>IF(MONTH(RigheOfferte[[#This Row],[data]])&gt;8,"03",IF(MONTH(RigheOfferte[[#This Row],[data]])&gt;4,"02","01"))</f>
        <v>01</v>
      </c>
      <c r="D155" s="71"/>
      <c r="E155" s="71"/>
      <c r="F155" s="61"/>
      <c r="G155" s="71"/>
      <c r="H155" s="71"/>
      <c r="I155" s="71"/>
      <c r="J155" s="95"/>
      <c r="K155" s="72"/>
      <c r="L155" s="71"/>
      <c r="M155" s="71"/>
      <c r="N155" s="71" t="str">
        <f>_xlfn.IFNA(VLOOKUP(RigheOfferte[[#This Row],[Lavorazione]],DescLavorazioni[],2,FALSE),"")</f>
        <v/>
      </c>
      <c r="O155" s="71"/>
      <c r="P155" s="73">
        <f>_xlfn.IFNA(VLOOKUP(RigheOfferte[[#This Row],[Cod Vel]],VeloCatena[],3,FALSE),0)</f>
        <v>0</v>
      </c>
      <c r="Q155" s="71"/>
      <c r="R155" s="71"/>
      <c r="S155" s="71"/>
      <c r="T155" s="71"/>
      <c r="U155" s="71"/>
      <c r="V155" s="74">
        <f>IF(RigheOfferte[[#This Row],[Velocità]]&gt;0,60*RigheOfferte[[#This Row],[Velocità]]/RigheOfferte[[#This Row],[passo]]*RigheOfferte[[#This Row],[nr.pezzi Telaio]],0)</f>
        <v>0</v>
      </c>
      <c r="W155" s="74"/>
      <c r="X155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5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55" s="74">
        <f>_xlfn.IFNA(INDEX(RiepilogoCostiOrari[],MATCH(YEAR(RigheOfferte[[#This Row],[data]])&amp;RigheOfferte[[#This Row],[Quadrimestre]],QuCostiLav,0),MATCH(RigheOfferte[[#This Row],[Lavorazione]],CodLavorazioni,0)),0)</f>
        <v>0</v>
      </c>
      <c r="AA155" s="76"/>
      <c r="AB155" s="71"/>
      <c r="AC155" s="74">
        <f>RigheOfferte[[#This Row],[Superf.pz Mq]]*Resa*RigheOfferte[[#This Row],[MP (€kg)]]</f>
        <v>0</v>
      </c>
      <c r="AD155" s="96"/>
      <c r="AE155" s="96"/>
      <c r="AF155" s="78">
        <f>_xlfn.IFNA(VLOOKUP(RigheOfferte[[#This Row],[Tipo Protezione]],Protezioni[],2,FALSE),0)</f>
        <v>0</v>
      </c>
      <c r="AG155" s="97"/>
      <c r="AH155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5" s="71">
        <f>RigheOfferte[[#This Row],[altri costi]]+RigheOfferte[[#This Row],[costo industriale pz]]</f>
        <v>0</v>
      </c>
      <c r="AJ155" s="98">
        <f>_xlfn.IFNA(INDEX(Ricarichi[],MATCH(YEAR(RigheOfferte[[#This Row],[data]])&amp;RigheOfferte[[#This Row],[Quadrimestre]],QuCostiLav,0),MATCH(RigheOfferte[[#This Row],[Lavorazione]],CodLavorazioni,0)),0)</f>
        <v>0</v>
      </c>
      <c r="AK155" s="80">
        <f>RigheOfferte[[#This Row],[totale costi]]+(RigheOfferte[[#This Row],[totale costi]]*RigheOfferte[[#This Row],[Ricarico]])</f>
        <v>0</v>
      </c>
      <c r="AL155" s="71">
        <f>RigheOfferte[[#This Row],[Prezzo Di Vendita]]*RigheOfferte[[#This Row],[Q.ta'']]</f>
        <v>0</v>
      </c>
      <c r="AM155" s="71">
        <f>IFERROR(RigheOfferte[[#This Row],[Prezzo Di Vendita]]/RigheOfferte[[#This Row],[Superf.pz Mq]],0)</f>
        <v>0</v>
      </c>
    </row>
    <row r="156" spans="1:39" ht="14.4">
      <c r="A156" s="69" t="str">
        <f>IF(LEN('riepilogo prezzi'!$D156&amp;'riepilogo prezzi'!$E156)&gt;0,'riepilogo prezzi'!$D156&amp;"-"&amp;'riepilogo prezzi'!$E156,"")</f>
        <v/>
      </c>
      <c r="B156" s="70" t="str">
        <f>IF(LEN(MONTH(RigheOfferte[[#This Row],[data]]))=1,0&amp;MONTH(RigheOfferte[[#This Row],[data]]),MONTH(RigheOfferte[[#This Row],[data]]))</f>
        <v>01</v>
      </c>
      <c r="C156" s="70" t="str">
        <f>IF(MONTH(RigheOfferte[[#This Row],[data]])&gt;8,"03",IF(MONTH(RigheOfferte[[#This Row],[data]])&gt;4,"02","01"))</f>
        <v>01</v>
      </c>
      <c r="D156" s="71"/>
      <c r="E156" s="71"/>
      <c r="F156" s="61"/>
      <c r="G156" s="71"/>
      <c r="H156" s="71"/>
      <c r="I156" s="71"/>
      <c r="J156" s="95"/>
      <c r="K156" s="72"/>
      <c r="L156" s="71"/>
      <c r="M156" s="71"/>
      <c r="N156" s="71" t="str">
        <f>_xlfn.IFNA(VLOOKUP(RigheOfferte[[#This Row],[Lavorazione]],DescLavorazioni[],2,FALSE),"")</f>
        <v/>
      </c>
      <c r="O156" s="71"/>
      <c r="P156" s="73">
        <f>_xlfn.IFNA(VLOOKUP(RigheOfferte[[#This Row],[Cod Vel]],VeloCatena[],3,FALSE),0)</f>
        <v>0</v>
      </c>
      <c r="Q156" s="71"/>
      <c r="R156" s="71"/>
      <c r="S156" s="71"/>
      <c r="T156" s="71"/>
      <c r="U156" s="71"/>
      <c r="V156" s="74">
        <f>IF(RigheOfferte[[#This Row],[Velocità]]&gt;0,60*RigheOfferte[[#This Row],[Velocità]]/RigheOfferte[[#This Row],[passo]]*RigheOfferte[[#This Row],[nr.pezzi Telaio]],0)</f>
        <v>0</v>
      </c>
      <c r="W156" s="74"/>
      <c r="X156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6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56" s="74">
        <f>_xlfn.IFNA(INDEX(RiepilogoCostiOrari[],MATCH(YEAR(RigheOfferte[[#This Row],[data]])&amp;RigheOfferte[[#This Row],[Quadrimestre]],QuCostiLav,0),MATCH(RigheOfferte[[#This Row],[Lavorazione]],CodLavorazioni,0)),0)</f>
        <v>0</v>
      </c>
      <c r="AA156" s="76"/>
      <c r="AB156" s="71"/>
      <c r="AC156" s="74">
        <f>RigheOfferte[[#This Row],[Superf.pz Mq]]*Resa*RigheOfferte[[#This Row],[MP (€kg)]]</f>
        <v>0</v>
      </c>
      <c r="AD156" s="96"/>
      <c r="AE156" s="96"/>
      <c r="AF156" s="78">
        <f>_xlfn.IFNA(VLOOKUP(RigheOfferte[[#This Row],[Tipo Protezione]],Protezioni[],2,FALSE),0)</f>
        <v>0</v>
      </c>
      <c r="AG156" s="97"/>
      <c r="AH156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6" s="71">
        <f>RigheOfferte[[#This Row],[altri costi]]+RigheOfferte[[#This Row],[costo industriale pz]]</f>
        <v>0</v>
      </c>
      <c r="AJ156" s="98">
        <f>_xlfn.IFNA(INDEX(Ricarichi[],MATCH(YEAR(RigheOfferte[[#This Row],[data]])&amp;RigheOfferte[[#This Row],[Quadrimestre]],QuCostiLav,0),MATCH(RigheOfferte[[#This Row],[Lavorazione]],CodLavorazioni,0)),0)</f>
        <v>0</v>
      </c>
      <c r="AK156" s="80">
        <f>RigheOfferte[[#This Row],[totale costi]]+(RigheOfferte[[#This Row],[totale costi]]*RigheOfferte[[#This Row],[Ricarico]])</f>
        <v>0</v>
      </c>
      <c r="AL156" s="71">
        <f>RigheOfferte[[#This Row],[Prezzo Di Vendita]]*RigheOfferte[[#This Row],[Q.ta'']]</f>
        <v>0</v>
      </c>
      <c r="AM156" s="71">
        <f>IFERROR(RigheOfferte[[#This Row],[Prezzo Di Vendita]]/RigheOfferte[[#This Row],[Superf.pz Mq]],0)</f>
        <v>0</v>
      </c>
    </row>
    <row r="157" spans="1:39" ht="14.4">
      <c r="A157" s="69" t="str">
        <f>IF(LEN('riepilogo prezzi'!$D157&amp;'riepilogo prezzi'!$E157)&gt;0,'riepilogo prezzi'!$D157&amp;"-"&amp;'riepilogo prezzi'!$E157,"")</f>
        <v/>
      </c>
      <c r="B157" s="70" t="str">
        <f>IF(LEN(MONTH(RigheOfferte[[#This Row],[data]]))=1,0&amp;MONTH(RigheOfferte[[#This Row],[data]]),MONTH(RigheOfferte[[#This Row],[data]]))</f>
        <v>01</v>
      </c>
      <c r="C157" s="70" t="str">
        <f>IF(MONTH(RigheOfferte[[#This Row],[data]])&gt;8,"03",IF(MONTH(RigheOfferte[[#This Row],[data]])&gt;4,"02","01"))</f>
        <v>01</v>
      </c>
      <c r="D157" s="71"/>
      <c r="E157" s="71"/>
      <c r="F157" s="61"/>
      <c r="G157" s="71"/>
      <c r="H157" s="71"/>
      <c r="I157" s="71"/>
      <c r="J157" s="95"/>
      <c r="K157" s="72"/>
      <c r="L157" s="71"/>
      <c r="M157" s="71"/>
      <c r="N157" s="71" t="str">
        <f>_xlfn.IFNA(VLOOKUP(RigheOfferte[[#This Row],[Lavorazione]],DescLavorazioni[],2,FALSE),"")</f>
        <v/>
      </c>
      <c r="O157" s="71"/>
      <c r="P157" s="73">
        <f>_xlfn.IFNA(VLOOKUP(RigheOfferte[[#This Row],[Cod Vel]],VeloCatena[],3,FALSE),0)</f>
        <v>0</v>
      </c>
      <c r="Q157" s="71"/>
      <c r="R157" s="71"/>
      <c r="S157" s="71"/>
      <c r="T157" s="71"/>
      <c r="U157" s="71"/>
      <c r="V157" s="74">
        <f>IF(RigheOfferte[[#This Row],[Velocità]]&gt;0,60*RigheOfferte[[#This Row],[Velocità]]/RigheOfferte[[#This Row],[passo]]*RigheOfferte[[#This Row],[nr.pezzi Telaio]],0)</f>
        <v>0</v>
      </c>
      <c r="W157" s="74"/>
      <c r="X157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7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57" s="74">
        <f>_xlfn.IFNA(INDEX(RiepilogoCostiOrari[],MATCH(YEAR(RigheOfferte[[#This Row],[data]])&amp;RigheOfferte[[#This Row],[Quadrimestre]],QuCostiLav,0),MATCH(RigheOfferte[[#This Row],[Lavorazione]],CodLavorazioni,0)),0)</f>
        <v>0</v>
      </c>
      <c r="AA157" s="76"/>
      <c r="AB157" s="71"/>
      <c r="AC157" s="74">
        <f>RigheOfferte[[#This Row],[Superf.pz Mq]]*Resa*RigheOfferte[[#This Row],[MP (€kg)]]</f>
        <v>0</v>
      </c>
      <c r="AD157" s="96"/>
      <c r="AE157" s="96"/>
      <c r="AF157" s="78">
        <f>_xlfn.IFNA(VLOOKUP(RigheOfferte[[#This Row],[Tipo Protezione]],Protezioni[],2,FALSE),0)</f>
        <v>0</v>
      </c>
      <c r="AG157" s="97"/>
      <c r="AH157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7" s="71">
        <f>RigheOfferte[[#This Row],[altri costi]]+RigheOfferte[[#This Row],[costo industriale pz]]</f>
        <v>0</v>
      </c>
      <c r="AJ157" s="98">
        <f>_xlfn.IFNA(INDEX(Ricarichi[],MATCH(YEAR(RigheOfferte[[#This Row],[data]])&amp;RigheOfferte[[#This Row],[Quadrimestre]],QuCostiLav,0),MATCH(RigheOfferte[[#This Row],[Lavorazione]],CodLavorazioni,0)),0)</f>
        <v>0</v>
      </c>
      <c r="AK157" s="80">
        <f>RigheOfferte[[#This Row],[totale costi]]+(RigheOfferte[[#This Row],[totale costi]]*RigheOfferte[[#This Row],[Ricarico]])</f>
        <v>0</v>
      </c>
      <c r="AL157" s="71">
        <f>RigheOfferte[[#This Row],[Prezzo Di Vendita]]*RigheOfferte[[#This Row],[Q.ta'']]</f>
        <v>0</v>
      </c>
      <c r="AM157" s="71">
        <f>IFERROR(RigheOfferte[[#This Row],[Prezzo Di Vendita]]/RigheOfferte[[#This Row],[Superf.pz Mq]],0)</f>
        <v>0</v>
      </c>
    </row>
    <row r="158" spans="1:39" ht="14.4">
      <c r="A158" s="69" t="str">
        <f>IF(LEN('riepilogo prezzi'!$D158&amp;'riepilogo prezzi'!$E158)&gt;0,'riepilogo prezzi'!$D158&amp;"-"&amp;'riepilogo prezzi'!$E158,"")</f>
        <v/>
      </c>
      <c r="B158" s="70" t="str">
        <f>IF(LEN(MONTH(RigheOfferte[[#This Row],[data]]))=1,0&amp;MONTH(RigheOfferte[[#This Row],[data]]),MONTH(RigheOfferte[[#This Row],[data]]))</f>
        <v>01</v>
      </c>
      <c r="C158" s="70" t="str">
        <f>IF(MONTH(RigheOfferte[[#This Row],[data]])&gt;8,"03",IF(MONTH(RigheOfferte[[#This Row],[data]])&gt;4,"02","01"))</f>
        <v>01</v>
      </c>
      <c r="D158" s="71"/>
      <c r="E158" s="71"/>
      <c r="F158" s="61"/>
      <c r="G158" s="71"/>
      <c r="H158" s="71"/>
      <c r="I158" s="71"/>
      <c r="J158" s="95"/>
      <c r="K158" s="72"/>
      <c r="L158" s="71"/>
      <c r="M158" s="71"/>
      <c r="N158" s="71" t="str">
        <f>_xlfn.IFNA(VLOOKUP(RigheOfferte[[#This Row],[Lavorazione]],DescLavorazioni[],2,FALSE),"")</f>
        <v/>
      </c>
      <c r="O158" s="71"/>
      <c r="P158" s="73">
        <f>_xlfn.IFNA(VLOOKUP(RigheOfferte[[#This Row],[Cod Vel]],VeloCatena[],3,FALSE),0)</f>
        <v>0</v>
      </c>
      <c r="Q158" s="71"/>
      <c r="R158" s="71"/>
      <c r="S158" s="71"/>
      <c r="T158" s="71"/>
      <c r="U158" s="71"/>
      <c r="V158" s="74">
        <f>IF(RigheOfferte[[#This Row],[Velocità]]&gt;0,60*RigheOfferte[[#This Row],[Velocità]]/RigheOfferte[[#This Row],[passo]]*RigheOfferte[[#This Row],[nr.pezzi Telaio]],0)</f>
        <v>0</v>
      </c>
      <c r="W158" s="74"/>
      <c r="X158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8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58" s="74">
        <f>_xlfn.IFNA(INDEX(RiepilogoCostiOrari[],MATCH(YEAR(RigheOfferte[[#This Row],[data]])&amp;RigheOfferte[[#This Row],[Quadrimestre]],QuCostiLav,0),MATCH(RigheOfferte[[#This Row],[Lavorazione]],CodLavorazioni,0)),0)</f>
        <v>0</v>
      </c>
      <c r="AA158" s="76"/>
      <c r="AB158" s="71"/>
      <c r="AC158" s="74">
        <f>RigheOfferte[[#This Row],[Superf.pz Mq]]*Resa*RigheOfferte[[#This Row],[MP (€kg)]]</f>
        <v>0</v>
      </c>
      <c r="AD158" s="96"/>
      <c r="AE158" s="96"/>
      <c r="AF158" s="78">
        <f>_xlfn.IFNA(VLOOKUP(RigheOfferte[[#This Row],[Tipo Protezione]],Protezioni[],2,FALSE),0)</f>
        <v>0</v>
      </c>
      <c r="AG158" s="97"/>
      <c r="AH158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8" s="71">
        <f>RigheOfferte[[#This Row],[altri costi]]+RigheOfferte[[#This Row],[costo industriale pz]]</f>
        <v>0</v>
      </c>
      <c r="AJ158" s="98">
        <f>_xlfn.IFNA(INDEX(Ricarichi[],MATCH(YEAR(RigheOfferte[[#This Row],[data]])&amp;RigheOfferte[[#This Row],[Quadrimestre]],QuCostiLav,0),MATCH(RigheOfferte[[#This Row],[Lavorazione]],CodLavorazioni,0)),0)</f>
        <v>0</v>
      </c>
      <c r="AK158" s="80">
        <f>RigheOfferte[[#This Row],[totale costi]]+(RigheOfferte[[#This Row],[totale costi]]*RigheOfferte[[#This Row],[Ricarico]])</f>
        <v>0</v>
      </c>
      <c r="AL158" s="71">
        <f>RigheOfferte[[#This Row],[Prezzo Di Vendita]]*RigheOfferte[[#This Row],[Q.ta'']]</f>
        <v>0</v>
      </c>
      <c r="AM158" s="71">
        <f>IFERROR(RigheOfferte[[#This Row],[Prezzo Di Vendita]]/RigheOfferte[[#This Row],[Superf.pz Mq]],0)</f>
        <v>0</v>
      </c>
    </row>
    <row r="159" spans="1:39" ht="14.4">
      <c r="A159" s="69" t="str">
        <f>IF(LEN('riepilogo prezzi'!$D159&amp;'riepilogo prezzi'!$E159)&gt;0,'riepilogo prezzi'!$D159&amp;"-"&amp;'riepilogo prezzi'!$E159,"")</f>
        <v/>
      </c>
      <c r="B159" s="70" t="str">
        <f>IF(LEN(MONTH(RigheOfferte[[#This Row],[data]]))=1,0&amp;MONTH(RigheOfferte[[#This Row],[data]]),MONTH(RigheOfferte[[#This Row],[data]]))</f>
        <v>01</v>
      </c>
      <c r="C159" s="70" t="str">
        <f>IF(MONTH(RigheOfferte[[#This Row],[data]])&gt;8,"03",IF(MONTH(RigheOfferte[[#This Row],[data]])&gt;4,"02","01"))</f>
        <v>01</v>
      </c>
      <c r="D159" s="71"/>
      <c r="E159" s="71"/>
      <c r="F159" s="61"/>
      <c r="G159" s="71"/>
      <c r="H159" s="71"/>
      <c r="I159" s="71"/>
      <c r="J159" s="95"/>
      <c r="K159" s="72"/>
      <c r="L159" s="71"/>
      <c r="M159" s="71"/>
      <c r="N159" s="71" t="str">
        <f>_xlfn.IFNA(VLOOKUP(RigheOfferte[[#This Row],[Lavorazione]],DescLavorazioni[],2,FALSE),"")</f>
        <v/>
      </c>
      <c r="O159" s="71"/>
      <c r="P159" s="73">
        <f>_xlfn.IFNA(VLOOKUP(RigheOfferte[[#This Row],[Cod Vel]],VeloCatena[],3,FALSE),0)</f>
        <v>0</v>
      </c>
      <c r="Q159" s="71"/>
      <c r="R159" s="71"/>
      <c r="S159" s="71"/>
      <c r="T159" s="71"/>
      <c r="U159" s="71"/>
      <c r="V159" s="74">
        <f>IF(RigheOfferte[[#This Row],[Velocità]]&gt;0,60*RigheOfferte[[#This Row],[Velocità]]/RigheOfferte[[#This Row],[passo]]*RigheOfferte[[#This Row],[nr.pezzi Telaio]],0)</f>
        <v>0</v>
      </c>
      <c r="W159" s="74"/>
      <c r="X159" s="75">
        <f>IFERROR(IF(OR(RigheOfferte[[#This Row],[Lavorazione]]="L1",RigheOfferte[[#This Row],[Lavorazione]]="L2",RigheOfferte[[#This Row],[Lavorazione]]="L3"),RigheOfferte[[#This Row],[Q.ta'']]/RigheOfferte[[#This Row],[nr.pezzi ora-unita]],RigheOfferte[[#This Row],[Q.ta'']]/RigheOfferte[[#This Row],[Pz Ora Altre Lav]]),0)</f>
        <v>0</v>
      </c>
      <c r="Y159" s="74">
        <f>IFERROR(IF(OR(RigheOfferte[[#This Row],[Lavorazione]]="L1",RigheOfferte[[#This Row],[Lavorazione]]="L2",RigheOfferte[[#This Row],[Lavorazione]]="L3"),VLOOKUP(RigheOfferte[[#This Row],[lotto]],Lotti[],2,FALSE),0),0)</f>
        <v>0</v>
      </c>
      <c r="Z159" s="74">
        <f>_xlfn.IFNA(INDEX(RiepilogoCostiOrari[],MATCH(YEAR(RigheOfferte[[#This Row],[data]])&amp;RigheOfferte[[#This Row],[Quadrimestre]],QuCostiLav,0),MATCH(RigheOfferte[[#This Row],[Lavorazione]],CodLavorazioni,0)),0)</f>
        <v>0</v>
      </c>
      <c r="AA159" s="76"/>
      <c r="AB159" s="71"/>
      <c r="AC159" s="74">
        <f>RigheOfferte[[#This Row],[Superf.pz Mq]]*Resa*RigheOfferte[[#This Row],[MP (€kg)]]</f>
        <v>0</v>
      </c>
      <c r="AD159" s="96"/>
      <c r="AE159" s="96"/>
      <c r="AF159" s="78">
        <f>_xlfn.IFNA(VLOOKUP(RigheOfferte[[#This Row],[Tipo Protezione]],Protezioni[],2,FALSE),0)</f>
        <v>0</v>
      </c>
      <c r="AG159" s="97"/>
      <c r="AH159" s="80">
        <f>IFERROR((RigheOfferte[[#This Row],[ORE LAVOR]]*RigheOfferte[[#This Row],[costo orario]]/RigheOfferte[[#This Row],[Q.ta'']])+(RigheOfferte[[#This Row],[cambio colore su pezzo]]/RigheOfferte[[#This Row],[Q.ta'']])+(RigheOfferte[[#This Row],[QtaProtez]]*RigheOfferte[[#This Row],[Costo Prot]])+RigheOfferte[[#This Row],[tot.CMP pz]],0)</f>
        <v>0</v>
      </c>
      <c r="AI159" s="71">
        <f>RigheOfferte[[#This Row],[altri costi]]+RigheOfferte[[#This Row],[costo industriale pz]]</f>
        <v>0</v>
      </c>
      <c r="AJ159" s="98">
        <f>_xlfn.IFNA(INDEX(Ricarichi[],MATCH(YEAR(RigheOfferte[[#This Row],[data]])&amp;RigheOfferte[[#This Row],[Quadrimestre]],QuCostiLav,0),MATCH(RigheOfferte[[#This Row],[Lavorazione]],CodLavorazioni,0)),0)</f>
        <v>0</v>
      </c>
      <c r="AK159" s="80">
        <f>RigheOfferte[[#This Row],[totale costi]]+(RigheOfferte[[#This Row],[totale costi]]*RigheOfferte[[#This Row],[Ricarico]])</f>
        <v>0</v>
      </c>
      <c r="AL159" s="71">
        <f>RigheOfferte[[#This Row],[Prezzo Di Vendita]]*RigheOfferte[[#This Row],[Q.ta'']]</f>
        <v>0</v>
      </c>
      <c r="AM159" s="71">
        <f>IFERROR(RigheOfferte[[#This Row],[Prezzo Di Vendita]]/RigheOfferte[[#This Row],[Superf.pz Mq]],0)</f>
        <v>0</v>
      </c>
    </row>
  </sheetData>
  <sheetProtection selectLockedCells="1"/>
  <phoneticPr fontId="16" type="noConversion"/>
  <dataValidations count="4">
    <dataValidation type="list" allowBlank="1" showInputMessage="1" showErrorMessage="1" sqref="O2:O159" xr:uid="{00000000-0002-0000-0900-000001000000}">
      <formula1>CodVeloCatena</formula1>
    </dataValidation>
    <dataValidation type="list" allowBlank="1" showInputMessage="1" showErrorMessage="1" sqref="M2:M159" xr:uid="{00000000-0002-0000-0900-000000000000}">
      <formula1>CodLavorazioni</formula1>
    </dataValidation>
    <dataValidation type="list" allowBlank="1" showInputMessage="1" showErrorMessage="1" sqref="AE2:AE159" xr:uid="{00000000-0002-0000-0900-000003000000}">
      <formula1>CodProtezione</formula1>
    </dataValidation>
    <dataValidation type="list" allowBlank="1" showInputMessage="1" showErrorMessage="1" sqref="S2:S159" xr:uid="{00000000-0002-0000-0900-000002000000}">
      <formula1>CodLotto</formula1>
    </dataValidation>
  </dataValidations>
  <hyperlinks>
    <hyperlink ref="J2" r:id="rId1" xr:uid="{67315F67-6979-4759-BBC7-EC99297F9B42}"/>
    <hyperlink ref="J3" r:id="rId2" xr:uid="{7BC31912-EFCD-4403-81AF-86897BBE9747}"/>
    <hyperlink ref="J4" r:id="rId3" xr:uid="{C8920515-65F1-44E4-87A9-F08E7E0FD968}"/>
    <hyperlink ref="J5" r:id="rId4" xr:uid="{1E134461-454E-4DF1-9621-7836B809F33D}"/>
  </hyperlinks>
  <pageMargins left="0.19" right="0.21" top="0.74803149606299202" bottom="0.74803149606299202" header="0.31496062992126" footer="0.31496062992126"/>
  <pageSetup paperSize="9" scale="21" orientation="landscape" r:id="rId5"/>
  <tableParts count="1"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>
      <selection activeCell="J15" sqref="J15"/>
    </sheetView>
  </sheetViews>
  <sheetFormatPr defaultColWidth="9" defaultRowHeight="14.4"/>
  <cols>
    <col min="1" max="2" width="17.77734375" bestFit="1" customWidth="1"/>
    <col min="3" max="3" width="21.88671875" customWidth="1"/>
  </cols>
  <sheetData>
    <row r="1" spans="1:3">
      <c r="A1" s="45" t="s">
        <v>103</v>
      </c>
      <c r="B1" t="s">
        <v>128</v>
      </c>
    </row>
    <row r="3" spans="1:3">
      <c r="A3" s="45" t="s">
        <v>4</v>
      </c>
      <c r="B3" t="s">
        <v>129</v>
      </c>
      <c r="C3" t="s">
        <v>130</v>
      </c>
    </row>
    <row r="4" spans="1:3">
      <c r="A4" s="8" t="s">
        <v>131</v>
      </c>
      <c r="C4" s="9">
        <v>0</v>
      </c>
    </row>
    <row r="5" spans="1:3">
      <c r="A5" s="10" t="s">
        <v>132</v>
      </c>
      <c r="C5" s="9">
        <v>0</v>
      </c>
    </row>
    <row r="6" spans="1:3">
      <c r="A6" s="8" t="s">
        <v>15</v>
      </c>
      <c r="C6" s="9">
        <v>0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2"/>
  <sheetViews>
    <sheetView tabSelected="1" zoomScale="120" zoomScaleNormal="120" workbookViewId="0">
      <selection activeCell="F3" sqref="F3"/>
    </sheetView>
  </sheetViews>
  <sheetFormatPr defaultColWidth="9" defaultRowHeight="14.4"/>
  <cols>
    <col min="1" max="7" width="23.5546875" customWidth="1"/>
  </cols>
  <sheetData>
    <row r="1" spans="1:7">
      <c r="A1" s="4" t="s">
        <v>133</v>
      </c>
      <c r="B1" s="5" t="s">
        <v>99</v>
      </c>
      <c r="C1" s="5" t="s">
        <v>103</v>
      </c>
      <c r="D1" s="5" t="s">
        <v>83</v>
      </c>
      <c r="E1" s="5" t="s">
        <v>134</v>
      </c>
      <c r="F1" s="5" t="s">
        <v>135</v>
      </c>
      <c r="G1" s="6" t="s">
        <v>136</v>
      </c>
    </row>
    <row r="2" spans="1:7">
      <c r="A2">
        <v>202601</v>
      </c>
      <c r="B2">
        <v>1</v>
      </c>
      <c r="C2" s="2">
        <v>46029</v>
      </c>
      <c r="D2" t="s">
        <v>154</v>
      </c>
      <c r="E2" t="s">
        <v>155</v>
      </c>
      <c r="F2" s="7" t="s">
        <v>168</v>
      </c>
      <c r="G2" t="s">
        <v>161</v>
      </c>
    </row>
    <row r="3" spans="1:7">
      <c r="A3">
        <v>202602</v>
      </c>
      <c r="B3">
        <v>2</v>
      </c>
      <c r="C3" s="2">
        <v>46080</v>
      </c>
      <c r="D3" t="s">
        <v>162</v>
      </c>
      <c r="E3" t="s">
        <v>162</v>
      </c>
      <c r="F3" s="7"/>
      <c r="G3" t="s">
        <v>161</v>
      </c>
    </row>
    <row r="4" spans="1:7">
      <c r="C4" s="2"/>
      <c r="F4" s="7"/>
    </row>
    <row r="5" spans="1:7">
      <c r="C5" s="2"/>
      <c r="F5" s="7"/>
    </row>
    <row r="6" spans="1:7">
      <c r="C6" s="2"/>
      <c r="F6" s="7"/>
    </row>
    <row r="7" spans="1:7">
      <c r="C7" s="2"/>
      <c r="F7" s="7"/>
    </row>
    <row r="8" spans="1:7">
      <c r="C8" s="2"/>
      <c r="F8" s="7"/>
    </row>
    <row r="9" spans="1:7">
      <c r="C9" s="2"/>
      <c r="F9" s="7"/>
    </row>
    <row r="10" spans="1:7">
      <c r="C10" s="2"/>
      <c r="F10" s="7"/>
    </row>
    <row r="11" spans="1:7">
      <c r="C11" s="2"/>
      <c r="F11" s="7"/>
    </row>
    <row r="12" spans="1:7">
      <c r="C12" s="2"/>
      <c r="F12" s="7"/>
    </row>
    <row r="13" spans="1:7">
      <c r="C13" s="2"/>
      <c r="F13" s="7"/>
    </row>
    <row r="14" spans="1:7">
      <c r="C14" s="2"/>
      <c r="F14" s="7"/>
    </row>
    <row r="15" spans="1:7">
      <c r="C15" s="2"/>
      <c r="F15" s="7"/>
    </row>
    <row r="16" spans="1:7">
      <c r="C16" s="2"/>
      <c r="F16" s="7"/>
    </row>
    <row r="17" spans="3:7">
      <c r="C17" s="2"/>
      <c r="F17" s="7"/>
    </row>
    <row r="18" spans="3:7">
      <c r="C18" s="2"/>
      <c r="D18" s="44"/>
      <c r="E18" s="44"/>
      <c r="F18" s="7"/>
      <c r="G18" s="44"/>
    </row>
    <row r="19" spans="3:7">
      <c r="C19" s="2"/>
      <c r="F19" s="7"/>
    </row>
    <row r="20" spans="3:7">
      <c r="C20" s="2"/>
      <c r="F20" s="7"/>
    </row>
    <row r="21" spans="3:7">
      <c r="C21" s="2"/>
    </row>
    <row r="22" spans="3:7">
      <c r="C22" s="2"/>
    </row>
  </sheetData>
  <hyperlinks>
    <hyperlink ref="F2" r:id="rId1" xr:uid="{987900C7-B82F-46E9-AA1D-60BFFBCF5801}"/>
  </hyperlinks>
  <pageMargins left="0.7" right="0.7" top="0.75" bottom="0.75" header="0.3" footer="0.3"/>
  <pageSetup orientation="portrait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14"/>
  <sheetViews>
    <sheetView showGridLines="0" zoomScale="130" zoomScaleNormal="130" workbookViewId="0">
      <selection sqref="A1:G14"/>
    </sheetView>
  </sheetViews>
  <sheetFormatPr defaultColWidth="9" defaultRowHeight="14.4"/>
  <cols>
    <col min="1" max="1" width="24.88671875" customWidth="1"/>
    <col min="2" max="2" width="44" customWidth="1"/>
    <col min="3" max="3" width="10" customWidth="1"/>
    <col min="4" max="4" width="8.6640625" bestFit="1" customWidth="1"/>
    <col min="5" max="5" width="13" customWidth="1"/>
    <col min="6" max="6" width="11.44140625" bestFit="1" customWidth="1"/>
    <col min="7" max="7" width="7.21875" bestFit="1" customWidth="1"/>
  </cols>
  <sheetData>
    <row r="1" spans="1:7">
      <c r="A1" t="s">
        <v>137</v>
      </c>
    </row>
    <row r="2" spans="1:7">
      <c r="A2" s="1" t="s">
        <v>166</v>
      </c>
    </row>
    <row r="3" spans="1:7">
      <c r="A3" s="105" t="s">
        <v>167</v>
      </c>
    </row>
    <row r="6" spans="1:7">
      <c r="A6" t="s">
        <v>138</v>
      </c>
      <c r="B6" s="2">
        <v>46071</v>
      </c>
    </row>
    <row r="7" spans="1:7">
      <c r="A7" t="s">
        <v>139</v>
      </c>
    </row>
    <row r="9" spans="1:7">
      <c r="A9" s="43" t="s">
        <v>101</v>
      </c>
      <c r="B9" s="67">
        <v>202602</v>
      </c>
    </row>
    <row r="11" spans="1:7">
      <c r="A11" s="42" t="s">
        <v>140</v>
      </c>
      <c r="B11" s="3"/>
      <c r="C11" s="3"/>
      <c r="D11" s="3"/>
      <c r="E11" s="42" t="s">
        <v>141</v>
      </c>
      <c r="F11" s="3"/>
      <c r="G11" s="99"/>
    </row>
    <row r="12" spans="1:7" ht="15" thickBot="1">
      <c r="A12" s="68" t="s">
        <v>85</v>
      </c>
      <c r="B12" s="68" t="s">
        <v>47</v>
      </c>
      <c r="C12" s="68" t="s">
        <v>109</v>
      </c>
      <c r="D12" s="68" t="s">
        <v>88</v>
      </c>
      <c r="E12" s="103" t="s">
        <v>37</v>
      </c>
      <c r="F12" s="104" t="s">
        <v>36</v>
      </c>
      <c r="G12" s="100" t="s">
        <v>41</v>
      </c>
    </row>
    <row r="13" spans="1:7" ht="15" thickTop="1">
      <c r="A13" s="91">
        <v>3037280</v>
      </c>
      <c r="B13" s="91" t="s">
        <v>163</v>
      </c>
      <c r="C13" s="91">
        <v>2000</v>
      </c>
      <c r="D13" s="91" t="s">
        <v>131</v>
      </c>
      <c r="E13" s="106">
        <v>1.29375</v>
      </c>
      <c r="F13" s="107"/>
      <c r="G13" s="108">
        <v>0.1656</v>
      </c>
    </row>
    <row r="14" spans="1:7">
      <c r="A14" s="101"/>
      <c r="B14" s="101"/>
      <c r="C14" s="101"/>
      <c r="D14" s="102" t="s">
        <v>164</v>
      </c>
      <c r="E14" s="109"/>
      <c r="F14" s="110">
        <v>2.6290604111999998</v>
      </c>
      <c r="G14" s="111"/>
    </row>
  </sheetData>
  <pageMargins left="0.70866141732283505" right="0.70866141732283505" top="0.74803149606299202" bottom="0.74803149606299202" header="0.31496062992126" footer="0.31496062992126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R13" sqref="R13"/>
    </sheetView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14</vt:i4>
      </vt:variant>
      <vt:variant>
        <vt:lpstr>Intervalli denominati</vt:lpstr>
      </vt:variant>
      <vt:variant>
        <vt:i4>18</vt:i4>
      </vt:variant>
    </vt:vector>
  </HeadingPairs>
  <TitlesOfParts>
    <vt:vector size="32" baseType="lpstr">
      <vt:lpstr>RisorsaVerniciatura</vt:lpstr>
      <vt:lpstr>Spessore</vt:lpstr>
      <vt:lpstr>CostiOraLavorazioni</vt:lpstr>
      <vt:lpstr>DescLavorazioni</vt:lpstr>
      <vt:lpstr>Ricarichi</vt:lpstr>
      <vt:lpstr>Velocità</vt:lpstr>
      <vt:lpstr>Protezioni</vt:lpstr>
      <vt:lpstr>Lotti</vt:lpstr>
      <vt:lpstr>Parametri</vt:lpstr>
      <vt:lpstr>riepilogo prezzi</vt:lpstr>
      <vt:lpstr>%%cONFERME</vt:lpstr>
      <vt:lpstr>RIepilogo Offerte</vt:lpstr>
      <vt:lpstr>ModelloOfferta</vt:lpstr>
      <vt:lpstr>Foglio1</vt:lpstr>
      <vt:lpstr>'%%cONFERME'!Area_stampa</vt:lpstr>
      <vt:lpstr>Parametri!Area_stampa</vt:lpstr>
      <vt:lpstr>'riepilogo prezzi'!Area_stampa</vt:lpstr>
      <vt:lpstr>CodLavorazioni</vt:lpstr>
      <vt:lpstr>CodLinea</vt:lpstr>
      <vt:lpstr>CodLotto</vt:lpstr>
      <vt:lpstr>CodProtezione</vt:lpstr>
      <vt:lpstr>CodVeloCatena</vt:lpstr>
      <vt:lpstr>CostoOraVern</vt:lpstr>
      <vt:lpstr>FamiglieVeloc</vt:lpstr>
      <vt:lpstr>NrPreventivi</vt:lpstr>
      <vt:lpstr>Paramentri</vt:lpstr>
      <vt:lpstr>Parametri</vt:lpstr>
      <vt:lpstr>prezzi</vt:lpstr>
      <vt:lpstr>QuCostiLav</vt:lpstr>
      <vt:lpstr>Resa</vt:lpstr>
      <vt:lpstr>RisorseVern</vt:lpstr>
      <vt:lpstr>spessore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Manfredi Bonanno</dc:creator>
  <cp:lastModifiedBy>FERRETTI Daniele</cp:lastModifiedBy>
  <cp:lastPrinted>2025-11-06T14:51:30Z</cp:lastPrinted>
  <dcterms:created xsi:type="dcterms:W3CDTF">2022-10-05T12:58:00Z</dcterms:created>
  <dcterms:modified xsi:type="dcterms:W3CDTF">2026-02-27T09:29:07Z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F61A2503E6324F79B1DE40BB827F3AAA_12</vt:lpwstr>
  </property>
  <property fmtid="{D5CDD505-2E9C-101B-9397-08002B2CF9AE}" pid="3" name="KSOProductBuildVer">
    <vt:lpwstr>1033-12.2.0.19805</vt:lpwstr>
  </property>
</Properties>
</file>